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ee6a6ae2435a00/Documents/"/>
    </mc:Choice>
  </mc:AlternateContent>
  <xr:revisionPtr revIDLastSave="500" documentId="8_{48748188-2C22-4FA1-A967-D7CEAFA037F6}" xr6:coauthVersionLast="47" xr6:coauthVersionMax="47" xr10:uidLastSave="{5B82FEBE-2FD7-4270-84CD-D82A00049568}"/>
  <bookViews>
    <workbookView xWindow="-110" yWindow="-110" windowWidth="19420" windowHeight="10300" activeTab="1" xr2:uid="{77D2B571-662A-4387-8AE3-B04AD9E1EEA6}"/>
  </bookViews>
  <sheets>
    <sheet name="Raw Data" sheetId="3" r:id="rId1"/>
    <sheet name="Grocery and sales Data" sheetId="1" r:id="rId2"/>
    <sheet name="Produc Details" sheetId="2" r:id="rId3"/>
    <sheet name="Statistics" sheetId="4" r:id="rId4"/>
  </sheets>
  <definedNames>
    <definedName name="_xlnm._FilterDatabase" localSheetId="1" hidden="1">'Grocery and sales Data'!$A$1:$U$991</definedName>
    <definedName name="_xlnm._FilterDatabase" localSheetId="2" hidden="1">'Produc Details'!$A$1:$A$991</definedName>
    <definedName name="_xlnm._FilterDatabase" localSheetId="3" hidden="1">Statistics!$A$1:$B$991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9" i="2" l="1"/>
  <c r="F69" i="2" s="1"/>
  <c r="E133" i="2"/>
  <c r="F133" i="2" s="1"/>
  <c r="E197" i="2"/>
  <c r="F197" i="2" s="1"/>
  <c r="E269" i="2"/>
  <c r="F269" i="2" s="1"/>
  <c r="E290" i="2"/>
  <c r="F290" i="2" s="1"/>
  <c r="E310" i="2"/>
  <c r="F310" i="2" s="1"/>
  <c r="E326" i="2"/>
  <c r="F326" i="2" s="1"/>
  <c r="E342" i="2"/>
  <c r="F342" i="2" s="1"/>
  <c r="E354" i="2"/>
  <c r="F354" i="2" s="1"/>
  <c r="E362" i="2"/>
  <c r="F362" i="2" s="1"/>
  <c r="E370" i="2"/>
  <c r="F370" i="2" s="1"/>
  <c r="E378" i="2"/>
  <c r="F378" i="2" s="1"/>
  <c r="E386" i="2"/>
  <c r="F386" i="2" s="1"/>
  <c r="E394" i="2"/>
  <c r="F394" i="2" s="1"/>
  <c r="E402" i="2"/>
  <c r="F402" i="2" s="1"/>
  <c r="E410" i="2"/>
  <c r="F410" i="2" s="1"/>
  <c r="E418" i="2"/>
  <c r="F418" i="2" s="1"/>
  <c r="E426" i="2"/>
  <c r="F426" i="2" s="1"/>
  <c r="E434" i="2"/>
  <c r="F434" i="2" s="1"/>
  <c r="E442" i="2"/>
  <c r="F442" i="2" s="1"/>
  <c r="E450" i="2"/>
  <c r="F450" i="2" s="1"/>
  <c r="E458" i="2"/>
  <c r="F458" i="2" s="1"/>
  <c r="E465" i="2"/>
  <c r="F465" i="2" s="1"/>
  <c r="E466" i="2"/>
  <c r="F466" i="2" s="1"/>
  <c r="E473" i="2"/>
  <c r="F473" i="2" s="1"/>
  <c r="E474" i="2"/>
  <c r="F474" i="2" s="1"/>
  <c r="E481" i="2"/>
  <c r="F481" i="2" s="1"/>
  <c r="E482" i="2"/>
  <c r="F482" i="2" s="1"/>
  <c r="E489" i="2"/>
  <c r="F489" i="2" s="1"/>
  <c r="E490" i="2"/>
  <c r="F490" i="2" s="1"/>
  <c r="E497" i="2"/>
  <c r="F497" i="2" s="1"/>
  <c r="E498" i="2"/>
  <c r="F498" i="2" s="1"/>
  <c r="E505" i="2"/>
  <c r="F505" i="2" s="1"/>
  <c r="E506" i="2"/>
  <c r="F506" i="2" s="1"/>
  <c r="E513" i="2"/>
  <c r="F513" i="2" s="1"/>
  <c r="E514" i="2"/>
  <c r="F514" i="2" s="1"/>
  <c r="E521" i="2"/>
  <c r="F521" i="2" s="1"/>
  <c r="E522" i="2"/>
  <c r="F522" i="2" s="1"/>
  <c r="E529" i="2"/>
  <c r="F529" i="2" s="1"/>
  <c r="E530" i="2"/>
  <c r="F530" i="2" s="1"/>
  <c r="E537" i="2"/>
  <c r="F537" i="2" s="1"/>
  <c r="E538" i="2"/>
  <c r="F538" i="2" s="1"/>
  <c r="E545" i="2"/>
  <c r="F545" i="2" s="1"/>
  <c r="E546" i="2"/>
  <c r="F546" i="2" s="1"/>
  <c r="E553" i="2"/>
  <c r="F553" i="2" s="1"/>
  <c r="E554" i="2"/>
  <c r="F554" i="2" s="1"/>
  <c r="E561" i="2"/>
  <c r="F561" i="2" s="1"/>
  <c r="E562" i="2"/>
  <c r="F562" i="2" s="1"/>
  <c r="E569" i="2"/>
  <c r="F569" i="2" s="1"/>
  <c r="E570" i="2"/>
  <c r="F570" i="2" s="1"/>
  <c r="E577" i="2"/>
  <c r="F577" i="2" s="1"/>
  <c r="E578" i="2"/>
  <c r="F578" i="2" s="1"/>
  <c r="E585" i="2"/>
  <c r="F585" i="2" s="1"/>
  <c r="E586" i="2"/>
  <c r="F586" i="2" s="1"/>
  <c r="E593" i="2"/>
  <c r="F593" i="2" s="1"/>
  <c r="E594" i="2"/>
  <c r="F594" i="2" s="1"/>
  <c r="E601" i="2"/>
  <c r="F601" i="2" s="1"/>
  <c r="E602" i="2"/>
  <c r="F602" i="2" s="1"/>
  <c r="E609" i="2"/>
  <c r="F609" i="2" s="1"/>
  <c r="E610" i="2"/>
  <c r="F610" i="2" s="1"/>
  <c r="E617" i="2"/>
  <c r="F617" i="2" s="1"/>
  <c r="E618" i="2"/>
  <c r="F618" i="2" s="1"/>
  <c r="E625" i="2"/>
  <c r="F625" i="2" s="1"/>
  <c r="E626" i="2"/>
  <c r="F626" i="2" s="1"/>
  <c r="E633" i="2"/>
  <c r="F633" i="2" s="1"/>
  <c r="E634" i="2"/>
  <c r="F634" i="2" s="1"/>
  <c r="E641" i="2"/>
  <c r="F641" i="2" s="1"/>
  <c r="E642" i="2"/>
  <c r="F642" i="2" s="1"/>
  <c r="E649" i="2"/>
  <c r="F649" i="2" s="1"/>
  <c r="E650" i="2"/>
  <c r="F650" i="2" s="1"/>
  <c r="E657" i="2"/>
  <c r="F657" i="2" s="1"/>
  <c r="E658" i="2"/>
  <c r="F658" i="2" s="1"/>
  <c r="E665" i="2"/>
  <c r="F665" i="2" s="1"/>
  <c r="E666" i="2"/>
  <c r="F666" i="2" s="1"/>
  <c r="E673" i="2"/>
  <c r="F673" i="2" s="1"/>
  <c r="E674" i="2"/>
  <c r="F674" i="2" s="1"/>
  <c r="E681" i="2"/>
  <c r="F681" i="2" s="1"/>
  <c r="E682" i="2"/>
  <c r="F682" i="2" s="1"/>
  <c r="E689" i="2"/>
  <c r="F689" i="2" s="1"/>
  <c r="E690" i="2"/>
  <c r="F690" i="2" s="1"/>
  <c r="E697" i="2"/>
  <c r="F697" i="2" s="1"/>
  <c r="E698" i="2"/>
  <c r="F698" i="2" s="1"/>
  <c r="E705" i="2"/>
  <c r="F705" i="2" s="1"/>
  <c r="E706" i="2"/>
  <c r="F706" i="2" s="1"/>
  <c r="E713" i="2"/>
  <c r="F713" i="2" s="1"/>
  <c r="E714" i="2"/>
  <c r="F714" i="2" s="1"/>
  <c r="E721" i="2"/>
  <c r="F721" i="2" s="1"/>
  <c r="E722" i="2"/>
  <c r="F722" i="2" s="1"/>
  <c r="E729" i="2"/>
  <c r="F729" i="2" s="1"/>
  <c r="E730" i="2"/>
  <c r="F730" i="2" s="1"/>
  <c r="E737" i="2"/>
  <c r="F737" i="2" s="1"/>
  <c r="E738" i="2"/>
  <c r="F738" i="2" s="1"/>
  <c r="E745" i="2"/>
  <c r="F745" i="2" s="1"/>
  <c r="E746" i="2"/>
  <c r="F746" i="2" s="1"/>
  <c r="E753" i="2"/>
  <c r="F753" i="2" s="1"/>
  <c r="E754" i="2"/>
  <c r="F754" i="2" s="1"/>
  <c r="E761" i="2"/>
  <c r="F761" i="2" s="1"/>
  <c r="E762" i="2"/>
  <c r="F762" i="2" s="1"/>
  <c r="E769" i="2"/>
  <c r="F769" i="2" s="1"/>
  <c r="E770" i="2"/>
  <c r="F770" i="2" s="1"/>
  <c r="E777" i="2"/>
  <c r="F777" i="2" s="1"/>
  <c r="E778" i="2"/>
  <c r="F778" i="2" s="1"/>
  <c r="E785" i="2"/>
  <c r="F785" i="2" s="1"/>
  <c r="E786" i="2"/>
  <c r="F786" i="2" s="1"/>
  <c r="E793" i="2"/>
  <c r="F793" i="2" s="1"/>
  <c r="E794" i="2"/>
  <c r="F794" i="2" s="1"/>
  <c r="E801" i="2"/>
  <c r="F801" i="2" s="1"/>
  <c r="E802" i="2"/>
  <c r="F802" i="2" s="1"/>
  <c r="E809" i="2"/>
  <c r="F809" i="2" s="1"/>
  <c r="E810" i="2"/>
  <c r="F810" i="2" s="1"/>
  <c r="E817" i="2"/>
  <c r="F817" i="2" s="1"/>
  <c r="E818" i="2"/>
  <c r="F818" i="2" s="1"/>
  <c r="E825" i="2"/>
  <c r="F825" i="2" s="1"/>
  <c r="E826" i="2"/>
  <c r="F826" i="2" s="1"/>
  <c r="E833" i="2"/>
  <c r="F833" i="2" s="1"/>
  <c r="E834" i="2"/>
  <c r="F834" i="2" s="1"/>
  <c r="E841" i="2"/>
  <c r="F841" i="2" s="1"/>
  <c r="E842" i="2"/>
  <c r="F842" i="2" s="1"/>
  <c r="E849" i="2"/>
  <c r="F849" i="2" s="1"/>
  <c r="E850" i="2"/>
  <c r="F850" i="2" s="1"/>
  <c r="E857" i="2"/>
  <c r="F857" i="2" s="1"/>
  <c r="E858" i="2"/>
  <c r="F858" i="2" s="1"/>
  <c r="E865" i="2"/>
  <c r="F865" i="2" s="1"/>
  <c r="E866" i="2"/>
  <c r="F866" i="2" s="1"/>
  <c r="E873" i="2"/>
  <c r="F873" i="2" s="1"/>
  <c r="E874" i="2"/>
  <c r="F874" i="2" s="1"/>
  <c r="E880" i="2"/>
  <c r="F880" i="2" s="1"/>
  <c r="E881" i="2"/>
  <c r="F881" i="2" s="1"/>
  <c r="E885" i="2"/>
  <c r="F885" i="2" s="1"/>
  <c r="E886" i="2"/>
  <c r="F886" i="2" s="1"/>
  <c r="E892" i="2"/>
  <c r="F892" i="2" s="1"/>
  <c r="E896" i="2"/>
  <c r="F896" i="2" s="1"/>
  <c r="E897" i="2"/>
  <c r="F897" i="2" s="1"/>
  <c r="E901" i="2"/>
  <c r="F901" i="2" s="1"/>
  <c r="E902" i="2"/>
  <c r="F902" i="2" s="1"/>
  <c r="E908" i="2"/>
  <c r="F908" i="2" s="1"/>
  <c r="E912" i="2"/>
  <c r="F912" i="2" s="1"/>
  <c r="E913" i="2"/>
  <c r="F913" i="2" s="1"/>
  <c r="E917" i="2"/>
  <c r="F917" i="2" s="1"/>
  <c r="E918" i="2"/>
  <c r="F918" i="2" s="1"/>
  <c r="E924" i="2"/>
  <c r="F924" i="2" s="1"/>
  <c r="E928" i="2"/>
  <c r="F928" i="2" s="1"/>
  <c r="E929" i="2"/>
  <c r="F929" i="2" s="1"/>
  <c r="E933" i="2"/>
  <c r="F933" i="2" s="1"/>
  <c r="E934" i="2"/>
  <c r="F934" i="2" s="1"/>
  <c r="E940" i="2"/>
  <c r="F940" i="2" s="1"/>
  <c r="E944" i="2"/>
  <c r="F944" i="2" s="1"/>
  <c r="E945" i="2"/>
  <c r="F945" i="2" s="1"/>
  <c r="E949" i="2"/>
  <c r="F949" i="2" s="1"/>
  <c r="E950" i="2"/>
  <c r="F950" i="2" s="1"/>
  <c r="E956" i="2"/>
  <c r="F956" i="2" s="1"/>
  <c r="E960" i="2"/>
  <c r="F960" i="2" s="1"/>
  <c r="E961" i="2"/>
  <c r="F961" i="2" s="1"/>
  <c r="E965" i="2"/>
  <c r="F965" i="2" s="1"/>
  <c r="E966" i="2"/>
  <c r="F966" i="2" s="1"/>
  <c r="E972" i="2"/>
  <c r="F972" i="2" s="1"/>
  <c r="E976" i="2"/>
  <c r="F976" i="2" s="1"/>
  <c r="E977" i="2"/>
  <c r="F977" i="2" s="1"/>
  <c r="E981" i="2"/>
  <c r="F981" i="2" s="1"/>
  <c r="E982" i="2"/>
  <c r="F982" i="2" s="1"/>
  <c r="E988" i="2"/>
  <c r="F988" i="2" s="1"/>
  <c r="E2" i="2"/>
  <c r="F2" i="2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2" i="1"/>
  <c r="R3" i="1"/>
  <c r="E3" i="2" s="1"/>
  <c r="F3" i="2" s="1"/>
  <c r="R4" i="1"/>
  <c r="E4" i="2" s="1"/>
  <c r="F4" i="2" s="1"/>
  <c r="R5" i="1"/>
  <c r="E5" i="2" s="1"/>
  <c r="F5" i="2" s="1"/>
  <c r="R6" i="1"/>
  <c r="E6" i="2" s="1"/>
  <c r="F6" i="2" s="1"/>
  <c r="R7" i="1"/>
  <c r="E7" i="2" s="1"/>
  <c r="F7" i="2" s="1"/>
  <c r="R8" i="1"/>
  <c r="E8" i="2" s="1"/>
  <c r="F8" i="2" s="1"/>
  <c r="R9" i="1"/>
  <c r="E9" i="2" s="1"/>
  <c r="F9" i="2" s="1"/>
  <c r="R10" i="1"/>
  <c r="E10" i="2" s="1"/>
  <c r="F10" i="2" s="1"/>
  <c r="R11" i="1"/>
  <c r="E11" i="2" s="1"/>
  <c r="F11" i="2" s="1"/>
  <c r="R12" i="1"/>
  <c r="E12" i="2" s="1"/>
  <c r="F12" i="2" s="1"/>
  <c r="R13" i="1"/>
  <c r="E13" i="2" s="1"/>
  <c r="F13" i="2" s="1"/>
  <c r="R14" i="1"/>
  <c r="E14" i="2" s="1"/>
  <c r="F14" i="2" s="1"/>
  <c r="R15" i="1"/>
  <c r="E15" i="2" s="1"/>
  <c r="F15" i="2" s="1"/>
  <c r="R16" i="1"/>
  <c r="E16" i="2" s="1"/>
  <c r="F16" i="2" s="1"/>
  <c r="R17" i="1"/>
  <c r="E17" i="2" s="1"/>
  <c r="F17" i="2" s="1"/>
  <c r="R18" i="1"/>
  <c r="E18" i="2" s="1"/>
  <c r="F18" i="2" s="1"/>
  <c r="R19" i="1"/>
  <c r="E19" i="2" s="1"/>
  <c r="F19" i="2" s="1"/>
  <c r="R20" i="1"/>
  <c r="E20" i="2" s="1"/>
  <c r="F20" i="2" s="1"/>
  <c r="R21" i="1"/>
  <c r="E21" i="2" s="1"/>
  <c r="F21" i="2" s="1"/>
  <c r="R22" i="1"/>
  <c r="E22" i="2" s="1"/>
  <c r="F22" i="2" s="1"/>
  <c r="R23" i="1"/>
  <c r="E23" i="2" s="1"/>
  <c r="F23" i="2" s="1"/>
  <c r="R24" i="1"/>
  <c r="E24" i="2" s="1"/>
  <c r="F24" i="2" s="1"/>
  <c r="R25" i="1"/>
  <c r="E25" i="2" s="1"/>
  <c r="F25" i="2" s="1"/>
  <c r="R26" i="1"/>
  <c r="E26" i="2" s="1"/>
  <c r="F26" i="2" s="1"/>
  <c r="R27" i="1"/>
  <c r="E27" i="2" s="1"/>
  <c r="F27" i="2" s="1"/>
  <c r="R28" i="1"/>
  <c r="E28" i="2" s="1"/>
  <c r="F28" i="2" s="1"/>
  <c r="R29" i="1"/>
  <c r="E29" i="2" s="1"/>
  <c r="F29" i="2" s="1"/>
  <c r="R30" i="1"/>
  <c r="E30" i="2" s="1"/>
  <c r="F30" i="2" s="1"/>
  <c r="R31" i="1"/>
  <c r="E31" i="2" s="1"/>
  <c r="F31" i="2" s="1"/>
  <c r="R32" i="1"/>
  <c r="E32" i="2" s="1"/>
  <c r="F32" i="2" s="1"/>
  <c r="R33" i="1"/>
  <c r="E33" i="2" s="1"/>
  <c r="F33" i="2" s="1"/>
  <c r="R34" i="1"/>
  <c r="E34" i="2" s="1"/>
  <c r="F34" i="2" s="1"/>
  <c r="R35" i="1"/>
  <c r="E35" i="2" s="1"/>
  <c r="F35" i="2" s="1"/>
  <c r="R36" i="1"/>
  <c r="E36" i="2" s="1"/>
  <c r="F36" i="2" s="1"/>
  <c r="R37" i="1"/>
  <c r="E37" i="2" s="1"/>
  <c r="F37" i="2" s="1"/>
  <c r="R38" i="1"/>
  <c r="E38" i="2" s="1"/>
  <c r="F38" i="2" s="1"/>
  <c r="R39" i="1"/>
  <c r="E39" i="2" s="1"/>
  <c r="F39" i="2" s="1"/>
  <c r="R40" i="1"/>
  <c r="E40" i="2" s="1"/>
  <c r="F40" i="2" s="1"/>
  <c r="R41" i="1"/>
  <c r="E41" i="2" s="1"/>
  <c r="F41" i="2" s="1"/>
  <c r="R42" i="1"/>
  <c r="E42" i="2" s="1"/>
  <c r="F42" i="2" s="1"/>
  <c r="R43" i="1"/>
  <c r="E43" i="2" s="1"/>
  <c r="F43" i="2" s="1"/>
  <c r="R44" i="1"/>
  <c r="E44" i="2" s="1"/>
  <c r="F44" i="2" s="1"/>
  <c r="R45" i="1"/>
  <c r="E45" i="2" s="1"/>
  <c r="F45" i="2" s="1"/>
  <c r="R46" i="1"/>
  <c r="E46" i="2" s="1"/>
  <c r="F46" i="2" s="1"/>
  <c r="R47" i="1"/>
  <c r="E47" i="2" s="1"/>
  <c r="F47" i="2" s="1"/>
  <c r="R48" i="1"/>
  <c r="E48" i="2" s="1"/>
  <c r="F48" i="2" s="1"/>
  <c r="R49" i="1"/>
  <c r="E49" i="2" s="1"/>
  <c r="F49" i="2" s="1"/>
  <c r="R50" i="1"/>
  <c r="E50" i="2" s="1"/>
  <c r="F50" i="2" s="1"/>
  <c r="R51" i="1"/>
  <c r="E51" i="2" s="1"/>
  <c r="F51" i="2" s="1"/>
  <c r="R52" i="1"/>
  <c r="E52" i="2" s="1"/>
  <c r="F52" i="2" s="1"/>
  <c r="R53" i="1"/>
  <c r="E53" i="2" s="1"/>
  <c r="F53" i="2" s="1"/>
  <c r="R54" i="1"/>
  <c r="E54" i="2" s="1"/>
  <c r="F54" i="2" s="1"/>
  <c r="R55" i="1"/>
  <c r="E55" i="2" s="1"/>
  <c r="F55" i="2" s="1"/>
  <c r="R56" i="1"/>
  <c r="E56" i="2" s="1"/>
  <c r="F56" i="2" s="1"/>
  <c r="R57" i="1"/>
  <c r="E57" i="2" s="1"/>
  <c r="F57" i="2" s="1"/>
  <c r="R58" i="1"/>
  <c r="E58" i="2" s="1"/>
  <c r="F58" i="2" s="1"/>
  <c r="R59" i="1"/>
  <c r="E59" i="2" s="1"/>
  <c r="F59" i="2" s="1"/>
  <c r="R60" i="1"/>
  <c r="E60" i="2" s="1"/>
  <c r="F60" i="2" s="1"/>
  <c r="R61" i="1"/>
  <c r="E61" i="2" s="1"/>
  <c r="F61" i="2" s="1"/>
  <c r="R62" i="1"/>
  <c r="E62" i="2" s="1"/>
  <c r="F62" i="2" s="1"/>
  <c r="R63" i="1"/>
  <c r="E63" i="2" s="1"/>
  <c r="F63" i="2" s="1"/>
  <c r="R64" i="1"/>
  <c r="E64" i="2" s="1"/>
  <c r="F64" i="2" s="1"/>
  <c r="R65" i="1"/>
  <c r="E65" i="2" s="1"/>
  <c r="F65" i="2" s="1"/>
  <c r="R66" i="1"/>
  <c r="E66" i="2" s="1"/>
  <c r="F66" i="2" s="1"/>
  <c r="R67" i="1"/>
  <c r="E67" i="2" s="1"/>
  <c r="F67" i="2" s="1"/>
  <c r="R68" i="1"/>
  <c r="E68" i="2" s="1"/>
  <c r="F68" i="2" s="1"/>
  <c r="R69" i="1"/>
  <c r="R70" i="1"/>
  <c r="E70" i="2" s="1"/>
  <c r="F70" i="2" s="1"/>
  <c r="R71" i="1"/>
  <c r="E71" i="2" s="1"/>
  <c r="F71" i="2" s="1"/>
  <c r="R72" i="1"/>
  <c r="E72" i="2" s="1"/>
  <c r="F72" i="2" s="1"/>
  <c r="R73" i="1"/>
  <c r="E73" i="2" s="1"/>
  <c r="F73" i="2" s="1"/>
  <c r="R74" i="1"/>
  <c r="E74" i="2" s="1"/>
  <c r="F74" i="2" s="1"/>
  <c r="R75" i="1"/>
  <c r="E75" i="2" s="1"/>
  <c r="F75" i="2" s="1"/>
  <c r="R76" i="1"/>
  <c r="E76" i="2" s="1"/>
  <c r="F76" i="2" s="1"/>
  <c r="R77" i="1"/>
  <c r="E77" i="2" s="1"/>
  <c r="F77" i="2" s="1"/>
  <c r="R78" i="1"/>
  <c r="E78" i="2" s="1"/>
  <c r="F78" i="2" s="1"/>
  <c r="R79" i="1"/>
  <c r="E79" i="2" s="1"/>
  <c r="F79" i="2" s="1"/>
  <c r="R80" i="1"/>
  <c r="E80" i="2" s="1"/>
  <c r="F80" i="2" s="1"/>
  <c r="R81" i="1"/>
  <c r="E81" i="2" s="1"/>
  <c r="F81" i="2" s="1"/>
  <c r="R82" i="1"/>
  <c r="E82" i="2" s="1"/>
  <c r="F82" i="2" s="1"/>
  <c r="R83" i="1"/>
  <c r="E83" i="2" s="1"/>
  <c r="F83" i="2" s="1"/>
  <c r="R84" i="1"/>
  <c r="E84" i="2" s="1"/>
  <c r="F84" i="2" s="1"/>
  <c r="R85" i="1"/>
  <c r="E85" i="2" s="1"/>
  <c r="F85" i="2" s="1"/>
  <c r="R86" i="1"/>
  <c r="E86" i="2" s="1"/>
  <c r="F86" i="2" s="1"/>
  <c r="R87" i="1"/>
  <c r="E87" i="2" s="1"/>
  <c r="F87" i="2" s="1"/>
  <c r="R88" i="1"/>
  <c r="E88" i="2" s="1"/>
  <c r="F88" i="2" s="1"/>
  <c r="R89" i="1"/>
  <c r="E89" i="2" s="1"/>
  <c r="F89" i="2" s="1"/>
  <c r="R90" i="1"/>
  <c r="E90" i="2" s="1"/>
  <c r="F90" i="2" s="1"/>
  <c r="R91" i="1"/>
  <c r="E91" i="2" s="1"/>
  <c r="F91" i="2" s="1"/>
  <c r="R92" i="1"/>
  <c r="E92" i="2" s="1"/>
  <c r="F92" i="2" s="1"/>
  <c r="R93" i="1"/>
  <c r="E93" i="2" s="1"/>
  <c r="F93" i="2" s="1"/>
  <c r="R94" i="1"/>
  <c r="E94" i="2" s="1"/>
  <c r="F94" i="2" s="1"/>
  <c r="R95" i="1"/>
  <c r="E95" i="2" s="1"/>
  <c r="F95" i="2" s="1"/>
  <c r="R96" i="1"/>
  <c r="E96" i="2" s="1"/>
  <c r="F96" i="2" s="1"/>
  <c r="R97" i="1"/>
  <c r="E97" i="2" s="1"/>
  <c r="F97" i="2" s="1"/>
  <c r="R98" i="1"/>
  <c r="E98" i="2" s="1"/>
  <c r="F98" i="2" s="1"/>
  <c r="R99" i="1"/>
  <c r="E99" i="2" s="1"/>
  <c r="F99" i="2" s="1"/>
  <c r="R100" i="1"/>
  <c r="E100" i="2" s="1"/>
  <c r="F100" i="2" s="1"/>
  <c r="R101" i="1"/>
  <c r="E101" i="2" s="1"/>
  <c r="F101" i="2" s="1"/>
  <c r="R102" i="1"/>
  <c r="E102" i="2" s="1"/>
  <c r="F102" i="2" s="1"/>
  <c r="R103" i="1"/>
  <c r="E103" i="2" s="1"/>
  <c r="F103" i="2" s="1"/>
  <c r="R104" i="1"/>
  <c r="E104" i="2" s="1"/>
  <c r="F104" i="2" s="1"/>
  <c r="R105" i="1"/>
  <c r="E105" i="2" s="1"/>
  <c r="F105" i="2" s="1"/>
  <c r="R106" i="1"/>
  <c r="E106" i="2" s="1"/>
  <c r="F106" i="2" s="1"/>
  <c r="R107" i="1"/>
  <c r="E107" i="2" s="1"/>
  <c r="F107" i="2" s="1"/>
  <c r="R108" i="1"/>
  <c r="E108" i="2" s="1"/>
  <c r="F108" i="2" s="1"/>
  <c r="R109" i="1"/>
  <c r="E109" i="2" s="1"/>
  <c r="F109" i="2" s="1"/>
  <c r="R110" i="1"/>
  <c r="E110" i="2" s="1"/>
  <c r="F110" i="2" s="1"/>
  <c r="R111" i="1"/>
  <c r="E111" i="2" s="1"/>
  <c r="F111" i="2" s="1"/>
  <c r="R112" i="1"/>
  <c r="E112" i="2" s="1"/>
  <c r="F112" i="2" s="1"/>
  <c r="R113" i="1"/>
  <c r="E113" i="2" s="1"/>
  <c r="F113" i="2" s="1"/>
  <c r="R114" i="1"/>
  <c r="E114" i="2" s="1"/>
  <c r="F114" i="2" s="1"/>
  <c r="R115" i="1"/>
  <c r="E115" i="2" s="1"/>
  <c r="F115" i="2" s="1"/>
  <c r="R116" i="1"/>
  <c r="E116" i="2" s="1"/>
  <c r="F116" i="2" s="1"/>
  <c r="R117" i="1"/>
  <c r="E117" i="2" s="1"/>
  <c r="F117" i="2" s="1"/>
  <c r="R118" i="1"/>
  <c r="E118" i="2" s="1"/>
  <c r="F118" i="2" s="1"/>
  <c r="R119" i="1"/>
  <c r="E119" i="2" s="1"/>
  <c r="F119" i="2" s="1"/>
  <c r="R120" i="1"/>
  <c r="E120" i="2" s="1"/>
  <c r="F120" i="2" s="1"/>
  <c r="R121" i="1"/>
  <c r="E121" i="2" s="1"/>
  <c r="F121" i="2" s="1"/>
  <c r="R122" i="1"/>
  <c r="E122" i="2" s="1"/>
  <c r="F122" i="2" s="1"/>
  <c r="R123" i="1"/>
  <c r="E123" i="2" s="1"/>
  <c r="F123" i="2" s="1"/>
  <c r="R124" i="1"/>
  <c r="E124" i="2" s="1"/>
  <c r="F124" i="2" s="1"/>
  <c r="R125" i="1"/>
  <c r="E125" i="2" s="1"/>
  <c r="F125" i="2" s="1"/>
  <c r="R126" i="1"/>
  <c r="E126" i="2" s="1"/>
  <c r="F126" i="2" s="1"/>
  <c r="R127" i="1"/>
  <c r="E127" i="2" s="1"/>
  <c r="F127" i="2" s="1"/>
  <c r="R128" i="1"/>
  <c r="E128" i="2" s="1"/>
  <c r="F128" i="2" s="1"/>
  <c r="R129" i="1"/>
  <c r="E129" i="2" s="1"/>
  <c r="F129" i="2" s="1"/>
  <c r="R130" i="1"/>
  <c r="E130" i="2" s="1"/>
  <c r="F130" i="2" s="1"/>
  <c r="R131" i="1"/>
  <c r="E131" i="2" s="1"/>
  <c r="F131" i="2" s="1"/>
  <c r="R132" i="1"/>
  <c r="E132" i="2" s="1"/>
  <c r="F132" i="2" s="1"/>
  <c r="R133" i="1"/>
  <c r="R134" i="1"/>
  <c r="E134" i="2" s="1"/>
  <c r="F134" i="2" s="1"/>
  <c r="R135" i="1"/>
  <c r="E135" i="2" s="1"/>
  <c r="F135" i="2" s="1"/>
  <c r="R136" i="1"/>
  <c r="E136" i="2" s="1"/>
  <c r="F136" i="2" s="1"/>
  <c r="R137" i="1"/>
  <c r="E137" i="2" s="1"/>
  <c r="F137" i="2" s="1"/>
  <c r="R138" i="1"/>
  <c r="E138" i="2" s="1"/>
  <c r="F138" i="2" s="1"/>
  <c r="R139" i="1"/>
  <c r="E139" i="2" s="1"/>
  <c r="F139" i="2" s="1"/>
  <c r="R140" i="1"/>
  <c r="E140" i="2" s="1"/>
  <c r="F140" i="2" s="1"/>
  <c r="R141" i="1"/>
  <c r="E141" i="2" s="1"/>
  <c r="F141" i="2" s="1"/>
  <c r="R142" i="1"/>
  <c r="E142" i="2" s="1"/>
  <c r="F142" i="2" s="1"/>
  <c r="R143" i="1"/>
  <c r="E143" i="2" s="1"/>
  <c r="F143" i="2" s="1"/>
  <c r="R144" i="1"/>
  <c r="E144" i="2" s="1"/>
  <c r="F144" i="2" s="1"/>
  <c r="R145" i="1"/>
  <c r="E145" i="2" s="1"/>
  <c r="F145" i="2" s="1"/>
  <c r="R146" i="1"/>
  <c r="E146" i="2" s="1"/>
  <c r="F146" i="2" s="1"/>
  <c r="R147" i="1"/>
  <c r="E147" i="2" s="1"/>
  <c r="F147" i="2" s="1"/>
  <c r="R148" i="1"/>
  <c r="E148" i="2" s="1"/>
  <c r="F148" i="2" s="1"/>
  <c r="R149" i="1"/>
  <c r="E149" i="2" s="1"/>
  <c r="F149" i="2" s="1"/>
  <c r="R150" i="1"/>
  <c r="E150" i="2" s="1"/>
  <c r="F150" i="2" s="1"/>
  <c r="R151" i="1"/>
  <c r="E151" i="2" s="1"/>
  <c r="F151" i="2" s="1"/>
  <c r="R152" i="1"/>
  <c r="E152" i="2" s="1"/>
  <c r="F152" i="2" s="1"/>
  <c r="R153" i="1"/>
  <c r="E153" i="2" s="1"/>
  <c r="F153" i="2" s="1"/>
  <c r="R154" i="1"/>
  <c r="E154" i="2" s="1"/>
  <c r="F154" i="2" s="1"/>
  <c r="R155" i="1"/>
  <c r="E155" i="2" s="1"/>
  <c r="F155" i="2" s="1"/>
  <c r="R156" i="1"/>
  <c r="E156" i="2" s="1"/>
  <c r="F156" i="2" s="1"/>
  <c r="R157" i="1"/>
  <c r="E157" i="2" s="1"/>
  <c r="F157" i="2" s="1"/>
  <c r="R158" i="1"/>
  <c r="E158" i="2" s="1"/>
  <c r="F158" i="2" s="1"/>
  <c r="R159" i="1"/>
  <c r="E159" i="2" s="1"/>
  <c r="F159" i="2" s="1"/>
  <c r="R160" i="1"/>
  <c r="E160" i="2" s="1"/>
  <c r="F160" i="2" s="1"/>
  <c r="R161" i="1"/>
  <c r="E161" i="2" s="1"/>
  <c r="F161" i="2" s="1"/>
  <c r="R162" i="1"/>
  <c r="E162" i="2" s="1"/>
  <c r="F162" i="2" s="1"/>
  <c r="R163" i="1"/>
  <c r="E163" i="2" s="1"/>
  <c r="F163" i="2" s="1"/>
  <c r="R164" i="1"/>
  <c r="E164" i="2" s="1"/>
  <c r="F164" i="2" s="1"/>
  <c r="R165" i="1"/>
  <c r="E165" i="2" s="1"/>
  <c r="F165" i="2" s="1"/>
  <c r="R166" i="1"/>
  <c r="E166" i="2" s="1"/>
  <c r="F166" i="2" s="1"/>
  <c r="R167" i="1"/>
  <c r="E167" i="2" s="1"/>
  <c r="F167" i="2" s="1"/>
  <c r="R168" i="1"/>
  <c r="E168" i="2" s="1"/>
  <c r="F168" i="2" s="1"/>
  <c r="R169" i="1"/>
  <c r="E169" i="2" s="1"/>
  <c r="F169" i="2" s="1"/>
  <c r="R170" i="1"/>
  <c r="E170" i="2" s="1"/>
  <c r="F170" i="2" s="1"/>
  <c r="R171" i="1"/>
  <c r="E171" i="2" s="1"/>
  <c r="F171" i="2" s="1"/>
  <c r="R172" i="1"/>
  <c r="E172" i="2" s="1"/>
  <c r="F172" i="2" s="1"/>
  <c r="R173" i="1"/>
  <c r="E173" i="2" s="1"/>
  <c r="F173" i="2" s="1"/>
  <c r="R174" i="1"/>
  <c r="E174" i="2" s="1"/>
  <c r="F174" i="2" s="1"/>
  <c r="R175" i="1"/>
  <c r="E175" i="2" s="1"/>
  <c r="F175" i="2" s="1"/>
  <c r="R176" i="1"/>
  <c r="E176" i="2" s="1"/>
  <c r="F176" i="2" s="1"/>
  <c r="R177" i="1"/>
  <c r="E177" i="2" s="1"/>
  <c r="F177" i="2" s="1"/>
  <c r="R178" i="1"/>
  <c r="E178" i="2" s="1"/>
  <c r="F178" i="2" s="1"/>
  <c r="R179" i="1"/>
  <c r="E179" i="2" s="1"/>
  <c r="F179" i="2" s="1"/>
  <c r="R180" i="1"/>
  <c r="E180" i="2" s="1"/>
  <c r="F180" i="2" s="1"/>
  <c r="R181" i="1"/>
  <c r="E181" i="2" s="1"/>
  <c r="F181" i="2" s="1"/>
  <c r="R182" i="1"/>
  <c r="E182" i="2" s="1"/>
  <c r="F182" i="2" s="1"/>
  <c r="R183" i="1"/>
  <c r="E183" i="2" s="1"/>
  <c r="F183" i="2" s="1"/>
  <c r="R184" i="1"/>
  <c r="E184" i="2" s="1"/>
  <c r="F184" i="2" s="1"/>
  <c r="R185" i="1"/>
  <c r="E185" i="2" s="1"/>
  <c r="F185" i="2" s="1"/>
  <c r="R186" i="1"/>
  <c r="E186" i="2" s="1"/>
  <c r="F186" i="2" s="1"/>
  <c r="R187" i="1"/>
  <c r="E187" i="2" s="1"/>
  <c r="F187" i="2" s="1"/>
  <c r="R188" i="1"/>
  <c r="E188" i="2" s="1"/>
  <c r="F188" i="2" s="1"/>
  <c r="R189" i="1"/>
  <c r="E189" i="2" s="1"/>
  <c r="F189" i="2" s="1"/>
  <c r="R190" i="1"/>
  <c r="E190" i="2" s="1"/>
  <c r="F190" i="2" s="1"/>
  <c r="R191" i="1"/>
  <c r="E191" i="2" s="1"/>
  <c r="F191" i="2" s="1"/>
  <c r="R192" i="1"/>
  <c r="E192" i="2" s="1"/>
  <c r="F192" i="2" s="1"/>
  <c r="R193" i="1"/>
  <c r="E193" i="2" s="1"/>
  <c r="F193" i="2" s="1"/>
  <c r="R194" i="1"/>
  <c r="E194" i="2" s="1"/>
  <c r="F194" i="2" s="1"/>
  <c r="R195" i="1"/>
  <c r="E195" i="2" s="1"/>
  <c r="F195" i="2" s="1"/>
  <c r="R196" i="1"/>
  <c r="E196" i="2" s="1"/>
  <c r="F196" i="2" s="1"/>
  <c r="R197" i="1"/>
  <c r="R198" i="1"/>
  <c r="E198" i="2" s="1"/>
  <c r="F198" i="2" s="1"/>
  <c r="R199" i="1"/>
  <c r="E199" i="2" s="1"/>
  <c r="F199" i="2" s="1"/>
  <c r="R200" i="1"/>
  <c r="E200" i="2" s="1"/>
  <c r="F200" i="2" s="1"/>
  <c r="R201" i="1"/>
  <c r="E201" i="2" s="1"/>
  <c r="F201" i="2" s="1"/>
  <c r="R202" i="1"/>
  <c r="E202" i="2" s="1"/>
  <c r="F202" i="2" s="1"/>
  <c r="R203" i="1"/>
  <c r="E203" i="2" s="1"/>
  <c r="F203" i="2" s="1"/>
  <c r="R204" i="1"/>
  <c r="E204" i="2" s="1"/>
  <c r="F204" i="2" s="1"/>
  <c r="R205" i="1"/>
  <c r="E205" i="2" s="1"/>
  <c r="F205" i="2" s="1"/>
  <c r="R206" i="1"/>
  <c r="E206" i="2" s="1"/>
  <c r="F206" i="2" s="1"/>
  <c r="R207" i="1"/>
  <c r="E207" i="2" s="1"/>
  <c r="F207" i="2" s="1"/>
  <c r="R208" i="1"/>
  <c r="E208" i="2" s="1"/>
  <c r="F208" i="2" s="1"/>
  <c r="R209" i="1"/>
  <c r="E209" i="2" s="1"/>
  <c r="F209" i="2" s="1"/>
  <c r="R210" i="1"/>
  <c r="E210" i="2" s="1"/>
  <c r="F210" i="2" s="1"/>
  <c r="R211" i="1"/>
  <c r="E211" i="2" s="1"/>
  <c r="F211" i="2" s="1"/>
  <c r="R212" i="1"/>
  <c r="E212" i="2" s="1"/>
  <c r="F212" i="2" s="1"/>
  <c r="R213" i="1"/>
  <c r="E213" i="2" s="1"/>
  <c r="F213" i="2" s="1"/>
  <c r="R214" i="1"/>
  <c r="E214" i="2" s="1"/>
  <c r="F214" i="2" s="1"/>
  <c r="R215" i="1"/>
  <c r="E215" i="2" s="1"/>
  <c r="F215" i="2" s="1"/>
  <c r="R216" i="1"/>
  <c r="E216" i="2" s="1"/>
  <c r="F216" i="2" s="1"/>
  <c r="R217" i="1"/>
  <c r="E217" i="2" s="1"/>
  <c r="F217" i="2" s="1"/>
  <c r="R218" i="1"/>
  <c r="E218" i="2" s="1"/>
  <c r="F218" i="2" s="1"/>
  <c r="R219" i="1"/>
  <c r="E219" i="2" s="1"/>
  <c r="F219" i="2" s="1"/>
  <c r="R220" i="1"/>
  <c r="E220" i="2" s="1"/>
  <c r="F220" i="2" s="1"/>
  <c r="R221" i="1"/>
  <c r="E221" i="2" s="1"/>
  <c r="F221" i="2" s="1"/>
  <c r="R222" i="1"/>
  <c r="E222" i="2" s="1"/>
  <c r="F222" i="2" s="1"/>
  <c r="R223" i="1"/>
  <c r="E223" i="2" s="1"/>
  <c r="F223" i="2" s="1"/>
  <c r="R224" i="1"/>
  <c r="E224" i="2" s="1"/>
  <c r="F224" i="2" s="1"/>
  <c r="R225" i="1"/>
  <c r="E225" i="2" s="1"/>
  <c r="F225" i="2" s="1"/>
  <c r="R226" i="1"/>
  <c r="E226" i="2" s="1"/>
  <c r="F226" i="2" s="1"/>
  <c r="R227" i="1"/>
  <c r="E227" i="2" s="1"/>
  <c r="F227" i="2" s="1"/>
  <c r="R228" i="1"/>
  <c r="E228" i="2" s="1"/>
  <c r="F228" i="2" s="1"/>
  <c r="R229" i="1"/>
  <c r="E229" i="2" s="1"/>
  <c r="F229" i="2" s="1"/>
  <c r="R230" i="1"/>
  <c r="E230" i="2" s="1"/>
  <c r="F230" i="2" s="1"/>
  <c r="R231" i="1"/>
  <c r="E231" i="2" s="1"/>
  <c r="F231" i="2" s="1"/>
  <c r="R232" i="1"/>
  <c r="E232" i="2" s="1"/>
  <c r="F232" i="2" s="1"/>
  <c r="R233" i="1"/>
  <c r="E233" i="2" s="1"/>
  <c r="F233" i="2" s="1"/>
  <c r="R234" i="1"/>
  <c r="E234" i="2" s="1"/>
  <c r="F234" i="2" s="1"/>
  <c r="R235" i="1"/>
  <c r="E235" i="2" s="1"/>
  <c r="F235" i="2" s="1"/>
  <c r="R236" i="1"/>
  <c r="E236" i="2" s="1"/>
  <c r="F236" i="2" s="1"/>
  <c r="R237" i="1"/>
  <c r="E237" i="2" s="1"/>
  <c r="F237" i="2" s="1"/>
  <c r="R238" i="1"/>
  <c r="E238" i="2" s="1"/>
  <c r="F238" i="2" s="1"/>
  <c r="R239" i="1"/>
  <c r="E239" i="2" s="1"/>
  <c r="F239" i="2" s="1"/>
  <c r="R240" i="1"/>
  <c r="E240" i="2" s="1"/>
  <c r="F240" i="2" s="1"/>
  <c r="R241" i="1"/>
  <c r="E241" i="2" s="1"/>
  <c r="F241" i="2" s="1"/>
  <c r="R242" i="1"/>
  <c r="E242" i="2" s="1"/>
  <c r="F242" i="2" s="1"/>
  <c r="R243" i="1"/>
  <c r="E243" i="2" s="1"/>
  <c r="F243" i="2" s="1"/>
  <c r="R244" i="1"/>
  <c r="E244" i="2" s="1"/>
  <c r="F244" i="2" s="1"/>
  <c r="R245" i="1"/>
  <c r="E245" i="2" s="1"/>
  <c r="F245" i="2" s="1"/>
  <c r="R246" i="1"/>
  <c r="E246" i="2" s="1"/>
  <c r="F246" i="2" s="1"/>
  <c r="R247" i="1"/>
  <c r="E247" i="2" s="1"/>
  <c r="F247" i="2" s="1"/>
  <c r="R248" i="1"/>
  <c r="E248" i="2" s="1"/>
  <c r="F248" i="2" s="1"/>
  <c r="R249" i="1"/>
  <c r="E249" i="2" s="1"/>
  <c r="F249" i="2" s="1"/>
  <c r="R250" i="1"/>
  <c r="E250" i="2" s="1"/>
  <c r="F250" i="2" s="1"/>
  <c r="R251" i="1"/>
  <c r="E251" i="2" s="1"/>
  <c r="F251" i="2" s="1"/>
  <c r="R252" i="1"/>
  <c r="E252" i="2" s="1"/>
  <c r="F252" i="2" s="1"/>
  <c r="R253" i="1"/>
  <c r="E253" i="2" s="1"/>
  <c r="F253" i="2" s="1"/>
  <c r="R254" i="1"/>
  <c r="E254" i="2" s="1"/>
  <c r="F254" i="2" s="1"/>
  <c r="R255" i="1"/>
  <c r="E255" i="2" s="1"/>
  <c r="F255" i="2" s="1"/>
  <c r="R256" i="1"/>
  <c r="E256" i="2" s="1"/>
  <c r="F256" i="2" s="1"/>
  <c r="R257" i="1"/>
  <c r="E257" i="2" s="1"/>
  <c r="F257" i="2" s="1"/>
  <c r="R258" i="1"/>
  <c r="E258" i="2" s="1"/>
  <c r="F258" i="2" s="1"/>
  <c r="R259" i="1"/>
  <c r="E259" i="2" s="1"/>
  <c r="F259" i="2" s="1"/>
  <c r="R260" i="1"/>
  <c r="E260" i="2" s="1"/>
  <c r="F260" i="2" s="1"/>
  <c r="R261" i="1"/>
  <c r="E261" i="2" s="1"/>
  <c r="F261" i="2" s="1"/>
  <c r="R262" i="1"/>
  <c r="E262" i="2" s="1"/>
  <c r="F262" i="2" s="1"/>
  <c r="R263" i="1"/>
  <c r="E263" i="2" s="1"/>
  <c r="F263" i="2" s="1"/>
  <c r="R264" i="1"/>
  <c r="E264" i="2" s="1"/>
  <c r="F264" i="2" s="1"/>
  <c r="R265" i="1"/>
  <c r="E265" i="2" s="1"/>
  <c r="F265" i="2" s="1"/>
  <c r="R266" i="1"/>
  <c r="E266" i="2" s="1"/>
  <c r="F266" i="2" s="1"/>
  <c r="R267" i="1"/>
  <c r="E267" i="2" s="1"/>
  <c r="F267" i="2" s="1"/>
  <c r="R268" i="1"/>
  <c r="E268" i="2" s="1"/>
  <c r="F268" i="2" s="1"/>
  <c r="R269" i="1"/>
  <c r="R270" i="1"/>
  <c r="E270" i="2" s="1"/>
  <c r="F270" i="2" s="1"/>
  <c r="R271" i="1"/>
  <c r="E271" i="2" s="1"/>
  <c r="F271" i="2" s="1"/>
  <c r="R272" i="1"/>
  <c r="E272" i="2" s="1"/>
  <c r="F272" i="2" s="1"/>
  <c r="R273" i="1"/>
  <c r="E273" i="2" s="1"/>
  <c r="F273" i="2" s="1"/>
  <c r="R274" i="1"/>
  <c r="E274" i="2" s="1"/>
  <c r="F274" i="2" s="1"/>
  <c r="R275" i="1"/>
  <c r="E275" i="2" s="1"/>
  <c r="F275" i="2" s="1"/>
  <c r="R276" i="1"/>
  <c r="E276" i="2" s="1"/>
  <c r="F276" i="2" s="1"/>
  <c r="R277" i="1"/>
  <c r="E277" i="2" s="1"/>
  <c r="F277" i="2" s="1"/>
  <c r="R278" i="1"/>
  <c r="E278" i="2" s="1"/>
  <c r="F278" i="2" s="1"/>
  <c r="R279" i="1"/>
  <c r="E279" i="2" s="1"/>
  <c r="F279" i="2" s="1"/>
  <c r="R280" i="1"/>
  <c r="E280" i="2" s="1"/>
  <c r="F280" i="2" s="1"/>
  <c r="R281" i="1"/>
  <c r="E281" i="2" s="1"/>
  <c r="F281" i="2" s="1"/>
  <c r="R282" i="1"/>
  <c r="E282" i="2" s="1"/>
  <c r="F282" i="2" s="1"/>
  <c r="R283" i="1"/>
  <c r="E283" i="2" s="1"/>
  <c r="F283" i="2" s="1"/>
  <c r="R284" i="1"/>
  <c r="E284" i="2" s="1"/>
  <c r="F284" i="2" s="1"/>
  <c r="R285" i="1"/>
  <c r="E285" i="2" s="1"/>
  <c r="F285" i="2" s="1"/>
  <c r="R286" i="1"/>
  <c r="E286" i="2" s="1"/>
  <c r="F286" i="2" s="1"/>
  <c r="R287" i="1"/>
  <c r="E287" i="2" s="1"/>
  <c r="F287" i="2" s="1"/>
  <c r="R288" i="1"/>
  <c r="E288" i="2" s="1"/>
  <c r="F288" i="2" s="1"/>
  <c r="R289" i="1"/>
  <c r="E289" i="2" s="1"/>
  <c r="F289" i="2" s="1"/>
  <c r="R290" i="1"/>
  <c r="R291" i="1"/>
  <c r="E291" i="2" s="1"/>
  <c r="F291" i="2" s="1"/>
  <c r="R292" i="1"/>
  <c r="E292" i="2" s="1"/>
  <c r="F292" i="2" s="1"/>
  <c r="R293" i="1"/>
  <c r="E293" i="2" s="1"/>
  <c r="F293" i="2" s="1"/>
  <c r="R294" i="1"/>
  <c r="E294" i="2" s="1"/>
  <c r="F294" i="2" s="1"/>
  <c r="R295" i="1"/>
  <c r="E295" i="2" s="1"/>
  <c r="F295" i="2" s="1"/>
  <c r="R296" i="1"/>
  <c r="E296" i="2" s="1"/>
  <c r="F296" i="2" s="1"/>
  <c r="R297" i="1"/>
  <c r="E297" i="2" s="1"/>
  <c r="F297" i="2" s="1"/>
  <c r="R298" i="1"/>
  <c r="E298" i="2" s="1"/>
  <c r="F298" i="2" s="1"/>
  <c r="R299" i="1"/>
  <c r="E299" i="2" s="1"/>
  <c r="F299" i="2" s="1"/>
  <c r="R300" i="1"/>
  <c r="E300" i="2" s="1"/>
  <c r="F300" i="2" s="1"/>
  <c r="R301" i="1"/>
  <c r="E301" i="2" s="1"/>
  <c r="F301" i="2" s="1"/>
  <c r="R302" i="1"/>
  <c r="E302" i="2" s="1"/>
  <c r="F302" i="2" s="1"/>
  <c r="R303" i="1"/>
  <c r="E303" i="2" s="1"/>
  <c r="F303" i="2" s="1"/>
  <c r="R304" i="1"/>
  <c r="E304" i="2" s="1"/>
  <c r="F304" i="2" s="1"/>
  <c r="R305" i="1"/>
  <c r="E305" i="2" s="1"/>
  <c r="F305" i="2" s="1"/>
  <c r="R306" i="1"/>
  <c r="E306" i="2" s="1"/>
  <c r="F306" i="2" s="1"/>
  <c r="R307" i="1"/>
  <c r="E307" i="2" s="1"/>
  <c r="F307" i="2" s="1"/>
  <c r="R308" i="1"/>
  <c r="E308" i="2" s="1"/>
  <c r="F308" i="2" s="1"/>
  <c r="R309" i="1"/>
  <c r="E309" i="2" s="1"/>
  <c r="F309" i="2" s="1"/>
  <c r="R310" i="1"/>
  <c r="R311" i="1"/>
  <c r="E311" i="2" s="1"/>
  <c r="F311" i="2" s="1"/>
  <c r="R312" i="1"/>
  <c r="E312" i="2" s="1"/>
  <c r="F312" i="2" s="1"/>
  <c r="R313" i="1"/>
  <c r="E313" i="2" s="1"/>
  <c r="F313" i="2" s="1"/>
  <c r="R314" i="1"/>
  <c r="E314" i="2" s="1"/>
  <c r="F314" i="2" s="1"/>
  <c r="R315" i="1"/>
  <c r="E315" i="2" s="1"/>
  <c r="F315" i="2" s="1"/>
  <c r="R316" i="1"/>
  <c r="E316" i="2" s="1"/>
  <c r="F316" i="2" s="1"/>
  <c r="R317" i="1"/>
  <c r="E317" i="2" s="1"/>
  <c r="F317" i="2" s="1"/>
  <c r="R318" i="1"/>
  <c r="E318" i="2" s="1"/>
  <c r="F318" i="2" s="1"/>
  <c r="R319" i="1"/>
  <c r="E319" i="2" s="1"/>
  <c r="F319" i="2" s="1"/>
  <c r="R320" i="1"/>
  <c r="E320" i="2" s="1"/>
  <c r="F320" i="2" s="1"/>
  <c r="R321" i="1"/>
  <c r="E321" i="2" s="1"/>
  <c r="F321" i="2" s="1"/>
  <c r="R322" i="1"/>
  <c r="E322" i="2" s="1"/>
  <c r="F322" i="2" s="1"/>
  <c r="R323" i="1"/>
  <c r="E323" i="2" s="1"/>
  <c r="F323" i="2" s="1"/>
  <c r="R324" i="1"/>
  <c r="E324" i="2" s="1"/>
  <c r="F324" i="2" s="1"/>
  <c r="R325" i="1"/>
  <c r="E325" i="2" s="1"/>
  <c r="F325" i="2" s="1"/>
  <c r="R326" i="1"/>
  <c r="R327" i="1"/>
  <c r="E327" i="2" s="1"/>
  <c r="F327" i="2" s="1"/>
  <c r="R328" i="1"/>
  <c r="E328" i="2" s="1"/>
  <c r="F328" i="2" s="1"/>
  <c r="R329" i="1"/>
  <c r="E329" i="2" s="1"/>
  <c r="F329" i="2" s="1"/>
  <c r="R330" i="1"/>
  <c r="E330" i="2" s="1"/>
  <c r="F330" i="2" s="1"/>
  <c r="R331" i="1"/>
  <c r="E331" i="2" s="1"/>
  <c r="F331" i="2" s="1"/>
  <c r="R332" i="1"/>
  <c r="E332" i="2" s="1"/>
  <c r="F332" i="2" s="1"/>
  <c r="R333" i="1"/>
  <c r="E333" i="2" s="1"/>
  <c r="F333" i="2" s="1"/>
  <c r="R334" i="1"/>
  <c r="E334" i="2" s="1"/>
  <c r="F334" i="2" s="1"/>
  <c r="R335" i="1"/>
  <c r="E335" i="2" s="1"/>
  <c r="F335" i="2" s="1"/>
  <c r="R336" i="1"/>
  <c r="E336" i="2" s="1"/>
  <c r="F336" i="2" s="1"/>
  <c r="R337" i="1"/>
  <c r="E337" i="2" s="1"/>
  <c r="F337" i="2" s="1"/>
  <c r="R338" i="1"/>
  <c r="E338" i="2" s="1"/>
  <c r="F338" i="2" s="1"/>
  <c r="R339" i="1"/>
  <c r="E339" i="2" s="1"/>
  <c r="F339" i="2" s="1"/>
  <c r="R340" i="1"/>
  <c r="E340" i="2" s="1"/>
  <c r="F340" i="2" s="1"/>
  <c r="R341" i="1"/>
  <c r="E341" i="2" s="1"/>
  <c r="F341" i="2" s="1"/>
  <c r="R342" i="1"/>
  <c r="R343" i="1"/>
  <c r="E343" i="2" s="1"/>
  <c r="F343" i="2" s="1"/>
  <c r="R344" i="1"/>
  <c r="E344" i="2" s="1"/>
  <c r="F344" i="2" s="1"/>
  <c r="R345" i="1"/>
  <c r="E345" i="2" s="1"/>
  <c r="F345" i="2" s="1"/>
  <c r="R346" i="1"/>
  <c r="E346" i="2" s="1"/>
  <c r="F346" i="2" s="1"/>
  <c r="R347" i="1"/>
  <c r="E347" i="2" s="1"/>
  <c r="F347" i="2" s="1"/>
  <c r="R348" i="1"/>
  <c r="E348" i="2" s="1"/>
  <c r="F348" i="2" s="1"/>
  <c r="R349" i="1"/>
  <c r="E349" i="2" s="1"/>
  <c r="F349" i="2" s="1"/>
  <c r="R350" i="1"/>
  <c r="E350" i="2" s="1"/>
  <c r="F350" i="2" s="1"/>
  <c r="R351" i="1"/>
  <c r="E351" i="2" s="1"/>
  <c r="F351" i="2" s="1"/>
  <c r="R352" i="1"/>
  <c r="E352" i="2" s="1"/>
  <c r="F352" i="2" s="1"/>
  <c r="R353" i="1"/>
  <c r="E353" i="2" s="1"/>
  <c r="F353" i="2" s="1"/>
  <c r="R354" i="1"/>
  <c r="R355" i="1"/>
  <c r="E355" i="2" s="1"/>
  <c r="F355" i="2" s="1"/>
  <c r="R356" i="1"/>
  <c r="E356" i="2" s="1"/>
  <c r="F356" i="2" s="1"/>
  <c r="R357" i="1"/>
  <c r="E357" i="2" s="1"/>
  <c r="F357" i="2" s="1"/>
  <c r="R358" i="1"/>
  <c r="E358" i="2" s="1"/>
  <c r="F358" i="2" s="1"/>
  <c r="R359" i="1"/>
  <c r="E359" i="2" s="1"/>
  <c r="F359" i="2" s="1"/>
  <c r="R360" i="1"/>
  <c r="E360" i="2" s="1"/>
  <c r="F360" i="2" s="1"/>
  <c r="R361" i="1"/>
  <c r="E361" i="2" s="1"/>
  <c r="F361" i="2" s="1"/>
  <c r="R362" i="1"/>
  <c r="R363" i="1"/>
  <c r="E363" i="2" s="1"/>
  <c r="F363" i="2" s="1"/>
  <c r="R364" i="1"/>
  <c r="E364" i="2" s="1"/>
  <c r="F364" i="2" s="1"/>
  <c r="R365" i="1"/>
  <c r="E365" i="2" s="1"/>
  <c r="F365" i="2" s="1"/>
  <c r="R366" i="1"/>
  <c r="E366" i="2" s="1"/>
  <c r="F366" i="2" s="1"/>
  <c r="R367" i="1"/>
  <c r="E367" i="2" s="1"/>
  <c r="F367" i="2" s="1"/>
  <c r="R368" i="1"/>
  <c r="E368" i="2" s="1"/>
  <c r="F368" i="2" s="1"/>
  <c r="R369" i="1"/>
  <c r="E369" i="2" s="1"/>
  <c r="F369" i="2" s="1"/>
  <c r="R370" i="1"/>
  <c r="R371" i="1"/>
  <c r="E371" i="2" s="1"/>
  <c r="F371" i="2" s="1"/>
  <c r="R372" i="1"/>
  <c r="E372" i="2" s="1"/>
  <c r="F372" i="2" s="1"/>
  <c r="R373" i="1"/>
  <c r="E373" i="2" s="1"/>
  <c r="F373" i="2" s="1"/>
  <c r="R374" i="1"/>
  <c r="E374" i="2" s="1"/>
  <c r="F374" i="2" s="1"/>
  <c r="R375" i="1"/>
  <c r="E375" i="2" s="1"/>
  <c r="F375" i="2" s="1"/>
  <c r="R376" i="1"/>
  <c r="E376" i="2" s="1"/>
  <c r="F376" i="2" s="1"/>
  <c r="R377" i="1"/>
  <c r="E377" i="2" s="1"/>
  <c r="F377" i="2" s="1"/>
  <c r="R378" i="1"/>
  <c r="R379" i="1"/>
  <c r="E379" i="2" s="1"/>
  <c r="F379" i="2" s="1"/>
  <c r="R380" i="1"/>
  <c r="E380" i="2" s="1"/>
  <c r="F380" i="2" s="1"/>
  <c r="R381" i="1"/>
  <c r="E381" i="2" s="1"/>
  <c r="F381" i="2" s="1"/>
  <c r="R382" i="1"/>
  <c r="E382" i="2" s="1"/>
  <c r="F382" i="2" s="1"/>
  <c r="R383" i="1"/>
  <c r="E383" i="2" s="1"/>
  <c r="F383" i="2" s="1"/>
  <c r="R384" i="1"/>
  <c r="E384" i="2" s="1"/>
  <c r="F384" i="2" s="1"/>
  <c r="R385" i="1"/>
  <c r="E385" i="2" s="1"/>
  <c r="F385" i="2" s="1"/>
  <c r="R386" i="1"/>
  <c r="R387" i="1"/>
  <c r="E387" i="2" s="1"/>
  <c r="F387" i="2" s="1"/>
  <c r="R388" i="1"/>
  <c r="E388" i="2" s="1"/>
  <c r="F388" i="2" s="1"/>
  <c r="R389" i="1"/>
  <c r="E389" i="2" s="1"/>
  <c r="F389" i="2" s="1"/>
  <c r="R390" i="1"/>
  <c r="E390" i="2" s="1"/>
  <c r="F390" i="2" s="1"/>
  <c r="R391" i="1"/>
  <c r="E391" i="2" s="1"/>
  <c r="F391" i="2" s="1"/>
  <c r="R392" i="1"/>
  <c r="E392" i="2" s="1"/>
  <c r="F392" i="2" s="1"/>
  <c r="R393" i="1"/>
  <c r="E393" i="2" s="1"/>
  <c r="F393" i="2" s="1"/>
  <c r="R394" i="1"/>
  <c r="R395" i="1"/>
  <c r="E395" i="2" s="1"/>
  <c r="F395" i="2" s="1"/>
  <c r="R396" i="1"/>
  <c r="E396" i="2" s="1"/>
  <c r="F396" i="2" s="1"/>
  <c r="R397" i="1"/>
  <c r="E397" i="2" s="1"/>
  <c r="F397" i="2" s="1"/>
  <c r="R398" i="1"/>
  <c r="E398" i="2" s="1"/>
  <c r="F398" i="2" s="1"/>
  <c r="R399" i="1"/>
  <c r="E399" i="2" s="1"/>
  <c r="F399" i="2" s="1"/>
  <c r="R400" i="1"/>
  <c r="E400" i="2" s="1"/>
  <c r="F400" i="2" s="1"/>
  <c r="R401" i="1"/>
  <c r="E401" i="2" s="1"/>
  <c r="F401" i="2" s="1"/>
  <c r="R402" i="1"/>
  <c r="R403" i="1"/>
  <c r="E403" i="2" s="1"/>
  <c r="F403" i="2" s="1"/>
  <c r="R404" i="1"/>
  <c r="E404" i="2" s="1"/>
  <c r="F404" i="2" s="1"/>
  <c r="R405" i="1"/>
  <c r="E405" i="2" s="1"/>
  <c r="F405" i="2" s="1"/>
  <c r="R406" i="1"/>
  <c r="E406" i="2" s="1"/>
  <c r="F406" i="2" s="1"/>
  <c r="R407" i="1"/>
  <c r="E407" i="2" s="1"/>
  <c r="F407" i="2" s="1"/>
  <c r="R408" i="1"/>
  <c r="E408" i="2" s="1"/>
  <c r="F408" i="2" s="1"/>
  <c r="R409" i="1"/>
  <c r="E409" i="2" s="1"/>
  <c r="F409" i="2" s="1"/>
  <c r="R410" i="1"/>
  <c r="R411" i="1"/>
  <c r="E411" i="2" s="1"/>
  <c r="F411" i="2" s="1"/>
  <c r="R412" i="1"/>
  <c r="E412" i="2" s="1"/>
  <c r="F412" i="2" s="1"/>
  <c r="R413" i="1"/>
  <c r="E413" i="2" s="1"/>
  <c r="F413" i="2" s="1"/>
  <c r="R414" i="1"/>
  <c r="E414" i="2" s="1"/>
  <c r="F414" i="2" s="1"/>
  <c r="R415" i="1"/>
  <c r="E415" i="2" s="1"/>
  <c r="F415" i="2" s="1"/>
  <c r="R416" i="1"/>
  <c r="E416" i="2" s="1"/>
  <c r="F416" i="2" s="1"/>
  <c r="R417" i="1"/>
  <c r="E417" i="2" s="1"/>
  <c r="F417" i="2" s="1"/>
  <c r="R418" i="1"/>
  <c r="R419" i="1"/>
  <c r="E419" i="2" s="1"/>
  <c r="F419" i="2" s="1"/>
  <c r="R420" i="1"/>
  <c r="E420" i="2" s="1"/>
  <c r="F420" i="2" s="1"/>
  <c r="R421" i="1"/>
  <c r="E421" i="2" s="1"/>
  <c r="F421" i="2" s="1"/>
  <c r="R422" i="1"/>
  <c r="E422" i="2" s="1"/>
  <c r="F422" i="2" s="1"/>
  <c r="R423" i="1"/>
  <c r="E423" i="2" s="1"/>
  <c r="F423" i="2" s="1"/>
  <c r="R424" i="1"/>
  <c r="E424" i="2" s="1"/>
  <c r="F424" i="2" s="1"/>
  <c r="R425" i="1"/>
  <c r="E425" i="2" s="1"/>
  <c r="F425" i="2" s="1"/>
  <c r="R426" i="1"/>
  <c r="R427" i="1"/>
  <c r="E427" i="2" s="1"/>
  <c r="F427" i="2" s="1"/>
  <c r="R428" i="1"/>
  <c r="E428" i="2" s="1"/>
  <c r="F428" i="2" s="1"/>
  <c r="R429" i="1"/>
  <c r="E429" i="2" s="1"/>
  <c r="F429" i="2" s="1"/>
  <c r="R430" i="1"/>
  <c r="E430" i="2" s="1"/>
  <c r="F430" i="2" s="1"/>
  <c r="R431" i="1"/>
  <c r="E431" i="2" s="1"/>
  <c r="F431" i="2" s="1"/>
  <c r="R432" i="1"/>
  <c r="E432" i="2" s="1"/>
  <c r="F432" i="2" s="1"/>
  <c r="R433" i="1"/>
  <c r="E433" i="2" s="1"/>
  <c r="F433" i="2" s="1"/>
  <c r="R434" i="1"/>
  <c r="R435" i="1"/>
  <c r="E435" i="2" s="1"/>
  <c r="F435" i="2" s="1"/>
  <c r="R436" i="1"/>
  <c r="E436" i="2" s="1"/>
  <c r="F436" i="2" s="1"/>
  <c r="R437" i="1"/>
  <c r="E437" i="2" s="1"/>
  <c r="F437" i="2" s="1"/>
  <c r="R438" i="1"/>
  <c r="E438" i="2" s="1"/>
  <c r="F438" i="2" s="1"/>
  <c r="R439" i="1"/>
  <c r="E439" i="2" s="1"/>
  <c r="F439" i="2" s="1"/>
  <c r="R440" i="1"/>
  <c r="E440" i="2" s="1"/>
  <c r="F440" i="2" s="1"/>
  <c r="R441" i="1"/>
  <c r="E441" i="2" s="1"/>
  <c r="F441" i="2" s="1"/>
  <c r="R442" i="1"/>
  <c r="R443" i="1"/>
  <c r="E443" i="2" s="1"/>
  <c r="F443" i="2" s="1"/>
  <c r="R444" i="1"/>
  <c r="E444" i="2" s="1"/>
  <c r="F444" i="2" s="1"/>
  <c r="R445" i="1"/>
  <c r="E445" i="2" s="1"/>
  <c r="F445" i="2" s="1"/>
  <c r="R446" i="1"/>
  <c r="E446" i="2" s="1"/>
  <c r="F446" i="2" s="1"/>
  <c r="R447" i="1"/>
  <c r="E447" i="2" s="1"/>
  <c r="F447" i="2" s="1"/>
  <c r="R448" i="1"/>
  <c r="E448" i="2" s="1"/>
  <c r="F448" i="2" s="1"/>
  <c r="R449" i="1"/>
  <c r="E449" i="2" s="1"/>
  <c r="F449" i="2" s="1"/>
  <c r="R450" i="1"/>
  <c r="R451" i="1"/>
  <c r="E451" i="2" s="1"/>
  <c r="F451" i="2" s="1"/>
  <c r="R452" i="1"/>
  <c r="E452" i="2" s="1"/>
  <c r="F452" i="2" s="1"/>
  <c r="R453" i="1"/>
  <c r="E453" i="2" s="1"/>
  <c r="F453" i="2" s="1"/>
  <c r="R454" i="1"/>
  <c r="E454" i="2" s="1"/>
  <c r="F454" i="2" s="1"/>
  <c r="R455" i="1"/>
  <c r="E455" i="2" s="1"/>
  <c r="F455" i="2" s="1"/>
  <c r="R456" i="1"/>
  <c r="E456" i="2" s="1"/>
  <c r="F456" i="2" s="1"/>
  <c r="R457" i="1"/>
  <c r="E457" i="2" s="1"/>
  <c r="F457" i="2" s="1"/>
  <c r="R458" i="1"/>
  <c r="R459" i="1"/>
  <c r="E459" i="2" s="1"/>
  <c r="F459" i="2" s="1"/>
  <c r="R460" i="1"/>
  <c r="E460" i="2" s="1"/>
  <c r="F460" i="2" s="1"/>
  <c r="R461" i="1"/>
  <c r="E461" i="2" s="1"/>
  <c r="F461" i="2" s="1"/>
  <c r="R462" i="1"/>
  <c r="E462" i="2" s="1"/>
  <c r="F462" i="2" s="1"/>
  <c r="R463" i="1"/>
  <c r="E463" i="2" s="1"/>
  <c r="F463" i="2" s="1"/>
  <c r="R464" i="1"/>
  <c r="E464" i="2" s="1"/>
  <c r="F464" i="2" s="1"/>
  <c r="R465" i="1"/>
  <c r="R466" i="1"/>
  <c r="R467" i="1"/>
  <c r="E467" i="2" s="1"/>
  <c r="F467" i="2" s="1"/>
  <c r="R468" i="1"/>
  <c r="E468" i="2" s="1"/>
  <c r="F468" i="2" s="1"/>
  <c r="R469" i="1"/>
  <c r="E469" i="2" s="1"/>
  <c r="F469" i="2" s="1"/>
  <c r="R470" i="1"/>
  <c r="E470" i="2" s="1"/>
  <c r="F470" i="2" s="1"/>
  <c r="R471" i="1"/>
  <c r="E471" i="2" s="1"/>
  <c r="F471" i="2" s="1"/>
  <c r="R472" i="1"/>
  <c r="E472" i="2" s="1"/>
  <c r="F472" i="2" s="1"/>
  <c r="R473" i="1"/>
  <c r="R474" i="1"/>
  <c r="R475" i="1"/>
  <c r="E475" i="2" s="1"/>
  <c r="F475" i="2" s="1"/>
  <c r="R476" i="1"/>
  <c r="E476" i="2" s="1"/>
  <c r="F476" i="2" s="1"/>
  <c r="R477" i="1"/>
  <c r="E477" i="2" s="1"/>
  <c r="F477" i="2" s="1"/>
  <c r="R478" i="1"/>
  <c r="E478" i="2" s="1"/>
  <c r="F478" i="2" s="1"/>
  <c r="R479" i="1"/>
  <c r="E479" i="2" s="1"/>
  <c r="F479" i="2" s="1"/>
  <c r="R480" i="1"/>
  <c r="E480" i="2" s="1"/>
  <c r="F480" i="2" s="1"/>
  <c r="R481" i="1"/>
  <c r="R482" i="1"/>
  <c r="R483" i="1"/>
  <c r="E483" i="2" s="1"/>
  <c r="F483" i="2" s="1"/>
  <c r="R484" i="1"/>
  <c r="E484" i="2" s="1"/>
  <c r="F484" i="2" s="1"/>
  <c r="R485" i="1"/>
  <c r="E485" i="2" s="1"/>
  <c r="F485" i="2" s="1"/>
  <c r="R486" i="1"/>
  <c r="E486" i="2" s="1"/>
  <c r="F486" i="2" s="1"/>
  <c r="R487" i="1"/>
  <c r="E487" i="2" s="1"/>
  <c r="F487" i="2" s="1"/>
  <c r="R488" i="1"/>
  <c r="E488" i="2" s="1"/>
  <c r="F488" i="2" s="1"/>
  <c r="R489" i="1"/>
  <c r="R490" i="1"/>
  <c r="R491" i="1"/>
  <c r="E491" i="2" s="1"/>
  <c r="F491" i="2" s="1"/>
  <c r="R492" i="1"/>
  <c r="E492" i="2" s="1"/>
  <c r="F492" i="2" s="1"/>
  <c r="R493" i="1"/>
  <c r="E493" i="2" s="1"/>
  <c r="F493" i="2" s="1"/>
  <c r="R494" i="1"/>
  <c r="E494" i="2" s="1"/>
  <c r="F494" i="2" s="1"/>
  <c r="R495" i="1"/>
  <c r="E495" i="2" s="1"/>
  <c r="F495" i="2" s="1"/>
  <c r="R496" i="1"/>
  <c r="E496" i="2" s="1"/>
  <c r="F496" i="2" s="1"/>
  <c r="R497" i="1"/>
  <c r="R498" i="1"/>
  <c r="R499" i="1"/>
  <c r="E499" i="2" s="1"/>
  <c r="F499" i="2" s="1"/>
  <c r="R500" i="1"/>
  <c r="E500" i="2" s="1"/>
  <c r="F500" i="2" s="1"/>
  <c r="R501" i="1"/>
  <c r="E501" i="2" s="1"/>
  <c r="F501" i="2" s="1"/>
  <c r="R502" i="1"/>
  <c r="E502" i="2" s="1"/>
  <c r="F502" i="2" s="1"/>
  <c r="R503" i="1"/>
  <c r="E503" i="2" s="1"/>
  <c r="F503" i="2" s="1"/>
  <c r="R504" i="1"/>
  <c r="E504" i="2" s="1"/>
  <c r="F504" i="2" s="1"/>
  <c r="R505" i="1"/>
  <c r="R506" i="1"/>
  <c r="R507" i="1"/>
  <c r="E507" i="2" s="1"/>
  <c r="F507" i="2" s="1"/>
  <c r="R508" i="1"/>
  <c r="E508" i="2" s="1"/>
  <c r="F508" i="2" s="1"/>
  <c r="R509" i="1"/>
  <c r="E509" i="2" s="1"/>
  <c r="F509" i="2" s="1"/>
  <c r="R510" i="1"/>
  <c r="E510" i="2" s="1"/>
  <c r="F510" i="2" s="1"/>
  <c r="R511" i="1"/>
  <c r="E511" i="2" s="1"/>
  <c r="F511" i="2" s="1"/>
  <c r="R512" i="1"/>
  <c r="E512" i="2" s="1"/>
  <c r="F512" i="2" s="1"/>
  <c r="R513" i="1"/>
  <c r="R514" i="1"/>
  <c r="R515" i="1"/>
  <c r="E515" i="2" s="1"/>
  <c r="F515" i="2" s="1"/>
  <c r="R516" i="1"/>
  <c r="E516" i="2" s="1"/>
  <c r="F516" i="2" s="1"/>
  <c r="R517" i="1"/>
  <c r="E517" i="2" s="1"/>
  <c r="F517" i="2" s="1"/>
  <c r="R518" i="1"/>
  <c r="E518" i="2" s="1"/>
  <c r="F518" i="2" s="1"/>
  <c r="R519" i="1"/>
  <c r="E519" i="2" s="1"/>
  <c r="F519" i="2" s="1"/>
  <c r="R520" i="1"/>
  <c r="E520" i="2" s="1"/>
  <c r="F520" i="2" s="1"/>
  <c r="R521" i="1"/>
  <c r="R522" i="1"/>
  <c r="R523" i="1"/>
  <c r="E523" i="2" s="1"/>
  <c r="F523" i="2" s="1"/>
  <c r="R524" i="1"/>
  <c r="E524" i="2" s="1"/>
  <c r="F524" i="2" s="1"/>
  <c r="R525" i="1"/>
  <c r="E525" i="2" s="1"/>
  <c r="F525" i="2" s="1"/>
  <c r="R526" i="1"/>
  <c r="E526" i="2" s="1"/>
  <c r="F526" i="2" s="1"/>
  <c r="R527" i="1"/>
  <c r="E527" i="2" s="1"/>
  <c r="F527" i="2" s="1"/>
  <c r="R528" i="1"/>
  <c r="E528" i="2" s="1"/>
  <c r="F528" i="2" s="1"/>
  <c r="R529" i="1"/>
  <c r="R530" i="1"/>
  <c r="R531" i="1"/>
  <c r="E531" i="2" s="1"/>
  <c r="F531" i="2" s="1"/>
  <c r="R532" i="1"/>
  <c r="E532" i="2" s="1"/>
  <c r="F532" i="2" s="1"/>
  <c r="R533" i="1"/>
  <c r="E533" i="2" s="1"/>
  <c r="F533" i="2" s="1"/>
  <c r="R534" i="1"/>
  <c r="E534" i="2" s="1"/>
  <c r="F534" i="2" s="1"/>
  <c r="R535" i="1"/>
  <c r="E535" i="2" s="1"/>
  <c r="F535" i="2" s="1"/>
  <c r="R536" i="1"/>
  <c r="E536" i="2" s="1"/>
  <c r="F536" i="2" s="1"/>
  <c r="R537" i="1"/>
  <c r="R538" i="1"/>
  <c r="R539" i="1"/>
  <c r="E539" i="2" s="1"/>
  <c r="F539" i="2" s="1"/>
  <c r="R540" i="1"/>
  <c r="E540" i="2" s="1"/>
  <c r="F540" i="2" s="1"/>
  <c r="R541" i="1"/>
  <c r="E541" i="2" s="1"/>
  <c r="F541" i="2" s="1"/>
  <c r="R542" i="1"/>
  <c r="E542" i="2" s="1"/>
  <c r="F542" i="2" s="1"/>
  <c r="R543" i="1"/>
  <c r="E543" i="2" s="1"/>
  <c r="F543" i="2" s="1"/>
  <c r="R544" i="1"/>
  <c r="E544" i="2" s="1"/>
  <c r="F544" i="2" s="1"/>
  <c r="R545" i="1"/>
  <c r="R546" i="1"/>
  <c r="R547" i="1"/>
  <c r="E547" i="2" s="1"/>
  <c r="F547" i="2" s="1"/>
  <c r="R548" i="1"/>
  <c r="E548" i="2" s="1"/>
  <c r="F548" i="2" s="1"/>
  <c r="R549" i="1"/>
  <c r="E549" i="2" s="1"/>
  <c r="F549" i="2" s="1"/>
  <c r="R550" i="1"/>
  <c r="E550" i="2" s="1"/>
  <c r="F550" i="2" s="1"/>
  <c r="R551" i="1"/>
  <c r="E551" i="2" s="1"/>
  <c r="F551" i="2" s="1"/>
  <c r="R552" i="1"/>
  <c r="E552" i="2" s="1"/>
  <c r="F552" i="2" s="1"/>
  <c r="R553" i="1"/>
  <c r="R554" i="1"/>
  <c r="R555" i="1"/>
  <c r="E555" i="2" s="1"/>
  <c r="F555" i="2" s="1"/>
  <c r="R556" i="1"/>
  <c r="E556" i="2" s="1"/>
  <c r="F556" i="2" s="1"/>
  <c r="R557" i="1"/>
  <c r="E557" i="2" s="1"/>
  <c r="F557" i="2" s="1"/>
  <c r="R558" i="1"/>
  <c r="E558" i="2" s="1"/>
  <c r="F558" i="2" s="1"/>
  <c r="R559" i="1"/>
  <c r="E559" i="2" s="1"/>
  <c r="F559" i="2" s="1"/>
  <c r="R560" i="1"/>
  <c r="E560" i="2" s="1"/>
  <c r="F560" i="2" s="1"/>
  <c r="R561" i="1"/>
  <c r="R562" i="1"/>
  <c r="R563" i="1"/>
  <c r="E563" i="2" s="1"/>
  <c r="F563" i="2" s="1"/>
  <c r="R564" i="1"/>
  <c r="E564" i="2" s="1"/>
  <c r="F564" i="2" s="1"/>
  <c r="R565" i="1"/>
  <c r="E565" i="2" s="1"/>
  <c r="F565" i="2" s="1"/>
  <c r="R566" i="1"/>
  <c r="E566" i="2" s="1"/>
  <c r="F566" i="2" s="1"/>
  <c r="R567" i="1"/>
  <c r="E567" i="2" s="1"/>
  <c r="F567" i="2" s="1"/>
  <c r="R568" i="1"/>
  <c r="E568" i="2" s="1"/>
  <c r="F568" i="2" s="1"/>
  <c r="R569" i="1"/>
  <c r="R570" i="1"/>
  <c r="R571" i="1"/>
  <c r="E571" i="2" s="1"/>
  <c r="F571" i="2" s="1"/>
  <c r="R572" i="1"/>
  <c r="E572" i="2" s="1"/>
  <c r="F572" i="2" s="1"/>
  <c r="R573" i="1"/>
  <c r="E573" i="2" s="1"/>
  <c r="F573" i="2" s="1"/>
  <c r="R574" i="1"/>
  <c r="E574" i="2" s="1"/>
  <c r="F574" i="2" s="1"/>
  <c r="R575" i="1"/>
  <c r="E575" i="2" s="1"/>
  <c r="F575" i="2" s="1"/>
  <c r="R576" i="1"/>
  <c r="E576" i="2" s="1"/>
  <c r="F576" i="2" s="1"/>
  <c r="R577" i="1"/>
  <c r="R578" i="1"/>
  <c r="R579" i="1"/>
  <c r="E579" i="2" s="1"/>
  <c r="F579" i="2" s="1"/>
  <c r="R580" i="1"/>
  <c r="E580" i="2" s="1"/>
  <c r="F580" i="2" s="1"/>
  <c r="R581" i="1"/>
  <c r="E581" i="2" s="1"/>
  <c r="F581" i="2" s="1"/>
  <c r="R582" i="1"/>
  <c r="E582" i="2" s="1"/>
  <c r="F582" i="2" s="1"/>
  <c r="R583" i="1"/>
  <c r="E583" i="2" s="1"/>
  <c r="F583" i="2" s="1"/>
  <c r="R584" i="1"/>
  <c r="E584" i="2" s="1"/>
  <c r="F584" i="2" s="1"/>
  <c r="R585" i="1"/>
  <c r="R586" i="1"/>
  <c r="R587" i="1"/>
  <c r="E587" i="2" s="1"/>
  <c r="F587" i="2" s="1"/>
  <c r="R588" i="1"/>
  <c r="E588" i="2" s="1"/>
  <c r="F588" i="2" s="1"/>
  <c r="R589" i="1"/>
  <c r="E589" i="2" s="1"/>
  <c r="F589" i="2" s="1"/>
  <c r="R590" i="1"/>
  <c r="E590" i="2" s="1"/>
  <c r="F590" i="2" s="1"/>
  <c r="R591" i="1"/>
  <c r="E591" i="2" s="1"/>
  <c r="F591" i="2" s="1"/>
  <c r="R592" i="1"/>
  <c r="E592" i="2" s="1"/>
  <c r="F592" i="2" s="1"/>
  <c r="R593" i="1"/>
  <c r="R594" i="1"/>
  <c r="R595" i="1"/>
  <c r="E595" i="2" s="1"/>
  <c r="F595" i="2" s="1"/>
  <c r="R596" i="1"/>
  <c r="E596" i="2" s="1"/>
  <c r="F596" i="2" s="1"/>
  <c r="R597" i="1"/>
  <c r="E597" i="2" s="1"/>
  <c r="F597" i="2" s="1"/>
  <c r="R598" i="1"/>
  <c r="E598" i="2" s="1"/>
  <c r="F598" i="2" s="1"/>
  <c r="R599" i="1"/>
  <c r="E599" i="2" s="1"/>
  <c r="F599" i="2" s="1"/>
  <c r="R600" i="1"/>
  <c r="E600" i="2" s="1"/>
  <c r="F600" i="2" s="1"/>
  <c r="R601" i="1"/>
  <c r="R602" i="1"/>
  <c r="R603" i="1"/>
  <c r="E603" i="2" s="1"/>
  <c r="F603" i="2" s="1"/>
  <c r="R604" i="1"/>
  <c r="E604" i="2" s="1"/>
  <c r="F604" i="2" s="1"/>
  <c r="R605" i="1"/>
  <c r="E605" i="2" s="1"/>
  <c r="F605" i="2" s="1"/>
  <c r="R606" i="1"/>
  <c r="E606" i="2" s="1"/>
  <c r="F606" i="2" s="1"/>
  <c r="R607" i="1"/>
  <c r="E607" i="2" s="1"/>
  <c r="F607" i="2" s="1"/>
  <c r="R608" i="1"/>
  <c r="E608" i="2" s="1"/>
  <c r="F608" i="2" s="1"/>
  <c r="R609" i="1"/>
  <c r="R610" i="1"/>
  <c r="R611" i="1"/>
  <c r="E611" i="2" s="1"/>
  <c r="F611" i="2" s="1"/>
  <c r="R612" i="1"/>
  <c r="E612" i="2" s="1"/>
  <c r="F612" i="2" s="1"/>
  <c r="R613" i="1"/>
  <c r="E613" i="2" s="1"/>
  <c r="F613" i="2" s="1"/>
  <c r="R614" i="1"/>
  <c r="E614" i="2" s="1"/>
  <c r="F614" i="2" s="1"/>
  <c r="R615" i="1"/>
  <c r="E615" i="2" s="1"/>
  <c r="F615" i="2" s="1"/>
  <c r="R616" i="1"/>
  <c r="E616" i="2" s="1"/>
  <c r="F616" i="2" s="1"/>
  <c r="R617" i="1"/>
  <c r="R618" i="1"/>
  <c r="R619" i="1"/>
  <c r="E619" i="2" s="1"/>
  <c r="F619" i="2" s="1"/>
  <c r="R620" i="1"/>
  <c r="E620" i="2" s="1"/>
  <c r="F620" i="2" s="1"/>
  <c r="R621" i="1"/>
  <c r="E621" i="2" s="1"/>
  <c r="F621" i="2" s="1"/>
  <c r="R622" i="1"/>
  <c r="E622" i="2" s="1"/>
  <c r="F622" i="2" s="1"/>
  <c r="R623" i="1"/>
  <c r="E623" i="2" s="1"/>
  <c r="F623" i="2" s="1"/>
  <c r="R624" i="1"/>
  <c r="E624" i="2" s="1"/>
  <c r="F624" i="2" s="1"/>
  <c r="R625" i="1"/>
  <c r="R626" i="1"/>
  <c r="R627" i="1"/>
  <c r="E627" i="2" s="1"/>
  <c r="F627" i="2" s="1"/>
  <c r="R628" i="1"/>
  <c r="E628" i="2" s="1"/>
  <c r="F628" i="2" s="1"/>
  <c r="R629" i="1"/>
  <c r="E629" i="2" s="1"/>
  <c r="F629" i="2" s="1"/>
  <c r="R630" i="1"/>
  <c r="E630" i="2" s="1"/>
  <c r="F630" i="2" s="1"/>
  <c r="R631" i="1"/>
  <c r="E631" i="2" s="1"/>
  <c r="F631" i="2" s="1"/>
  <c r="R632" i="1"/>
  <c r="E632" i="2" s="1"/>
  <c r="F632" i="2" s="1"/>
  <c r="R633" i="1"/>
  <c r="R634" i="1"/>
  <c r="R635" i="1"/>
  <c r="E635" i="2" s="1"/>
  <c r="F635" i="2" s="1"/>
  <c r="R636" i="1"/>
  <c r="E636" i="2" s="1"/>
  <c r="F636" i="2" s="1"/>
  <c r="R637" i="1"/>
  <c r="E637" i="2" s="1"/>
  <c r="F637" i="2" s="1"/>
  <c r="R638" i="1"/>
  <c r="E638" i="2" s="1"/>
  <c r="F638" i="2" s="1"/>
  <c r="R639" i="1"/>
  <c r="E639" i="2" s="1"/>
  <c r="F639" i="2" s="1"/>
  <c r="R640" i="1"/>
  <c r="E640" i="2" s="1"/>
  <c r="F640" i="2" s="1"/>
  <c r="R641" i="1"/>
  <c r="R642" i="1"/>
  <c r="R643" i="1"/>
  <c r="E643" i="2" s="1"/>
  <c r="F643" i="2" s="1"/>
  <c r="R644" i="1"/>
  <c r="E644" i="2" s="1"/>
  <c r="F644" i="2" s="1"/>
  <c r="R645" i="1"/>
  <c r="E645" i="2" s="1"/>
  <c r="F645" i="2" s="1"/>
  <c r="R646" i="1"/>
  <c r="E646" i="2" s="1"/>
  <c r="F646" i="2" s="1"/>
  <c r="R647" i="1"/>
  <c r="E647" i="2" s="1"/>
  <c r="F647" i="2" s="1"/>
  <c r="R648" i="1"/>
  <c r="E648" i="2" s="1"/>
  <c r="F648" i="2" s="1"/>
  <c r="R649" i="1"/>
  <c r="R650" i="1"/>
  <c r="R651" i="1"/>
  <c r="E651" i="2" s="1"/>
  <c r="F651" i="2" s="1"/>
  <c r="R652" i="1"/>
  <c r="E652" i="2" s="1"/>
  <c r="F652" i="2" s="1"/>
  <c r="R653" i="1"/>
  <c r="E653" i="2" s="1"/>
  <c r="F653" i="2" s="1"/>
  <c r="R654" i="1"/>
  <c r="E654" i="2" s="1"/>
  <c r="F654" i="2" s="1"/>
  <c r="R655" i="1"/>
  <c r="E655" i="2" s="1"/>
  <c r="F655" i="2" s="1"/>
  <c r="R656" i="1"/>
  <c r="E656" i="2" s="1"/>
  <c r="F656" i="2" s="1"/>
  <c r="R657" i="1"/>
  <c r="R658" i="1"/>
  <c r="R659" i="1"/>
  <c r="E659" i="2" s="1"/>
  <c r="F659" i="2" s="1"/>
  <c r="R660" i="1"/>
  <c r="E660" i="2" s="1"/>
  <c r="F660" i="2" s="1"/>
  <c r="R661" i="1"/>
  <c r="E661" i="2" s="1"/>
  <c r="F661" i="2" s="1"/>
  <c r="R662" i="1"/>
  <c r="E662" i="2" s="1"/>
  <c r="F662" i="2" s="1"/>
  <c r="R663" i="1"/>
  <c r="E663" i="2" s="1"/>
  <c r="F663" i="2" s="1"/>
  <c r="R664" i="1"/>
  <c r="E664" i="2" s="1"/>
  <c r="F664" i="2" s="1"/>
  <c r="R665" i="1"/>
  <c r="R666" i="1"/>
  <c r="R667" i="1"/>
  <c r="E667" i="2" s="1"/>
  <c r="F667" i="2" s="1"/>
  <c r="R668" i="1"/>
  <c r="E668" i="2" s="1"/>
  <c r="F668" i="2" s="1"/>
  <c r="R669" i="1"/>
  <c r="E669" i="2" s="1"/>
  <c r="F669" i="2" s="1"/>
  <c r="R670" i="1"/>
  <c r="E670" i="2" s="1"/>
  <c r="F670" i="2" s="1"/>
  <c r="R671" i="1"/>
  <c r="E671" i="2" s="1"/>
  <c r="F671" i="2" s="1"/>
  <c r="R672" i="1"/>
  <c r="E672" i="2" s="1"/>
  <c r="F672" i="2" s="1"/>
  <c r="R673" i="1"/>
  <c r="R674" i="1"/>
  <c r="R675" i="1"/>
  <c r="E675" i="2" s="1"/>
  <c r="F675" i="2" s="1"/>
  <c r="R676" i="1"/>
  <c r="E676" i="2" s="1"/>
  <c r="F676" i="2" s="1"/>
  <c r="R677" i="1"/>
  <c r="E677" i="2" s="1"/>
  <c r="F677" i="2" s="1"/>
  <c r="R678" i="1"/>
  <c r="E678" i="2" s="1"/>
  <c r="F678" i="2" s="1"/>
  <c r="R679" i="1"/>
  <c r="E679" i="2" s="1"/>
  <c r="F679" i="2" s="1"/>
  <c r="R680" i="1"/>
  <c r="E680" i="2" s="1"/>
  <c r="F680" i="2" s="1"/>
  <c r="R681" i="1"/>
  <c r="R682" i="1"/>
  <c r="R683" i="1"/>
  <c r="E683" i="2" s="1"/>
  <c r="F683" i="2" s="1"/>
  <c r="R684" i="1"/>
  <c r="E684" i="2" s="1"/>
  <c r="F684" i="2" s="1"/>
  <c r="R685" i="1"/>
  <c r="E685" i="2" s="1"/>
  <c r="F685" i="2" s="1"/>
  <c r="R686" i="1"/>
  <c r="E686" i="2" s="1"/>
  <c r="F686" i="2" s="1"/>
  <c r="R687" i="1"/>
  <c r="E687" i="2" s="1"/>
  <c r="F687" i="2" s="1"/>
  <c r="R688" i="1"/>
  <c r="E688" i="2" s="1"/>
  <c r="F688" i="2" s="1"/>
  <c r="R689" i="1"/>
  <c r="R690" i="1"/>
  <c r="R691" i="1"/>
  <c r="E691" i="2" s="1"/>
  <c r="F691" i="2" s="1"/>
  <c r="R692" i="1"/>
  <c r="E692" i="2" s="1"/>
  <c r="F692" i="2" s="1"/>
  <c r="R693" i="1"/>
  <c r="E693" i="2" s="1"/>
  <c r="F693" i="2" s="1"/>
  <c r="R694" i="1"/>
  <c r="E694" i="2" s="1"/>
  <c r="F694" i="2" s="1"/>
  <c r="R695" i="1"/>
  <c r="E695" i="2" s="1"/>
  <c r="F695" i="2" s="1"/>
  <c r="R696" i="1"/>
  <c r="E696" i="2" s="1"/>
  <c r="F696" i="2" s="1"/>
  <c r="R697" i="1"/>
  <c r="R698" i="1"/>
  <c r="R699" i="1"/>
  <c r="E699" i="2" s="1"/>
  <c r="F699" i="2" s="1"/>
  <c r="R700" i="1"/>
  <c r="E700" i="2" s="1"/>
  <c r="F700" i="2" s="1"/>
  <c r="R701" i="1"/>
  <c r="E701" i="2" s="1"/>
  <c r="F701" i="2" s="1"/>
  <c r="R702" i="1"/>
  <c r="E702" i="2" s="1"/>
  <c r="F702" i="2" s="1"/>
  <c r="R703" i="1"/>
  <c r="E703" i="2" s="1"/>
  <c r="F703" i="2" s="1"/>
  <c r="R704" i="1"/>
  <c r="E704" i="2" s="1"/>
  <c r="F704" i="2" s="1"/>
  <c r="R705" i="1"/>
  <c r="R706" i="1"/>
  <c r="R707" i="1"/>
  <c r="E707" i="2" s="1"/>
  <c r="F707" i="2" s="1"/>
  <c r="R708" i="1"/>
  <c r="E708" i="2" s="1"/>
  <c r="F708" i="2" s="1"/>
  <c r="R709" i="1"/>
  <c r="E709" i="2" s="1"/>
  <c r="F709" i="2" s="1"/>
  <c r="R710" i="1"/>
  <c r="E710" i="2" s="1"/>
  <c r="F710" i="2" s="1"/>
  <c r="R711" i="1"/>
  <c r="E711" i="2" s="1"/>
  <c r="F711" i="2" s="1"/>
  <c r="R712" i="1"/>
  <c r="E712" i="2" s="1"/>
  <c r="F712" i="2" s="1"/>
  <c r="R713" i="1"/>
  <c r="R714" i="1"/>
  <c r="R715" i="1"/>
  <c r="E715" i="2" s="1"/>
  <c r="F715" i="2" s="1"/>
  <c r="R716" i="1"/>
  <c r="E716" i="2" s="1"/>
  <c r="F716" i="2" s="1"/>
  <c r="R717" i="1"/>
  <c r="E717" i="2" s="1"/>
  <c r="F717" i="2" s="1"/>
  <c r="R718" i="1"/>
  <c r="E718" i="2" s="1"/>
  <c r="F718" i="2" s="1"/>
  <c r="R719" i="1"/>
  <c r="E719" i="2" s="1"/>
  <c r="F719" i="2" s="1"/>
  <c r="R720" i="1"/>
  <c r="E720" i="2" s="1"/>
  <c r="F720" i="2" s="1"/>
  <c r="R721" i="1"/>
  <c r="R722" i="1"/>
  <c r="R723" i="1"/>
  <c r="E723" i="2" s="1"/>
  <c r="F723" i="2" s="1"/>
  <c r="R724" i="1"/>
  <c r="E724" i="2" s="1"/>
  <c r="F724" i="2" s="1"/>
  <c r="R725" i="1"/>
  <c r="E725" i="2" s="1"/>
  <c r="F725" i="2" s="1"/>
  <c r="R726" i="1"/>
  <c r="E726" i="2" s="1"/>
  <c r="F726" i="2" s="1"/>
  <c r="R727" i="1"/>
  <c r="E727" i="2" s="1"/>
  <c r="F727" i="2" s="1"/>
  <c r="R728" i="1"/>
  <c r="E728" i="2" s="1"/>
  <c r="F728" i="2" s="1"/>
  <c r="R729" i="1"/>
  <c r="R730" i="1"/>
  <c r="R731" i="1"/>
  <c r="E731" i="2" s="1"/>
  <c r="F731" i="2" s="1"/>
  <c r="R732" i="1"/>
  <c r="E732" i="2" s="1"/>
  <c r="F732" i="2" s="1"/>
  <c r="R733" i="1"/>
  <c r="E733" i="2" s="1"/>
  <c r="F733" i="2" s="1"/>
  <c r="R734" i="1"/>
  <c r="E734" i="2" s="1"/>
  <c r="F734" i="2" s="1"/>
  <c r="R735" i="1"/>
  <c r="E735" i="2" s="1"/>
  <c r="F735" i="2" s="1"/>
  <c r="R736" i="1"/>
  <c r="E736" i="2" s="1"/>
  <c r="F736" i="2" s="1"/>
  <c r="R737" i="1"/>
  <c r="R738" i="1"/>
  <c r="R739" i="1"/>
  <c r="E739" i="2" s="1"/>
  <c r="F739" i="2" s="1"/>
  <c r="R740" i="1"/>
  <c r="E740" i="2" s="1"/>
  <c r="F740" i="2" s="1"/>
  <c r="R741" i="1"/>
  <c r="E741" i="2" s="1"/>
  <c r="F741" i="2" s="1"/>
  <c r="R742" i="1"/>
  <c r="E742" i="2" s="1"/>
  <c r="F742" i="2" s="1"/>
  <c r="R743" i="1"/>
  <c r="E743" i="2" s="1"/>
  <c r="F743" i="2" s="1"/>
  <c r="R744" i="1"/>
  <c r="E744" i="2" s="1"/>
  <c r="F744" i="2" s="1"/>
  <c r="R745" i="1"/>
  <c r="R746" i="1"/>
  <c r="R747" i="1"/>
  <c r="E747" i="2" s="1"/>
  <c r="F747" i="2" s="1"/>
  <c r="R748" i="1"/>
  <c r="E748" i="2" s="1"/>
  <c r="F748" i="2" s="1"/>
  <c r="R749" i="1"/>
  <c r="E749" i="2" s="1"/>
  <c r="F749" i="2" s="1"/>
  <c r="R750" i="1"/>
  <c r="E750" i="2" s="1"/>
  <c r="F750" i="2" s="1"/>
  <c r="R751" i="1"/>
  <c r="E751" i="2" s="1"/>
  <c r="F751" i="2" s="1"/>
  <c r="R752" i="1"/>
  <c r="E752" i="2" s="1"/>
  <c r="F752" i="2" s="1"/>
  <c r="R753" i="1"/>
  <c r="R754" i="1"/>
  <c r="R755" i="1"/>
  <c r="E755" i="2" s="1"/>
  <c r="F755" i="2" s="1"/>
  <c r="R756" i="1"/>
  <c r="E756" i="2" s="1"/>
  <c r="F756" i="2" s="1"/>
  <c r="R757" i="1"/>
  <c r="E757" i="2" s="1"/>
  <c r="F757" i="2" s="1"/>
  <c r="R758" i="1"/>
  <c r="E758" i="2" s="1"/>
  <c r="F758" i="2" s="1"/>
  <c r="R759" i="1"/>
  <c r="E759" i="2" s="1"/>
  <c r="F759" i="2" s="1"/>
  <c r="R760" i="1"/>
  <c r="E760" i="2" s="1"/>
  <c r="F760" i="2" s="1"/>
  <c r="R761" i="1"/>
  <c r="R762" i="1"/>
  <c r="R763" i="1"/>
  <c r="E763" i="2" s="1"/>
  <c r="F763" i="2" s="1"/>
  <c r="R764" i="1"/>
  <c r="E764" i="2" s="1"/>
  <c r="F764" i="2" s="1"/>
  <c r="R765" i="1"/>
  <c r="E765" i="2" s="1"/>
  <c r="F765" i="2" s="1"/>
  <c r="R766" i="1"/>
  <c r="E766" i="2" s="1"/>
  <c r="F766" i="2" s="1"/>
  <c r="R767" i="1"/>
  <c r="E767" i="2" s="1"/>
  <c r="F767" i="2" s="1"/>
  <c r="R768" i="1"/>
  <c r="E768" i="2" s="1"/>
  <c r="F768" i="2" s="1"/>
  <c r="R769" i="1"/>
  <c r="R770" i="1"/>
  <c r="R771" i="1"/>
  <c r="E771" i="2" s="1"/>
  <c r="F771" i="2" s="1"/>
  <c r="R772" i="1"/>
  <c r="E772" i="2" s="1"/>
  <c r="F772" i="2" s="1"/>
  <c r="R773" i="1"/>
  <c r="E773" i="2" s="1"/>
  <c r="F773" i="2" s="1"/>
  <c r="R774" i="1"/>
  <c r="E774" i="2" s="1"/>
  <c r="F774" i="2" s="1"/>
  <c r="R775" i="1"/>
  <c r="E775" i="2" s="1"/>
  <c r="F775" i="2" s="1"/>
  <c r="R776" i="1"/>
  <c r="E776" i="2" s="1"/>
  <c r="F776" i="2" s="1"/>
  <c r="R777" i="1"/>
  <c r="R778" i="1"/>
  <c r="R779" i="1"/>
  <c r="E779" i="2" s="1"/>
  <c r="F779" i="2" s="1"/>
  <c r="R780" i="1"/>
  <c r="E780" i="2" s="1"/>
  <c r="F780" i="2" s="1"/>
  <c r="R781" i="1"/>
  <c r="E781" i="2" s="1"/>
  <c r="F781" i="2" s="1"/>
  <c r="R782" i="1"/>
  <c r="E782" i="2" s="1"/>
  <c r="F782" i="2" s="1"/>
  <c r="R783" i="1"/>
  <c r="E783" i="2" s="1"/>
  <c r="F783" i="2" s="1"/>
  <c r="R784" i="1"/>
  <c r="E784" i="2" s="1"/>
  <c r="F784" i="2" s="1"/>
  <c r="R785" i="1"/>
  <c r="R786" i="1"/>
  <c r="R787" i="1"/>
  <c r="E787" i="2" s="1"/>
  <c r="F787" i="2" s="1"/>
  <c r="R788" i="1"/>
  <c r="E788" i="2" s="1"/>
  <c r="F788" i="2" s="1"/>
  <c r="R789" i="1"/>
  <c r="E789" i="2" s="1"/>
  <c r="F789" i="2" s="1"/>
  <c r="R790" i="1"/>
  <c r="E790" i="2" s="1"/>
  <c r="F790" i="2" s="1"/>
  <c r="R791" i="1"/>
  <c r="E791" i="2" s="1"/>
  <c r="F791" i="2" s="1"/>
  <c r="R792" i="1"/>
  <c r="E792" i="2" s="1"/>
  <c r="F792" i="2" s="1"/>
  <c r="R793" i="1"/>
  <c r="R794" i="1"/>
  <c r="R795" i="1"/>
  <c r="E795" i="2" s="1"/>
  <c r="F795" i="2" s="1"/>
  <c r="R796" i="1"/>
  <c r="E796" i="2" s="1"/>
  <c r="F796" i="2" s="1"/>
  <c r="R797" i="1"/>
  <c r="E797" i="2" s="1"/>
  <c r="F797" i="2" s="1"/>
  <c r="R798" i="1"/>
  <c r="E798" i="2" s="1"/>
  <c r="F798" i="2" s="1"/>
  <c r="R799" i="1"/>
  <c r="E799" i="2" s="1"/>
  <c r="F799" i="2" s="1"/>
  <c r="R800" i="1"/>
  <c r="E800" i="2" s="1"/>
  <c r="F800" i="2" s="1"/>
  <c r="R801" i="1"/>
  <c r="R802" i="1"/>
  <c r="R803" i="1"/>
  <c r="E803" i="2" s="1"/>
  <c r="F803" i="2" s="1"/>
  <c r="R804" i="1"/>
  <c r="E804" i="2" s="1"/>
  <c r="F804" i="2" s="1"/>
  <c r="R805" i="1"/>
  <c r="E805" i="2" s="1"/>
  <c r="F805" i="2" s="1"/>
  <c r="R806" i="1"/>
  <c r="E806" i="2" s="1"/>
  <c r="F806" i="2" s="1"/>
  <c r="R807" i="1"/>
  <c r="E807" i="2" s="1"/>
  <c r="F807" i="2" s="1"/>
  <c r="R808" i="1"/>
  <c r="E808" i="2" s="1"/>
  <c r="F808" i="2" s="1"/>
  <c r="R809" i="1"/>
  <c r="R810" i="1"/>
  <c r="R811" i="1"/>
  <c r="E811" i="2" s="1"/>
  <c r="F811" i="2" s="1"/>
  <c r="R812" i="1"/>
  <c r="E812" i="2" s="1"/>
  <c r="F812" i="2" s="1"/>
  <c r="R813" i="1"/>
  <c r="E813" i="2" s="1"/>
  <c r="F813" i="2" s="1"/>
  <c r="R814" i="1"/>
  <c r="E814" i="2" s="1"/>
  <c r="F814" i="2" s="1"/>
  <c r="R815" i="1"/>
  <c r="E815" i="2" s="1"/>
  <c r="F815" i="2" s="1"/>
  <c r="R816" i="1"/>
  <c r="E816" i="2" s="1"/>
  <c r="F816" i="2" s="1"/>
  <c r="R817" i="1"/>
  <c r="R818" i="1"/>
  <c r="R819" i="1"/>
  <c r="E819" i="2" s="1"/>
  <c r="F819" i="2" s="1"/>
  <c r="R820" i="1"/>
  <c r="E820" i="2" s="1"/>
  <c r="F820" i="2" s="1"/>
  <c r="R821" i="1"/>
  <c r="E821" i="2" s="1"/>
  <c r="F821" i="2" s="1"/>
  <c r="R822" i="1"/>
  <c r="E822" i="2" s="1"/>
  <c r="F822" i="2" s="1"/>
  <c r="R823" i="1"/>
  <c r="E823" i="2" s="1"/>
  <c r="F823" i="2" s="1"/>
  <c r="R824" i="1"/>
  <c r="E824" i="2" s="1"/>
  <c r="F824" i="2" s="1"/>
  <c r="R825" i="1"/>
  <c r="R826" i="1"/>
  <c r="R827" i="1"/>
  <c r="E827" i="2" s="1"/>
  <c r="F827" i="2" s="1"/>
  <c r="R828" i="1"/>
  <c r="E828" i="2" s="1"/>
  <c r="F828" i="2" s="1"/>
  <c r="R829" i="1"/>
  <c r="E829" i="2" s="1"/>
  <c r="F829" i="2" s="1"/>
  <c r="R830" i="1"/>
  <c r="E830" i="2" s="1"/>
  <c r="F830" i="2" s="1"/>
  <c r="R831" i="1"/>
  <c r="E831" i="2" s="1"/>
  <c r="F831" i="2" s="1"/>
  <c r="R832" i="1"/>
  <c r="E832" i="2" s="1"/>
  <c r="F832" i="2" s="1"/>
  <c r="R833" i="1"/>
  <c r="R834" i="1"/>
  <c r="R835" i="1"/>
  <c r="E835" i="2" s="1"/>
  <c r="F835" i="2" s="1"/>
  <c r="R836" i="1"/>
  <c r="E836" i="2" s="1"/>
  <c r="F836" i="2" s="1"/>
  <c r="R837" i="1"/>
  <c r="E837" i="2" s="1"/>
  <c r="F837" i="2" s="1"/>
  <c r="R838" i="1"/>
  <c r="E838" i="2" s="1"/>
  <c r="F838" i="2" s="1"/>
  <c r="R839" i="1"/>
  <c r="E839" i="2" s="1"/>
  <c r="F839" i="2" s="1"/>
  <c r="R840" i="1"/>
  <c r="E840" i="2" s="1"/>
  <c r="F840" i="2" s="1"/>
  <c r="R841" i="1"/>
  <c r="R842" i="1"/>
  <c r="R843" i="1"/>
  <c r="E843" i="2" s="1"/>
  <c r="F843" i="2" s="1"/>
  <c r="R844" i="1"/>
  <c r="E844" i="2" s="1"/>
  <c r="F844" i="2" s="1"/>
  <c r="R845" i="1"/>
  <c r="E845" i="2" s="1"/>
  <c r="F845" i="2" s="1"/>
  <c r="R846" i="1"/>
  <c r="E846" i="2" s="1"/>
  <c r="F846" i="2" s="1"/>
  <c r="R847" i="1"/>
  <c r="E847" i="2" s="1"/>
  <c r="F847" i="2" s="1"/>
  <c r="R848" i="1"/>
  <c r="E848" i="2" s="1"/>
  <c r="F848" i="2" s="1"/>
  <c r="R849" i="1"/>
  <c r="R850" i="1"/>
  <c r="R851" i="1"/>
  <c r="E851" i="2" s="1"/>
  <c r="F851" i="2" s="1"/>
  <c r="R852" i="1"/>
  <c r="E852" i="2" s="1"/>
  <c r="F852" i="2" s="1"/>
  <c r="R853" i="1"/>
  <c r="E853" i="2" s="1"/>
  <c r="F853" i="2" s="1"/>
  <c r="R854" i="1"/>
  <c r="E854" i="2" s="1"/>
  <c r="F854" i="2" s="1"/>
  <c r="R855" i="1"/>
  <c r="E855" i="2" s="1"/>
  <c r="F855" i="2" s="1"/>
  <c r="R856" i="1"/>
  <c r="E856" i="2" s="1"/>
  <c r="F856" i="2" s="1"/>
  <c r="R857" i="1"/>
  <c r="R858" i="1"/>
  <c r="R859" i="1"/>
  <c r="E859" i="2" s="1"/>
  <c r="F859" i="2" s="1"/>
  <c r="R860" i="1"/>
  <c r="E860" i="2" s="1"/>
  <c r="F860" i="2" s="1"/>
  <c r="R861" i="1"/>
  <c r="E861" i="2" s="1"/>
  <c r="F861" i="2" s="1"/>
  <c r="R862" i="1"/>
  <c r="E862" i="2" s="1"/>
  <c r="F862" i="2" s="1"/>
  <c r="R863" i="1"/>
  <c r="E863" i="2" s="1"/>
  <c r="F863" i="2" s="1"/>
  <c r="R864" i="1"/>
  <c r="E864" i="2" s="1"/>
  <c r="F864" i="2" s="1"/>
  <c r="R865" i="1"/>
  <c r="R866" i="1"/>
  <c r="R867" i="1"/>
  <c r="E867" i="2" s="1"/>
  <c r="F867" i="2" s="1"/>
  <c r="R868" i="1"/>
  <c r="E868" i="2" s="1"/>
  <c r="F868" i="2" s="1"/>
  <c r="R869" i="1"/>
  <c r="E869" i="2" s="1"/>
  <c r="F869" i="2" s="1"/>
  <c r="R870" i="1"/>
  <c r="E870" i="2" s="1"/>
  <c r="F870" i="2" s="1"/>
  <c r="R871" i="1"/>
  <c r="E871" i="2" s="1"/>
  <c r="F871" i="2" s="1"/>
  <c r="R872" i="1"/>
  <c r="E872" i="2" s="1"/>
  <c r="F872" i="2" s="1"/>
  <c r="R873" i="1"/>
  <c r="R874" i="1"/>
  <c r="R875" i="1"/>
  <c r="E875" i="2" s="1"/>
  <c r="F875" i="2" s="1"/>
  <c r="R876" i="1"/>
  <c r="E876" i="2" s="1"/>
  <c r="F876" i="2" s="1"/>
  <c r="R877" i="1"/>
  <c r="E877" i="2" s="1"/>
  <c r="F877" i="2" s="1"/>
  <c r="R878" i="1"/>
  <c r="E878" i="2" s="1"/>
  <c r="F878" i="2" s="1"/>
  <c r="R879" i="1"/>
  <c r="E879" i="2" s="1"/>
  <c r="F879" i="2" s="1"/>
  <c r="R880" i="1"/>
  <c r="R881" i="1"/>
  <c r="R882" i="1"/>
  <c r="E882" i="2" s="1"/>
  <c r="F882" i="2" s="1"/>
  <c r="R883" i="1"/>
  <c r="E883" i="2" s="1"/>
  <c r="F883" i="2" s="1"/>
  <c r="R884" i="1"/>
  <c r="E884" i="2" s="1"/>
  <c r="F884" i="2" s="1"/>
  <c r="R885" i="1"/>
  <c r="R886" i="1"/>
  <c r="R887" i="1"/>
  <c r="E887" i="2" s="1"/>
  <c r="F887" i="2" s="1"/>
  <c r="R888" i="1"/>
  <c r="E888" i="2" s="1"/>
  <c r="F888" i="2" s="1"/>
  <c r="R889" i="1"/>
  <c r="E889" i="2" s="1"/>
  <c r="F889" i="2" s="1"/>
  <c r="R890" i="1"/>
  <c r="E890" i="2" s="1"/>
  <c r="F890" i="2" s="1"/>
  <c r="R891" i="1"/>
  <c r="E891" i="2" s="1"/>
  <c r="F891" i="2" s="1"/>
  <c r="R892" i="1"/>
  <c r="R893" i="1"/>
  <c r="E893" i="2" s="1"/>
  <c r="F893" i="2" s="1"/>
  <c r="R894" i="1"/>
  <c r="E894" i="2" s="1"/>
  <c r="F894" i="2" s="1"/>
  <c r="R895" i="1"/>
  <c r="E895" i="2" s="1"/>
  <c r="F895" i="2" s="1"/>
  <c r="R896" i="1"/>
  <c r="R897" i="1"/>
  <c r="R898" i="1"/>
  <c r="E898" i="2" s="1"/>
  <c r="F898" i="2" s="1"/>
  <c r="R899" i="1"/>
  <c r="E899" i="2" s="1"/>
  <c r="F899" i="2" s="1"/>
  <c r="R900" i="1"/>
  <c r="E900" i="2" s="1"/>
  <c r="F900" i="2" s="1"/>
  <c r="R901" i="1"/>
  <c r="R902" i="1"/>
  <c r="R903" i="1"/>
  <c r="E903" i="2" s="1"/>
  <c r="F903" i="2" s="1"/>
  <c r="R904" i="1"/>
  <c r="E904" i="2" s="1"/>
  <c r="F904" i="2" s="1"/>
  <c r="R905" i="1"/>
  <c r="E905" i="2" s="1"/>
  <c r="F905" i="2" s="1"/>
  <c r="R906" i="1"/>
  <c r="E906" i="2" s="1"/>
  <c r="F906" i="2" s="1"/>
  <c r="R907" i="1"/>
  <c r="E907" i="2" s="1"/>
  <c r="F907" i="2" s="1"/>
  <c r="R908" i="1"/>
  <c r="R909" i="1"/>
  <c r="E909" i="2" s="1"/>
  <c r="F909" i="2" s="1"/>
  <c r="R910" i="1"/>
  <c r="E910" i="2" s="1"/>
  <c r="F910" i="2" s="1"/>
  <c r="R911" i="1"/>
  <c r="E911" i="2" s="1"/>
  <c r="F911" i="2" s="1"/>
  <c r="R912" i="1"/>
  <c r="R913" i="1"/>
  <c r="R914" i="1"/>
  <c r="E914" i="2" s="1"/>
  <c r="F914" i="2" s="1"/>
  <c r="R915" i="1"/>
  <c r="E915" i="2" s="1"/>
  <c r="F915" i="2" s="1"/>
  <c r="R916" i="1"/>
  <c r="E916" i="2" s="1"/>
  <c r="F916" i="2" s="1"/>
  <c r="R917" i="1"/>
  <c r="R918" i="1"/>
  <c r="R919" i="1"/>
  <c r="E919" i="2" s="1"/>
  <c r="F919" i="2" s="1"/>
  <c r="R920" i="1"/>
  <c r="E920" i="2" s="1"/>
  <c r="F920" i="2" s="1"/>
  <c r="R921" i="1"/>
  <c r="E921" i="2" s="1"/>
  <c r="F921" i="2" s="1"/>
  <c r="R922" i="1"/>
  <c r="E922" i="2" s="1"/>
  <c r="F922" i="2" s="1"/>
  <c r="R923" i="1"/>
  <c r="E923" i="2" s="1"/>
  <c r="F923" i="2" s="1"/>
  <c r="R924" i="1"/>
  <c r="R925" i="1"/>
  <c r="E925" i="2" s="1"/>
  <c r="F925" i="2" s="1"/>
  <c r="R926" i="1"/>
  <c r="E926" i="2" s="1"/>
  <c r="F926" i="2" s="1"/>
  <c r="R927" i="1"/>
  <c r="E927" i="2" s="1"/>
  <c r="F927" i="2" s="1"/>
  <c r="R928" i="1"/>
  <c r="R929" i="1"/>
  <c r="R930" i="1"/>
  <c r="E930" i="2" s="1"/>
  <c r="F930" i="2" s="1"/>
  <c r="R931" i="1"/>
  <c r="E931" i="2" s="1"/>
  <c r="F931" i="2" s="1"/>
  <c r="R932" i="1"/>
  <c r="E932" i="2" s="1"/>
  <c r="F932" i="2" s="1"/>
  <c r="R933" i="1"/>
  <c r="R934" i="1"/>
  <c r="R935" i="1"/>
  <c r="E935" i="2" s="1"/>
  <c r="F935" i="2" s="1"/>
  <c r="R936" i="1"/>
  <c r="E936" i="2" s="1"/>
  <c r="F936" i="2" s="1"/>
  <c r="R937" i="1"/>
  <c r="E937" i="2" s="1"/>
  <c r="F937" i="2" s="1"/>
  <c r="R938" i="1"/>
  <c r="E938" i="2" s="1"/>
  <c r="F938" i="2" s="1"/>
  <c r="R939" i="1"/>
  <c r="E939" i="2" s="1"/>
  <c r="F939" i="2" s="1"/>
  <c r="R940" i="1"/>
  <c r="R941" i="1"/>
  <c r="E941" i="2" s="1"/>
  <c r="F941" i="2" s="1"/>
  <c r="R942" i="1"/>
  <c r="E942" i="2" s="1"/>
  <c r="F942" i="2" s="1"/>
  <c r="R943" i="1"/>
  <c r="E943" i="2" s="1"/>
  <c r="F943" i="2" s="1"/>
  <c r="R944" i="1"/>
  <c r="R945" i="1"/>
  <c r="R946" i="1"/>
  <c r="E946" i="2" s="1"/>
  <c r="F946" i="2" s="1"/>
  <c r="R947" i="1"/>
  <c r="E947" i="2" s="1"/>
  <c r="F947" i="2" s="1"/>
  <c r="R948" i="1"/>
  <c r="E948" i="2" s="1"/>
  <c r="F948" i="2" s="1"/>
  <c r="R949" i="1"/>
  <c r="R950" i="1"/>
  <c r="R951" i="1"/>
  <c r="E951" i="2" s="1"/>
  <c r="F951" i="2" s="1"/>
  <c r="R952" i="1"/>
  <c r="E952" i="2" s="1"/>
  <c r="F952" i="2" s="1"/>
  <c r="R953" i="1"/>
  <c r="E953" i="2" s="1"/>
  <c r="F953" i="2" s="1"/>
  <c r="R954" i="1"/>
  <c r="E954" i="2" s="1"/>
  <c r="F954" i="2" s="1"/>
  <c r="R955" i="1"/>
  <c r="E955" i="2" s="1"/>
  <c r="F955" i="2" s="1"/>
  <c r="R956" i="1"/>
  <c r="R957" i="1"/>
  <c r="E957" i="2" s="1"/>
  <c r="F957" i="2" s="1"/>
  <c r="R958" i="1"/>
  <c r="E958" i="2" s="1"/>
  <c r="F958" i="2" s="1"/>
  <c r="R959" i="1"/>
  <c r="E959" i="2" s="1"/>
  <c r="F959" i="2" s="1"/>
  <c r="R960" i="1"/>
  <c r="R961" i="1"/>
  <c r="R962" i="1"/>
  <c r="E962" i="2" s="1"/>
  <c r="F962" i="2" s="1"/>
  <c r="R963" i="1"/>
  <c r="E963" i="2" s="1"/>
  <c r="F963" i="2" s="1"/>
  <c r="R964" i="1"/>
  <c r="E964" i="2" s="1"/>
  <c r="F964" i="2" s="1"/>
  <c r="R965" i="1"/>
  <c r="R966" i="1"/>
  <c r="R967" i="1"/>
  <c r="E967" i="2" s="1"/>
  <c r="F967" i="2" s="1"/>
  <c r="R968" i="1"/>
  <c r="E968" i="2" s="1"/>
  <c r="F968" i="2" s="1"/>
  <c r="R969" i="1"/>
  <c r="E969" i="2" s="1"/>
  <c r="F969" i="2" s="1"/>
  <c r="R970" i="1"/>
  <c r="E970" i="2" s="1"/>
  <c r="F970" i="2" s="1"/>
  <c r="R971" i="1"/>
  <c r="E971" i="2" s="1"/>
  <c r="F971" i="2" s="1"/>
  <c r="R972" i="1"/>
  <c r="R973" i="1"/>
  <c r="E973" i="2" s="1"/>
  <c r="F973" i="2" s="1"/>
  <c r="R974" i="1"/>
  <c r="E974" i="2" s="1"/>
  <c r="F974" i="2" s="1"/>
  <c r="R975" i="1"/>
  <c r="E975" i="2" s="1"/>
  <c r="F975" i="2" s="1"/>
  <c r="R976" i="1"/>
  <c r="R977" i="1"/>
  <c r="R978" i="1"/>
  <c r="E978" i="2" s="1"/>
  <c r="F978" i="2" s="1"/>
  <c r="R979" i="1"/>
  <c r="E979" i="2" s="1"/>
  <c r="F979" i="2" s="1"/>
  <c r="R980" i="1"/>
  <c r="E980" i="2" s="1"/>
  <c r="F980" i="2" s="1"/>
  <c r="R981" i="1"/>
  <c r="R982" i="1"/>
  <c r="R983" i="1"/>
  <c r="E983" i="2" s="1"/>
  <c r="F983" i="2" s="1"/>
  <c r="R984" i="1"/>
  <c r="E984" i="2" s="1"/>
  <c r="F984" i="2" s="1"/>
  <c r="R985" i="1"/>
  <c r="E985" i="2" s="1"/>
  <c r="F985" i="2" s="1"/>
  <c r="R986" i="1"/>
  <c r="E986" i="2" s="1"/>
  <c r="F986" i="2" s="1"/>
  <c r="R987" i="1"/>
  <c r="E987" i="2" s="1"/>
  <c r="F987" i="2" s="1"/>
  <c r="R988" i="1"/>
  <c r="R989" i="1"/>
  <c r="E989" i="2" s="1"/>
  <c r="F989" i="2" s="1"/>
  <c r="R990" i="1"/>
  <c r="E990" i="2" s="1"/>
  <c r="F990" i="2" s="1"/>
  <c r="R991" i="1"/>
  <c r="E991" i="2" s="1"/>
  <c r="F991" i="2" s="1"/>
  <c r="R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2" i="1"/>
  <c r="U288" i="1"/>
  <c r="U2" i="1"/>
  <c r="U535" i="1" l="1"/>
  <c r="U905" i="1"/>
  <c r="U901" i="1"/>
  <c r="U897" i="1"/>
  <c r="U893" i="1"/>
  <c r="U889" i="1"/>
  <c r="U885" i="1"/>
  <c r="U881" i="1"/>
  <c r="U877" i="1"/>
  <c r="U873" i="1"/>
  <c r="U869" i="1"/>
  <c r="U675" i="1"/>
  <c r="U865" i="1"/>
  <c r="U861" i="1"/>
  <c r="U857" i="1"/>
  <c r="U853" i="1"/>
  <c r="U397" i="1"/>
  <c r="U956" i="1"/>
  <c r="U948" i="1"/>
  <c r="U848" i="1"/>
  <c r="U844" i="1"/>
  <c r="U764" i="1"/>
  <c r="U760" i="1"/>
  <c r="U756" i="1"/>
  <c r="U752" i="1"/>
  <c r="U748" i="1"/>
  <c r="U744" i="1"/>
  <c r="U740" i="1"/>
  <c r="U736" i="1"/>
  <c r="U732" i="1"/>
  <c r="U728" i="1"/>
  <c r="U724" i="1"/>
  <c r="U720" i="1"/>
  <c r="U716" i="1"/>
  <c r="U712" i="1"/>
  <c r="U708" i="1"/>
  <c r="U704" i="1"/>
  <c r="U903" i="1"/>
  <c r="U891" i="1"/>
  <c r="U887" i="1"/>
  <c r="U871" i="1"/>
  <c r="U859" i="1"/>
  <c r="U699" i="1"/>
  <c r="U683" i="1"/>
  <c r="U667" i="1"/>
  <c r="U655" i="1"/>
  <c r="U551" i="1"/>
  <c r="U311" i="1"/>
  <c r="U295" i="1"/>
  <c r="U175" i="1"/>
  <c r="U171" i="1"/>
  <c r="U167" i="1"/>
  <c r="U922" i="1"/>
  <c r="U918" i="1"/>
  <c r="U914" i="1"/>
  <c r="U910" i="1"/>
  <c r="U850" i="1"/>
  <c r="U846" i="1"/>
  <c r="U762" i="1"/>
  <c r="U758" i="1"/>
  <c r="U754" i="1"/>
  <c r="U750" i="1"/>
  <c r="U746" i="1"/>
  <c r="U742" i="1"/>
  <c r="U738" i="1"/>
  <c r="U734" i="1"/>
  <c r="U730" i="1"/>
  <c r="U726" i="1"/>
  <c r="U722" i="1"/>
  <c r="U718" i="1"/>
  <c r="U714" i="1"/>
  <c r="U710" i="1"/>
  <c r="U706" i="1"/>
  <c r="U702" i="1"/>
  <c r="U698" i="1"/>
  <c r="U530" i="1"/>
  <c r="U526" i="1"/>
  <c r="U522" i="1"/>
  <c r="U518" i="1"/>
  <c r="U514" i="1"/>
  <c r="U510" i="1"/>
  <c r="U506" i="1"/>
  <c r="U502" i="1"/>
  <c r="U498" i="1"/>
  <c r="U494" i="1"/>
  <c r="U490" i="1"/>
  <c r="U486" i="1"/>
  <c r="U482" i="1"/>
  <c r="U478" i="1"/>
  <c r="U474" i="1"/>
  <c r="U470" i="1"/>
  <c r="U466" i="1"/>
  <c r="U462" i="1"/>
  <c r="U458" i="1"/>
  <c r="U454" i="1"/>
  <c r="U450" i="1"/>
  <c r="U446" i="1"/>
  <c r="U442" i="1"/>
  <c r="U438" i="1"/>
  <c r="U434" i="1"/>
  <c r="U430" i="1"/>
  <c r="U426" i="1"/>
  <c r="U422" i="1"/>
  <c r="U418" i="1"/>
  <c r="U414" i="1"/>
  <c r="U410" i="1"/>
  <c r="U386" i="1"/>
  <c r="U370" i="1"/>
  <c r="U354" i="1"/>
  <c r="U338" i="1"/>
  <c r="U585" i="1"/>
  <c r="U581" i="1"/>
  <c r="U569" i="1"/>
  <c r="U565" i="1"/>
  <c r="U553" i="1"/>
  <c r="U537" i="1"/>
  <c r="U405" i="1"/>
  <c r="U401" i="1"/>
  <c r="U393" i="1"/>
  <c r="U177" i="1"/>
  <c r="U173" i="1"/>
  <c r="U169" i="1"/>
  <c r="U165" i="1"/>
  <c r="U37" i="1"/>
  <c r="U33" i="1"/>
  <c r="U29" i="1"/>
  <c r="U25" i="1"/>
  <c r="U21" i="1"/>
  <c r="U17" i="1"/>
  <c r="U13" i="1"/>
  <c r="U9" i="1"/>
  <c r="U5" i="1"/>
  <c r="U512" i="1"/>
  <c r="U508" i="1"/>
  <c r="U504" i="1"/>
  <c r="U500" i="1"/>
  <c r="U496" i="1"/>
  <c r="U492" i="1"/>
  <c r="U488" i="1"/>
  <c r="U484" i="1"/>
  <c r="U480" i="1"/>
  <c r="U476" i="1"/>
  <c r="U472" i="1"/>
  <c r="U468" i="1"/>
  <c r="U464" i="1"/>
  <c r="U460" i="1"/>
  <c r="U456" i="1"/>
  <c r="U452" i="1"/>
  <c r="U448" i="1"/>
  <c r="U444" i="1"/>
  <c r="U440" i="1"/>
  <c r="U436" i="1"/>
  <c r="U432" i="1"/>
  <c r="U428" i="1"/>
  <c r="U424" i="1"/>
  <c r="U420" i="1"/>
  <c r="U416" i="1"/>
  <c r="U412" i="1"/>
  <c r="U404" i="1"/>
  <c r="U396" i="1"/>
  <c r="U392" i="1"/>
  <c r="U388" i="1"/>
  <c r="U380" i="1"/>
  <c r="U376" i="1"/>
  <c r="U372" i="1"/>
  <c r="U364" i="1"/>
  <c r="U360" i="1"/>
  <c r="U356" i="1"/>
  <c r="U348" i="1"/>
  <c r="U344" i="1"/>
  <c r="U340" i="1"/>
  <c r="U332" i="1"/>
  <c r="U328" i="1"/>
  <c r="U316" i="1"/>
  <c r="U308" i="1"/>
  <c r="U304" i="1"/>
  <c r="U300" i="1"/>
  <c r="U296" i="1"/>
  <c r="U176" i="1"/>
  <c r="U172" i="1"/>
  <c r="U168" i="1"/>
  <c r="U164" i="1"/>
  <c r="U36" i="1"/>
  <c r="U24" i="1"/>
  <c r="U20" i="1"/>
  <c r="U32" i="1"/>
  <c r="U28" i="1"/>
  <c r="U16" i="1"/>
  <c r="U12" i="1"/>
  <c r="U8" i="1"/>
  <c r="U4" i="1"/>
  <c r="U35" i="1"/>
  <c r="U31" i="1"/>
  <c r="U27" i="1"/>
  <c r="U23" i="1"/>
  <c r="U11" i="1"/>
  <c r="U3" i="1"/>
  <c r="U895" i="1"/>
  <c r="U883" i="1"/>
  <c r="U863" i="1"/>
  <c r="U855" i="1"/>
  <c r="U843" i="1"/>
  <c r="U691" i="1"/>
  <c r="U663" i="1"/>
  <c r="U315" i="1"/>
  <c r="U303" i="1"/>
  <c r="U163" i="1"/>
  <c r="U899" i="1"/>
  <c r="U879" i="1"/>
  <c r="U867" i="1"/>
  <c r="U567" i="1"/>
  <c r="U323" i="1"/>
  <c r="U291" i="1"/>
  <c r="U579" i="1"/>
  <c r="U875" i="1"/>
  <c r="U907" i="1"/>
  <c r="U647" i="1"/>
  <c r="U583" i="1"/>
  <c r="U283" i="1"/>
  <c r="U18" i="1"/>
  <c r="U395" i="1"/>
  <c r="U399" i="1"/>
  <c r="U431" i="1"/>
  <c r="U447" i="1"/>
  <c r="U465" i="1"/>
  <c r="U497" i="1"/>
  <c r="U559" i="1"/>
  <c r="U571" i="1"/>
  <c r="U679" i="1"/>
  <c r="U6" i="1"/>
  <c r="U319" i="1"/>
  <c r="U324" i="1"/>
  <c r="U408" i="1"/>
  <c r="U429" i="1"/>
  <c r="U445" i="1"/>
  <c r="U461" i="1"/>
  <c r="U10" i="1"/>
  <c r="U19" i="1"/>
  <c r="U26" i="1"/>
  <c r="U166" i="1"/>
  <c r="U170" i="1"/>
  <c r="U174" i="1"/>
  <c r="U178" i="1"/>
  <c r="U287" i="1"/>
  <c r="U292" i="1"/>
  <c r="U299" i="1"/>
  <c r="U336" i="1"/>
  <c r="U352" i="1"/>
  <c r="U368" i="1"/>
  <c r="U384" i="1"/>
  <c r="U400" i="1"/>
  <c r="U419" i="1"/>
  <c r="U427" i="1"/>
  <c r="U435" i="1"/>
  <c r="U443" i="1"/>
  <c r="U451" i="1"/>
  <c r="U459" i="1"/>
  <c r="U34" i="1"/>
  <c r="U403" i="1"/>
  <c r="U423" i="1"/>
  <c r="U439" i="1"/>
  <c r="U455" i="1"/>
  <c r="U481" i="1"/>
  <c r="U501" i="1"/>
  <c r="U517" i="1"/>
  <c r="U555" i="1"/>
  <c r="U575" i="1"/>
  <c r="U15" i="1"/>
  <c r="U22" i="1"/>
  <c r="U307" i="1"/>
  <c r="U330" i="1"/>
  <c r="U346" i="1"/>
  <c r="U362" i="1"/>
  <c r="U378" i="1"/>
  <c r="U421" i="1"/>
  <c r="U437" i="1"/>
  <c r="U453" i="1"/>
  <c r="U7" i="1"/>
  <c r="U14" i="1"/>
  <c r="U30" i="1"/>
  <c r="U312" i="1"/>
  <c r="U320" i="1"/>
  <c r="U327" i="1"/>
  <c r="U334" i="1"/>
  <c r="U342" i="1"/>
  <c r="U350" i="1"/>
  <c r="U358" i="1"/>
  <c r="U366" i="1"/>
  <c r="U374" i="1"/>
  <c r="U382" i="1"/>
  <c r="U390" i="1"/>
  <c r="U417" i="1"/>
  <c r="U425" i="1"/>
  <c r="U433" i="1"/>
  <c r="U441" i="1"/>
  <c r="U449" i="1"/>
  <c r="U457" i="1"/>
  <c r="U477" i="1"/>
  <c r="U493" i="1"/>
  <c r="U525" i="1"/>
  <c r="U539" i="1"/>
  <c r="U543" i="1"/>
  <c r="U587" i="1"/>
  <c r="U591" i="1"/>
  <c r="U849" i="1"/>
  <c r="U407" i="1"/>
  <c r="U473" i="1"/>
  <c r="U489" i="1"/>
  <c r="U509" i="1"/>
  <c r="U513" i="1"/>
  <c r="U557" i="1"/>
  <c r="U573" i="1"/>
  <c r="U709" i="1"/>
  <c r="U725" i="1"/>
  <c r="U741" i="1"/>
  <c r="U745" i="1"/>
  <c r="U761" i="1"/>
  <c r="U284" i="1"/>
  <c r="U394" i="1"/>
  <c r="U398" i="1"/>
  <c r="U402" i="1"/>
  <c r="U406" i="1"/>
  <c r="U409" i="1"/>
  <c r="U411" i="1"/>
  <c r="U413" i="1"/>
  <c r="U415" i="1"/>
  <c r="U469" i="1"/>
  <c r="U485" i="1"/>
  <c r="U505" i="1"/>
  <c r="U521" i="1"/>
  <c r="U529" i="1"/>
  <c r="U541" i="1"/>
  <c r="U589" i="1"/>
  <c r="U671" i="1"/>
  <c r="U700" i="1"/>
  <c r="U705" i="1"/>
  <c r="U721" i="1"/>
  <c r="U737" i="1"/>
  <c r="U757" i="1"/>
  <c r="U516" i="1"/>
  <c r="U520" i="1"/>
  <c r="U524" i="1"/>
  <c r="U528" i="1"/>
  <c r="U545" i="1"/>
  <c r="U561" i="1"/>
  <c r="U577" i="1"/>
  <c r="U643" i="1"/>
  <c r="U651" i="1"/>
  <c r="U659" i="1"/>
  <c r="U697" i="1"/>
  <c r="U701" i="1"/>
  <c r="U717" i="1"/>
  <c r="U733" i="1"/>
  <c r="U753" i="1"/>
  <c r="U845" i="1"/>
  <c r="U940" i="1"/>
  <c r="U463" i="1"/>
  <c r="U467" i="1"/>
  <c r="U471" i="1"/>
  <c r="U475" i="1"/>
  <c r="U479" i="1"/>
  <c r="U483" i="1"/>
  <c r="U487" i="1"/>
  <c r="U491" i="1"/>
  <c r="U495" i="1"/>
  <c r="U499" i="1"/>
  <c r="U503" i="1"/>
  <c r="U507" i="1"/>
  <c r="U511" i="1"/>
  <c r="U515" i="1"/>
  <c r="U519" i="1"/>
  <c r="U523" i="1"/>
  <c r="U527" i="1"/>
  <c r="U531" i="1"/>
  <c r="U533" i="1"/>
  <c r="U547" i="1"/>
  <c r="U549" i="1"/>
  <c r="U563" i="1"/>
  <c r="U687" i="1"/>
  <c r="U695" i="1"/>
  <c r="U713" i="1"/>
  <c r="U729" i="1"/>
  <c r="U749" i="1"/>
  <c r="U866" i="1"/>
  <c r="U870" i="1"/>
  <c r="U874" i="1"/>
  <c r="U878" i="1"/>
  <c r="U882" i="1"/>
  <c r="U886" i="1"/>
  <c r="U890" i="1"/>
  <c r="U894" i="1"/>
  <c r="U898" i="1"/>
  <c r="U902" i="1"/>
  <c r="U906" i="1"/>
  <c r="U703" i="1"/>
  <c r="U707" i="1"/>
  <c r="U711" i="1"/>
  <c r="U715" i="1"/>
  <c r="U719" i="1"/>
  <c r="U723" i="1"/>
  <c r="U727" i="1"/>
  <c r="U731" i="1"/>
  <c r="U735" i="1"/>
  <c r="U739" i="1"/>
  <c r="U743" i="1"/>
  <c r="U747" i="1"/>
  <c r="U751" i="1"/>
  <c r="U755" i="1"/>
  <c r="U759" i="1"/>
  <c r="U763" i="1"/>
  <c r="U847" i="1"/>
  <c r="U851" i="1"/>
  <c r="U864" i="1"/>
  <c r="U868" i="1"/>
  <c r="U872" i="1"/>
  <c r="U876" i="1"/>
  <c r="U880" i="1"/>
  <c r="U884" i="1"/>
  <c r="U888" i="1"/>
  <c r="U892" i="1"/>
  <c r="U896" i="1"/>
  <c r="U900" i="1"/>
  <c r="U904" i="1"/>
  <c r="U909" i="1"/>
  <c r="U913" i="1"/>
  <c r="U917" i="1"/>
  <c r="U921" i="1"/>
  <c r="U45" i="1"/>
  <c r="U53" i="1"/>
  <c r="U57" i="1"/>
  <c r="U65" i="1"/>
  <c r="U73" i="1"/>
  <c r="U968" i="1"/>
  <c r="U976" i="1"/>
  <c r="U980" i="1"/>
  <c r="U38" i="1"/>
  <c r="U42" i="1"/>
  <c r="U46" i="1"/>
  <c r="U50" i="1"/>
  <c r="U54" i="1"/>
  <c r="U58" i="1"/>
  <c r="U62" i="1"/>
  <c r="U66" i="1"/>
  <c r="U70" i="1"/>
  <c r="U74" i="1"/>
  <c r="U78" i="1"/>
  <c r="U244" i="1"/>
  <c r="U252" i="1"/>
  <c r="U49" i="1"/>
  <c r="U77" i="1"/>
  <c r="U931" i="1"/>
  <c r="U964" i="1"/>
  <c r="U972" i="1"/>
  <c r="U984" i="1"/>
  <c r="U39" i="1"/>
  <c r="U43" i="1"/>
  <c r="U47" i="1"/>
  <c r="U51" i="1"/>
  <c r="U55" i="1"/>
  <c r="U59" i="1"/>
  <c r="U63" i="1"/>
  <c r="U67" i="1"/>
  <c r="U71" i="1"/>
  <c r="U75" i="1"/>
  <c r="U41" i="1"/>
  <c r="U61" i="1"/>
  <c r="U69" i="1"/>
  <c r="U988" i="1"/>
  <c r="U40" i="1"/>
  <c r="U44" i="1"/>
  <c r="U48" i="1"/>
  <c r="U52" i="1"/>
  <c r="U56" i="1"/>
  <c r="U60" i="1"/>
  <c r="U64" i="1"/>
  <c r="U68" i="1"/>
  <c r="U72" i="1"/>
  <c r="U76" i="1"/>
  <c r="U248" i="1"/>
  <c r="U179" i="1"/>
  <c r="U181" i="1"/>
  <c r="U183" i="1"/>
  <c r="U185" i="1"/>
  <c r="U187" i="1"/>
  <c r="U189" i="1"/>
  <c r="U191" i="1"/>
  <c r="U193" i="1"/>
  <c r="U195" i="1"/>
  <c r="U197" i="1"/>
  <c r="U199" i="1"/>
  <c r="U201" i="1"/>
  <c r="U203" i="1"/>
  <c r="U205" i="1"/>
  <c r="U207" i="1"/>
  <c r="U209" i="1"/>
  <c r="U211" i="1"/>
  <c r="U213" i="1"/>
  <c r="U215" i="1"/>
  <c r="U217" i="1"/>
  <c r="U219" i="1"/>
  <c r="U221" i="1"/>
  <c r="U223" i="1"/>
  <c r="U225" i="1"/>
  <c r="U227" i="1"/>
  <c r="U229" i="1"/>
  <c r="U231" i="1"/>
  <c r="U233" i="1"/>
  <c r="U235" i="1"/>
  <c r="U237" i="1"/>
  <c r="U239" i="1"/>
  <c r="U241" i="1"/>
  <c r="U245" i="1"/>
  <c r="U249" i="1"/>
  <c r="U253" i="1"/>
  <c r="U286" i="1"/>
  <c r="U294" i="1"/>
  <c r="U302" i="1"/>
  <c r="U310" i="1"/>
  <c r="U318" i="1"/>
  <c r="U326" i="1"/>
  <c r="U542" i="1"/>
  <c r="U558" i="1"/>
  <c r="U574" i="1"/>
  <c r="U590" i="1"/>
  <c r="U242" i="1"/>
  <c r="U246" i="1"/>
  <c r="U250" i="1"/>
  <c r="U254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80" i="1"/>
  <c r="U182" i="1"/>
  <c r="U184" i="1"/>
  <c r="U186" i="1"/>
  <c r="U188" i="1"/>
  <c r="U190" i="1"/>
  <c r="U192" i="1"/>
  <c r="U194" i="1"/>
  <c r="U196" i="1"/>
  <c r="U198" i="1"/>
  <c r="U200" i="1"/>
  <c r="U202" i="1"/>
  <c r="U204" i="1"/>
  <c r="U206" i="1"/>
  <c r="U208" i="1"/>
  <c r="U210" i="1"/>
  <c r="U212" i="1"/>
  <c r="U214" i="1"/>
  <c r="U216" i="1"/>
  <c r="U218" i="1"/>
  <c r="U220" i="1"/>
  <c r="U222" i="1"/>
  <c r="U224" i="1"/>
  <c r="U226" i="1"/>
  <c r="U228" i="1"/>
  <c r="U230" i="1"/>
  <c r="U232" i="1"/>
  <c r="U234" i="1"/>
  <c r="U236" i="1"/>
  <c r="U238" i="1"/>
  <c r="U240" i="1"/>
  <c r="U243" i="1"/>
  <c r="U247" i="1"/>
  <c r="U251" i="1"/>
  <c r="U255" i="1"/>
  <c r="U282" i="1"/>
  <c r="U290" i="1"/>
  <c r="U298" i="1"/>
  <c r="U306" i="1"/>
  <c r="U314" i="1"/>
  <c r="U322" i="1"/>
  <c r="U534" i="1"/>
  <c r="U550" i="1"/>
  <c r="U566" i="1"/>
  <c r="U582" i="1"/>
  <c r="U536" i="1"/>
  <c r="U544" i="1"/>
  <c r="U552" i="1"/>
  <c r="U560" i="1"/>
  <c r="U568" i="1"/>
  <c r="U576" i="1"/>
  <c r="U584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5" i="1"/>
  <c r="U289" i="1"/>
  <c r="U293" i="1"/>
  <c r="U297" i="1"/>
  <c r="U301" i="1"/>
  <c r="U305" i="1"/>
  <c r="U309" i="1"/>
  <c r="U313" i="1"/>
  <c r="U317" i="1"/>
  <c r="U321" i="1"/>
  <c r="U325" i="1"/>
  <c r="U329" i="1"/>
  <c r="U331" i="1"/>
  <c r="U333" i="1"/>
  <c r="U335" i="1"/>
  <c r="U337" i="1"/>
  <c r="U339" i="1"/>
  <c r="U341" i="1"/>
  <c r="U343" i="1"/>
  <c r="U345" i="1"/>
  <c r="U347" i="1"/>
  <c r="U349" i="1"/>
  <c r="U351" i="1"/>
  <c r="U353" i="1"/>
  <c r="U355" i="1"/>
  <c r="U357" i="1"/>
  <c r="U359" i="1"/>
  <c r="U361" i="1"/>
  <c r="U363" i="1"/>
  <c r="U365" i="1"/>
  <c r="U367" i="1"/>
  <c r="U369" i="1"/>
  <c r="U371" i="1"/>
  <c r="U373" i="1"/>
  <c r="U375" i="1"/>
  <c r="U377" i="1"/>
  <c r="U379" i="1"/>
  <c r="U381" i="1"/>
  <c r="U383" i="1"/>
  <c r="U385" i="1"/>
  <c r="U387" i="1"/>
  <c r="U389" i="1"/>
  <c r="U391" i="1"/>
  <c r="U538" i="1"/>
  <c r="U546" i="1"/>
  <c r="U554" i="1"/>
  <c r="U562" i="1"/>
  <c r="U570" i="1"/>
  <c r="U578" i="1"/>
  <c r="U586" i="1"/>
  <c r="U532" i="1"/>
  <c r="U540" i="1"/>
  <c r="U548" i="1"/>
  <c r="U556" i="1"/>
  <c r="U564" i="1"/>
  <c r="U572" i="1"/>
  <c r="U580" i="1"/>
  <c r="U588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6" i="1"/>
  <c r="U650" i="1"/>
  <c r="U654" i="1"/>
  <c r="U658" i="1"/>
  <c r="U662" i="1"/>
  <c r="U666" i="1"/>
  <c r="U670" i="1"/>
  <c r="U674" i="1"/>
  <c r="U678" i="1"/>
  <c r="U682" i="1"/>
  <c r="U686" i="1"/>
  <c r="U690" i="1"/>
  <c r="U694" i="1"/>
  <c r="U645" i="1"/>
  <c r="U649" i="1"/>
  <c r="U653" i="1"/>
  <c r="U657" i="1"/>
  <c r="U661" i="1"/>
  <c r="U665" i="1"/>
  <c r="U669" i="1"/>
  <c r="U673" i="1"/>
  <c r="U677" i="1"/>
  <c r="U681" i="1"/>
  <c r="U685" i="1"/>
  <c r="U689" i="1"/>
  <c r="U693" i="1"/>
  <c r="U644" i="1"/>
  <c r="U648" i="1"/>
  <c r="U652" i="1"/>
  <c r="U656" i="1"/>
  <c r="U660" i="1"/>
  <c r="U664" i="1"/>
  <c r="U668" i="1"/>
  <c r="U672" i="1"/>
  <c r="U676" i="1"/>
  <c r="U680" i="1"/>
  <c r="U684" i="1"/>
  <c r="U688" i="1"/>
  <c r="U692" i="1"/>
  <c r="U696" i="1"/>
  <c r="U766" i="1"/>
  <c r="U768" i="1"/>
  <c r="U770" i="1"/>
  <c r="U772" i="1"/>
  <c r="U774" i="1"/>
  <c r="U776" i="1"/>
  <c r="U778" i="1"/>
  <c r="U780" i="1"/>
  <c r="U782" i="1"/>
  <c r="U784" i="1"/>
  <c r="U786" i="1"/>
  <c r="U788" i="1"/>
  <c r="U790" i="1"/>
  <c r="U792" i="1"/>
  <c r="U794" i="1"/>
  <c r="U796" i="1"/>
  <c r="U798" i="1"/>
  <c r="U800" i="1"/>
  <c r="U802" i="1"/>
  <c r="U804" i="1"/>
  <c r="U806" i="1"/>
  <c r="U808" i="1"/>
  <c r="U810" i="1"/>
  <c r="U923" i="1"/>
  <c r="U765" i="1"/>
  <c r="U767" i="1"/>
  <c r="U769" i="1"/>
  <c r="U771" i="1"/>
  <c r="U773" i="1"/>
  <c r="U775" i="1"/>
  <c r="U777" i="1"/>
  <c r="U779" i="1"/>
  <c r="U781" i="1"/>
  <c r="U783" i="1"/>
  <c r="U785" i="1"/>
  <c r="U787" i="1"/>
  <c r="U789" i="1"/>
  <c r="U791" i="1"/>
  <c r="U793" i="1"/>
  <c r="U795" i="1"/>
  <c r="U797" i="1"/>
  <c r="U799" i="1"/>
  <c r="U801" i="1"/>
  <c r="U803" i="1"/>
  <c r="U805" i="1"/>
  <c r="U807" i="1"/>
  <c r="U809" i="1"/>
  <c r="U811" i="1"/>
  <c r="U911" i="1"/>
  <c r="U928" i="1"/>
  <c r="U936" i="1"/>
  <c r="U958" i="1"/>
  <c r="U852" i="1"/>
  <c r="U854" i="1"/>
  <c r="U856" i="1"/>
  <c r="U858" i="1"/>
  <c r="U860" i="1"/>
  <c r="U862" i="1"/>
  <c r="U915" i="1"/>
  <c r="U927" i="1"/>
  <c r="U935" i="1"/>
  <c r="U950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919" i="1"/>
  <c r="U924" i="1"/>
  <c r="U932" i="1"/>
  <c r="U942" i="1"/>
  <c r="U963" i="1"/>
  <c r="U967" i="1"/>
  <c r="U971" i="1"/>
  <c r="U975" i="1"/>
  <c r="U979" i="1"/>
  <c r="U983" i="1"/>
  <c r="U987" i="1"/>
  <c r="U991" i="1"/>
  <c r="U908" i="1"/>
  <c r="U912" i="1"/>
  <c r="U916" i="1"/>
  <c r="U920" i="1"/>
  <c r="U925" i="1"/>
  <c r="U929" i="1"/>
  <c r="U933" i="1"/>
  <c r="U937" i="1"/>
  <c r="U944" i="1"/>
  <c r="U952" i="1"/>
  <c r="U960" i="1"/>
  <c r="U962" i="1"/>
  <c r="U966" i="1"/>
  <c r="U970" i="1"/>
  <c r="U974" i="1"/>
  <c r="U978" i="1"/>
  <c r="U982" i="1"/>
  <c r="U986" i="1"/>
  <c r="U990" i="1"/>
  <c r="U926" i="1"/>
  <c r="U930" i="1"/>
  <c r="U934" i="1"/>
  <c r="U938" i="1"/>
  <c r="U946" i="1"/>
  <c r="U954" i="1"/>
  <c r="U965" i="1"/>
  <c r="U969" i="1"/>
  <c r="U973" i="1"/>
  <c r="U977" i="1"/>
  <c r="U981" i="1"/>
  <c r="U985" i="1"/>
  <c r="U989" i="1"/>
  <c r="U939" i="1"/>
  <c r="U941" i="1"/>
  <c r="U943" i="1"/>
  <c r="U945" i="1"/>
  <c r="U947" i="1"/>
  <c r="U949" i="1"/>
  <c r="U951" i="1"/>
  <c r="U953" i="1"/>
  <c r="U955" i="1"/>
  <c r="U957" i="1"/>
  <c r="U959" i="1"/>
  <c r="U961" i="1"/>
</calcChain>
</file>

<file path=xl/sharedStrings.xml><?xml version="1.0" encoding="utf-8"?>
<sst xmlns="http://schemas.openxmlformats.org/spreadsheetml/2006/main" count="15958" uniqueCount="3602">
  <si>
    <t>Product_ID</t>
  </si>
  <si>
    <t>Product_Name</t>
  </si>
  <si>
    <t>Category</t>
  </si>
  <si>
    <t>Supplier_ID</t>
  </si>
  <si>
    <t>Supplier_Name</t>
  </si>
  <si>
    <t>Stock_Quantity</t>
  </si>
  <si>
    <t>Reorder_Level</t>
  </si>
  <si>
    <t>Reorder_Quantity</t>
  </si>
  <si>
    <t>Unit_Price</t>
  </si>
  <si>
    <t>Total Stock Value</t>
  </si>
  <si>
    <t>Stock Status</t>
  </si>
  <si>
    <t>Reorder cost</t>
  </si>
  <si>
    <t>Received_Date</t>
  </si>
  <si>
    <t>Last_Order_Date</t>
  </si>
  <si>
    <t>Expiration_Date</t>
  </si>
  <si>
    <t>Warehouse_Location</t>
  </si>
  <si>
    <t>Sales_Volume</t>
  </si>
  <si>
    <t>Revenue</t>
  </si>
  <si>
    <t>Inventory_Turnover_Rate</t>
  </si>
  <si>
    <t>Status</t>
  </si>
  <si>
    <t>Profit Margin</t>
  </si>
  <si>
    <t>29-205-1132</t>
  </si>
  <si>
    <t>Sushi Rice</t>
  </si>
  <si>
    <t>Grains &amp; Pulses</t>
  </si>
  <si>
    <t>38-037-1699</t>
  </si>
  <si>
    <t>Jaxnation</t>
  </si>
  <si>
    <t>48 Del Sol Trail</t>
  </si>
  <si>
    <t>Discontinued</t>
  </si>
  <si>
    <t>40-681-9981</t>
  </si>
  <si>
    <t>Arabica Coffee</t>
  </si>
  <si>
    <t>Beverages</t>
  </si>
  <si>
    <t>54-470-2479</t>
  </si>
  <si>
    <t>Feedmix</t>
  </si>
  <si>
    <t>36 3rd Place</t>
  </si>
  <si>
    <t>06-955-3428</t>
  </si>
  <si>
    <t>Black Rice</t>
  </si>
  <si>
    <t>54-031-2945</t>
  </si>
  <si>
    <t>Vinder</t>
  </si>
  <si>
    <t>3296 Walton Court</t>
  </si>
  <si>
    <t>Backordered</t>
  </si>
  <si>
    <t>71-594-6552</t>
  </si>
  <si>
    <t>Long Grain Rice</t>
  </si>
  <si>
    <t>63-492-7603</t>
  </si>
  <si>
    <t>Brightbean</t>
  </si>
  <si>
    <t>3 Westerfield Crossing</t>
  </si>
  <si>
    <t>Active</t>
  </si>
  <si>
    <t>57-437-1828</t>
  </si>
  <si>
    <t>Plum</t>
  </si>
  <si>
    <t>Fruits &amp; Vegetables</t>
  </si>
  <si>
    <t>54-226-4308</t>
  </si>
  <si>
    <t>Topicstorm</t>
  </si>
  <si>
    <t>15068 Scoville Court</t>
  </si>
  <si>
    <t>21-120-6238</t>
  </si>
  <si>
    <t>All-Purpose Flour</t>
  </si>
  <si>
    <t>86-292-4587</t>
  </si>
  <si>
    <t>Dabjam</t>
  </si>
  <si>
    <t>050 Mcbride Avenue</t>
  </si>
  <si>
    <t>71-516-1996</t>
  </si>
  <si>
    <t>Corn Oil</t>
  </si>
  <si>
    <t>Oils &amp; Fats</t>
  </si>
  <si>
    <t>04-391-7610</t>
  </si>
  <si>
    <t>Tagfeed</t>
  </si>
  <si>
    <t>12 Truax Court</t>
  </si>
  <si>
    <t>39-629-5554</t>
  </si>
  <si>
    <t>Egg (Goose)</t>
  </si>
  <si>
    <t>Dairy</t>
  </si>
  <si>
    <t>67-679-4930</t>
  </si>
  <si>
    <t>Muxo</t>
  </si>
  <si>
    <t>267 International Plaza</t>
  </si>
  <si>
    <t>66-268-8345</t>
  </si>
  <si>
    <t>Greek Yogurt</t>
  </si>
  <si>
    <t>32-182-1895</t>
  </si>
  <si>
    <t>Thoughtstorm</t>
  </si>
  <si>
    <t>550 Clemons Plaza</t>
  </si>
  <si>
    <t>46-452-9419</t>
  </si>
  <si>
    <t>Egg (Duck)</t>
  </si>
  <si>
    <t>67-137-4215</t>
  </si>
  <si>
    <t>Wordify</t>
  </si>
  <si>
    <t>55782 Welch Hill</t>
  </si>
  <si>
    <t>51-469-4611</t>
  </si>
  <si>
    <t>62-029-0827</t>
  </si>
  <si>
    <t>Fivebridge</t>
  </si>
  <si>
    <t>04776 Saint Paul Park</t>
  </si>
  <si>
    <t>42-220-9305</t>
  </si>
  <si>
    <t>White Sugar</t>
  </si>
  <si>
    <t>56-092-7992</t>
  </si>
  <si>
    <t>Zooxo</t>
  </si>
  <si>
    <t>61932 Cascade Crossing</t>
  </si>
  <si>
    <t>75-094-1179</t>
  </si>
  <si>
    <t>Rye Bread</t>
  </si>
  <si>
    <t>Bakery</t>
  </si>
  <si>
    <t>57-615-0729</t>
  </si>
  <si>
    <t>Vitz</t>
  </si>
  <si>
    <t>13 Forest Run Place</t>
  </si>
  <si>
    <t>11-073-0189</t>
  </si>
  <si>
    <t>75-190-3627</t>
  </si>
  <si>
    <t>Voomm</t>
  </si>
  <si>
    <t>5104 Jana Court</t>
  </si>
  <si>
    <t>22-621-2774</t>
  </si>
  <si>
    <t>Strawberries</t>
  </si>
  <si>
    <t>70-901-6191</t>
  </si>
  <si>
    <t>Babblestorm</t>
  </si>
  <si>
    <t>00 Drewry Court</t>
  </si>
  <si>
    <t>39-449-0772</t>
  </si>
  <si>
    <t>Feta Cheese</t>
  </si>
  <si>
    <t>84-504-7617</t>
  </si>
  <si>
    <t>Youfeed</t>
  </si>
  <si>
    <t>195 Portage Junction</t>
  </si>
  <si>
    <t>55-936-2406</t>
  </si>
  <si>
    <t>Bread Flour</t>
  </si>
  <si>
    <t>29-689-5014</t>
  </si>
  <si>
    <t>Mynte</t>
  </si>
  <si>
    <t>52691 8th Drive</t>
  </si>
  <si>
    <t>82-041-7211</t>
  </si>
  <si>
    <t>Swiss Cheese</t>
  </si>
  <si>
    <t>03-615-0558</t>
  </si>
  <si>
    <t>Reallinks</t>
  </si>
  <si>
    <t>285 1st Park</t>
  </si>
  <si>
    <t>48-414-6162</t>
  </si>
  <si>
    <t>10-060-8515</t>
  </si>
  <si>
    <t>Skivee</t>
  </si>
  <si>
    <t>17780 Lindbergh Junction</t>
  </si>
  <si>
    <t>76-854-0095</t>
  </si>
  <si>
    <t>38-883-3382</t>
  </si>
  <si>
    <t>Mydeo</t>
  </si>
  <si>
    <t>7834 Cordelia Alley</t>
  </si>
  <si>
    <t>25-349-7974</t>
  </si>
  <si>
    <t>Spinach</t>
  </si>
  <si>
    <t>82-737-6019</t>
  </si>
  <si>
    <t>Devshare</t>
  </si>
  <si>
    <t>42 Bunker Hill Junction</t>
  </si>
  <si>
    <t>66-627-9752</t>
  </si>
  <si>
    <t>Trout</t>
  </si>
  <si>
    <t>Seafood</t>
  </si>
  <si>
    <t>87-839-6400</t>
  </si>
  <si>
    <t>Jabbertype</t>
  </si>
  <si>
    <t>08 Randy Junction</t>
  </si>
  <si>
    <t>78-614-4402</t>
  </si>
  <si>
    <t>Green Beans</t>
  </si>
  <si>
    <t>51-014-4287</t>
  </si>
  <si>
    <t>Gigazoom</t>
  </si>
  <si>
    <t>37 Browning Trail</t>
  </si>
  <si>
    <t>67-025-1245</t>
  </si>
  <si>
    <t>Cabbage</t>
  </si>
  <si>
    <t>28-575-0716</t>
  </si>
  <si>
    <t>Chatterbridge</t>
  </si>
  <si>
    <t>51890 Lindbergh Terrace</t>
  </si>
  <si>
    <t>68-418-6724</t>
  </si>
  <si>
    <t>Parmesan Cheese</t>
  </si>
  <si>
    <t>75-465-6257</t>
  </si>
  <si>
    <t>Feedspan</t>
  </si>
  <si>
    <t>49869 Bunker Hill Terrace</t>
  </si>
  <si>
    <t>40-795-0753</t>
  </si>
  <si>
    <t>Raw Sugar</t>
  </si>
  <si>
    <t>47-183-4911</t>
  </si>
  <si>
    <t>Mydo</t>
  </si>
  <si>
    <t>66879 Susan Place</t>
  </si>
  <si>
    <t>02-508-3777</t>
  </si>
  <si>
    <t>Egg (Quail)</t>
  </si>
  <si>
    <t>69-933-2582</t>
  </si>
  <si>
    <t>Realpoint</t>
  </si>
  <si>
    <t>895 Northland Hill</t>
  </si>
  <si>
    <t>79-741-0770</t>
  </si>
  <si>
    <t>Mushrooms</t>
  </si>
  <si>
    <t>67-771-7656</t>
  </si>
  <si>
    <t>Photospace</t>
  </si>
  <si>
    <t>91 Kinsman Terrace</t>
  </si>
  <si>
    <t>31-211-5803</t>
  </si>
  <si>
    <t>Oatmeal Biscuit</t>
  </si>
  <si>
    <t>75-503-9347</t>
  </si>
  <si>
    <t>492 Shoshone Road</t>
  </si>
  <si>
    <t>16-499-5059</t>
  </si>
  <si>
    <t>Pear</t>
  </si>
  <si>
    <t>09-090-6360</t>
  </si>
  <si>
    <t>Centizu</t>
  </si>
  <si>
    <t>3 Hooker Way</t>
  </si>
  <si>
    <t>76-340-4432</t>
  </si>
  <si>
    <t>Cucumber</t>
  </si>
  <si>
    <t>79-915-4185</t>
  </si>
  <si>
    <t>Brainverse</t>
  </si>
  <si>
    <t>157 David Center</t>
  </si>
  <si>
    <t>38-732-7667</t>
  </si>
  <si>
    <t>Pineapple</t>
  </si>
  <si>
    <t>88-663-3393</t>
  </si>
  <si>
    <t>Photojam</t>
  </si>
  <si>
    <t>3645 Ridge Oak Drive</t>
  </si>
  <si>
    <t>04-240-2226</t>
  </si>
  <si>
    <t>Olive Oil</t>
  </si>
  <si>
    <t>65-842-6819</t>
  </si>
  <si>
    <t>Kamba</t>
  </si>
  <si>
    <t>504 Green Park</t>
  </si>
  <si>
    <t>79-136-9840</t>
  </si>
  <si>
    <t>Herbal Tea</t>
  </si>
  <si>
    <t>07-809-0926</t>
  </si>
  <si>
    <t>Pixonyx</t>
  </si>
  <si>
    <t>26175 Oxford Way</t>
  </si>
  <si>
    <t>73-401-5721</t>
  </si>
  <si>
    <t>Haddock</t>
  </si>
  <si>
    <t>38-622-5251</t>
  </si>
  <si>
    <t>Midel</t>
  </si>
  <si>
    <t>582 Sauthoff Crossing</t>
  </si>
  <si>
    <t>91-848-0606</t>
  </si>
  <si>
    <t>Onion</t>
  </si>
  <si>
    <t>68-836-0350</t>
  </si>
  <si>
    <t>Skyble</t>
  </si>
  <si>
    <t>13 Corscot Hill</t>
  </si>
  <si>
    <t>54-109-8062</t>
  </si>
  <si>
    <t>04-726-3363</t>
  </si>
  <si>
    <t>Linklinks</t>
  </si>
  <si>
    <t>67 Little Fleur Road</t>
  </si>
  <si>
    <t>70-612-2531</t>
  </si>
  <si>
    <t>94-217-4781</t>
  </si>
  <si>
    <t>Flipbug</t>
  </si>
  <si>
    <t>4 Raven Drive</t>
  </si>
  <si>
    <t>26-161-6692</t>
  </si>
  <si>
    <t>Zucchini</t>
  </si>
  <si>
    <t>61-796-7912</t>
  </si>
  <si>
    <t>Kare</t>
  </si>
  <si>
    <t>70001 Vahlen Lane</t>
  </si>
  <si>
    <t>43-893-5408</t>
  </si>
  <si>
    <t>Short Grain Rice</t>
  </si>
  <si>
    <t>25-414-2945</t>
  </si>
  <si>
    <t>Snaptags</t>
  </si>
  <si>
    <t>6 Orin Place</t>
  </si>
  <si>
    <t>11-316-8405</t>
  </si>
  <si>
    <t>Mango</t>
  </si>
  <si>
    <t>50-918-1373</t>
  </si>
  <si>
    <t>Twitternation</t>
  </si>
  <si>
    <t>108 Morning Center</t>
  </si>
  <si>
    <t>34-086-3222</t>
  </si>
  <si>
    <t>Lemon</t>
  </si>
  <si>
    <t>34-017-9457</t>
  </si>
  <si>
    <t>Layo</t>
  </si>
  <si>
    <t>867 Merrick Place</t>
  </si>
  <si>
    <t>21-816-1004</t>
  </si>
  <si>
    <t>Black Coffee</t>
  </si>
  <si>
    <t>68-482-4786</t>
  </si>
  <si>
    <t>564 Hazelcrest Crossing</t>
  </si>
  <si>
    <t>43-693-2092</t>
  </si>
  <si>
    <t>Butter</t>
  </si>
  <si>
    <t>19-469-9841</t>
  </si>
  <si>
    <t>Kayveo</t>
  </si>
  <si>
    <t>76 Toban Plaza</t>
  </si>
  <si>
    <t>63-270-7076</t>
  </si>
  <si>
    <t>Multigrain Bread</t>
  </si>
  <si>
    <t>85-532-0172</t>
  </si>
  <si>
    <t>Roombo</t>
  </si>
  <si>
    <t>6 Lunder Parkway</t>
  </si>
  <si>
    <t>90-230-9767</t>
  </si>
  <si>
    <t>70-515-9048</t>
  </si>
  <si>
    <t>Voonyx</t>
  </si>
  <si>
    <t>00397 Bay Terrace</t>
  </si>
  <si>
    <t>05-334-2923</t>
  </si>
  <si>
    <t>41-772-6271</t>
  </si>
  <si>
    <t>Browsezoom</t>
  </si>
  <si>
    <t>8 Surrey Pass</t>
  </si>
  <si>
    <t>52-481-5224</t>
  </si>
  <si>
    <t>Kiwi</t>
  </si>
  <si>
    <t>46-382-2024</t>
  </si>
  <si>
    <t>Fiveclub</t>
  </si>
  <si>
    <t>80 Old Shore Plaza</t>
  </si>
  <si>
    <t>11-325-7396</t>
  </si>
  <si>
    <t>98-940-7545</t>
  </si>
  <si>
    <t>Skipfire</t>
  </si>
  <si>
    <t>387 Jay Point</t>
  </si>
  <si>
    <t>70-854-6891</t>
  </si>
  <si>
    <t>Sourdough Bread</t>
  </si>
  <si>
    <t>79-575-9351</t>
  </si>
  <si>
    <t>Flashspan</t>
  </si>
  <si>
    <t>24045 Bluestem Point</t>
  </si>
  <si>
    <t>46-520-1819</t>
  </si>
  <si>
    <t>10-762-7936</t>
  </si>
  <si>
    <t>Katz</t>
  </si>
  <si>
    <t>805 Nancy Crossing</t>
  </si>
  <si>
    <t>91-105-7317</t>
  </si>
  <si>
    <t>Orange</t>
  </si>
  <si>
    <t>84-047-0017</t>
  </si>
  <si>
    <t>44022 Barnett Way</t>
  </si>
  <si>
    <t>40-751-8635</t>
  </si>
  <si>
    <t>48-878-3021</t>
  </si>
  <si>
    <t>Yamia</t>
  </si>
  <si>
    <t>3 Ronald Regan Center</t>
  </si>
  <si>
    <t>02-920-4829</t>
  </si>
  <si>
    <t>White Bread</t>
  </si>
  <si>
    <t>41-587-4864</t>
  </si>
  <si>
    <t>4 Judy Hill</t>
  </si>
  <si>
    <t>36-918-2937</t>
  </si>
  <si>
    <t>Green Coffee</t>
  </si>
  <si>
    <t>53-844-0478</t>
  </si>
  <si>
    <t>Kwinu</t>
  </si>
  <si>
    <t>90865 Sherman Court</t>
  </si>
  <si>
    <t>68-761-6907</t>
  </si>
  <si>
    <t>31-199-3683</t>
  </si>
  <si>
    <t>9695 Alpine Trail</t>
  </si>
  <si>
    <t>69-468-5468</t>
  </si>
  <si>
    <t>37-099-6976</t>
  </si>
  <si>
    <t>Vinte</t>
  </si>
  <si>
    <t>72083 Acker Crossing</t>
  </si>
  <si>
    <t>27-635-8394</t>
  </si>
  <si>
    <t>87-893-6089</t>
  </si>
  <si>
    <t>Twitterwire</t>
  </si>
  <si>
    <t>812 Shelley Circle</t>
  </si>
  <si>
    <t>41-729-5410</t>
  </si>
  <si>
    <t>Sardines</t>
  </si>
  <si>
    <t>71-727-8611</t>
  </si>
  <si>
    <t>Ntag</t>
  </si>
  <si>
    <t>7193 Crownhardt Drive</t>
  </si>
  <si>
    <t>33-335-9140</t>
  </si>
  <si>
    <t>08-209-1598</t>
  </si>
  <si>
    <t>Blogspan</t>
  </si>
  <si>
    <t>76928 Tennyson Parkway</t>
  </si>
  <si>
    <t>11-581-9869</t>
  </si>
  <si>
    <t>Carrot</t>
  </si>
  <si>
    <t>22-867-3079</t>
  </si>
  <si>
    <t>Avaveo</t>
  </si>
  <si>
    <t>44801 Myrtle Center</t>
  </si>
  <si>
    <t>78-237-0277</t>
  </si>
  <si>
    <t>Black Tea</t>
  </si>
  <si>
    <t>50-314-5433</t>
  </si>
  <si>
    <t>Brainbox</t>
  </si>
  <si>
    <t>79 Cardinal Court</t>
  </si>
  <si>
    <t>75-152-8731</t>
  </si>
  <si>
    <t>05-593-1927</t>
  </si>
  <si>
    <t>Voonix</t>
  </si>
  <si>
    <t>622 Anthes Lane</t>
  </si>
  <si>
    <t>65-718-0492</t>
  </si>
  <si>
    <t>91-492-8216</t>
  </si>
  <si>
    <t>8626 Chinook Parkway</t>
  </si>
  <si>
    <t>55-697-5242</t>
  </si>
  <si>
    <t>Ricotta Cheese</t>
  </si>
  <si>
    <t>74-726-0855</t>
  </si>
  <si>
    <t>Shufflebeat</t>
  </si>
  <si>
    <t>19112 Little Fleur Road</t>
  </si>
  <si>
    <t>14-844-4138</t>
  </si>
  <si>
    <t>90-534-2165</t>
  </si>
  <si>
    <t>40643 Sullivan Lane</t>
  </si>
  <si>
    <t>20-225-3930</t>
  </si>
  <si>
    <t>White Tea</t>
  </si>
  <si>
    <t>73-069-2753</t>
  </si>
  <si>
    <t>Skipstorm</t>
  </si>
  <si>
    <t>5756 Stephen Avenue</t>
  </si>
  <si>
    <t>66-993-4234</t>
  </si>
  <si>
    <t>15-852-0491</t>
  </si>
  <si>
    <t>22 Dexter Trail</t>
  </si>
  <si>
    <t>87-762-1317</t>
  </si>
  <si>
    <t>Mozzarella Cheese</t>
  </si>
  <si>
    <t>58-474-3510</t>
  </si>
  <si>
    <t>Dazzlesphere</t>
  </si>
  <si>
    <t>9305 Warrior Way</t>
  </si>
  <si>
    <t>81-844-2979</t>
  </si>
  <si>
    <t>Broccoli</t>
  </si>
  <si>
    <t>02-575-7332</t>
  </si>
  <si>
    <t>Realblab</t>
  </si>
  <si>
    <t>16 Elgar Point</t>
  </si>
  <si>
    <t>44-408-7594</t>
  </si>
  <si>
    <t>Eggplant</t>
  </si>
  <si>
    <t>08-828-3804</t>
  </si>
  <si>
    <t>Eire</t>
  </si>
  <si>
    <t>81 Oneill Circle</t>
  </si>
  <si>
    <t>26-010-9519</t>
  </si>
  <si>
    <t>28-837-4164</t>
  </si>
  <si>
    <t>Blogtag</t>
  </si>
  <si>
    <t>4508 Shopko Trail</t>
  </si>
  <si>
    <t>65-464-5070</t>
  </si>
  <si>
    <t>Heavy Cream</t>
  </si>
  <si>
    <t>01-517-7793</t>
  </si>
  <si>
    <t>Ntags</t>
  </si>
  <si>
    <t>00 Luster Alley</t>
  </si>
  <si>
    <t>07-970-9352</t>
  </si>
  <si>
    <t>Bell Pepper</t>
  </si>
  <si>
    <t>14-724-4622</t>
  </si>
  <si>
    <t>Tagtune</t>
  </si>
  <si>
    <t>459 Gateway Pass</t>
  </si>
  <si>
    <t>88-746-9468</t>
  </si>
  <si>
    <t>06-159-1957</t>
  </si>
  <si>
    <t>Skiba</t>
  </si>
  <si>
    <t>82737 Ryan Place</t>
  </si>
  <si>
    <t>06-336-5482</t>
  </si>
  <si>
    <t>99-784-4391</t>
  </si>
  <si>
    <t>Voolia</t>
  </si>
  <si>
    <t>7 Mockingbird Hill</t>
  </si>
  <si>
    <t>03-276-3931</t>
  </si>
  <si>
    <t>42-224-8186</t>
  </si>
  <si>
    <t>Oyoloo</t>
  </si>
  <si>
    <t>081 Bellgrove Place</t>
  </si>
  <si>
    <t>39-232-5341</t>
  </si>
  <si>
    <t>Arborio Rice</t>
  </si>
  <si>
    <t>23-319-2681</t>
  </si>
  <si>
    <t>05433 Towne Terrace</t>
  </si>
  <si>
    <t>12-239-9399</t>
  </si>
  <si>
    <t>Potato</t>
  </si>
  <si>
    <t>53-584-1853</t>
  </si>
  <si>
    <t>924 La Follette Alley</t>
  </si>
  <si>
    <t>75-080-4909</t>
  </si>
  <si>
    <t>34-726-5887</t>
  </si>
  <si>
    <t>Tagopia</t>
  </si>
  <si>
    <t>7 Gateway Center</t>
  </si>
  <si>
    <t>70-815-4015</t>
  </si>
  <si>
    <t>Butter Biscuit</t>
  </si>
  <si>
    <t>89-134-9717</t>
  </si>
  <si>
    <t>Ozu</t>
  </si>
  <si>
    <t>175 Sycamore Circle</t>
  </si>
  <si>
    <t>11-032-9778</t>
  </si>
  <si>
    <t>Peas</t>
  </si>
  <si>
    <t>42-380-8881</t>
  </si>
  <si>
    <t>Edgepulse</t>
  </si>
  <si>
    <t>553 Mayfield Crossing</t>
  </si>
  <si>
    <t>54-374-9986</t>
  </si>
  <si>
    <t>Cream</t>
  </si>
  <si>
    <t>33-818-4917</t>
  </si>
  <si>
    <t>Oyondu</t>
  </si>
  <si>
    <t>74997 Katie Terrace</t>
  </si>
  <si>
    <t>77-312-6317</t>
  </si>
  <si>
    <t>12-950-4397</t>
  </si>
  <si>
    <t>Abatz</t>
  </si>
  <si>
    <t>3616 Carey Pass</t>
  </si>
  <si>
    <t>13-844-2178</t>
  </si>
  <si>
    <t>66-832-1802</t>
  </si>
  <si>
    <t>Browsetype</t>
  </si>
  <si>
    <t>86207 Tennyson Parkway</t>
  </si>
  <si>
    <t>22-141-9798</t>
  </si>
  <si>
    <t>59-849-9942</t>
  </si>
  <si>
    <t>Photobean</t>
  </si>
  <si>
    <t>6 Nobel Junction</t>
  </si>
  <si>
    <t>20-022-3173</t>
  </si>
  <si>
    <t>54-188-1006</t>
  </si>
  <si>
    <t>81878 Nobel Point</t>
  </si>
  <si>
    <t>26-177-5690</t>
  </si>
  <si>
    <t>06-708-1412</t>
  </si>
  <si>
    <t>Skinte</t>
  </si>
  <si>
    <t>61707 Mariners Cove Park</t>
  </si>
  <si>
    <t>70-871-4536</t>
  </si>
  <si>
    <t>72-514-7323</t>
  </si>
  <si>
    <t>Cogilith</t>
  </si>
  <si>
    <t>5 Waxwing Junction</t>
  </si>
  <si>
    <t>06-611-5454</t>
  </si>
  <si>
    <t>Peanut Oil</t>
  </si>
  <si>
    <t>43-786-9229</t>
  </si>
  <si>
    <t>Bluezoom</t>
  </si>
  <si>
    <t>16 Autumn Leaf Way</t>
  </si>
  <si>
    <t>89-543-3456</t>
  </si>
  <si>
    <t>Blueberries</t>
  </si>
  <si>
    <t>23-178-8962</t>
  </si>
  <si>
    <t>Jaloo</t>
  </si>
  <si>
    <t>22782 Oriole Way</t>
  </si>
  <si>
    <t>82-395-5070</t>
  </si>
  <si>
    <t>Chocolate Biscuit</t>
  </si>
  <si>
    <t>01-801-9502</t>
  </si>
  <si>
    <t>Vidoo</t>
  </si>
  <si>
    <t>43442 Homewood Street</t>
  </si>
  <si>
    <t>14-305-5348</t>
  </si>
  <si>
    <t>Cheese</t>
  </si>
  <si>
    <t>71-092-6845</t>
  </si>
  <si>
    <t>Shuffledrive</t>
  </si>
  <si>
    <t>19 Shoshone Circle</t>
  </si>
  <si>
    <t>82-243-3180</t>
  </si>
  <si>
    <t>Palm Oil</t>
  </si>
  <si>
    <t>18-631-1458</t>
  </si>
  <si>
    <t>97 Sunnyside Court</t>
  </si>
  <si>
    <t>25-010-9478</t>
  </si>
  <si>
    <t>24-576-3402</t>
  </si>
  <si>
    <t>Topicblab</t>
  </si>
  <si>
    <t>357 Maple Park</t>
  </si>
  <si>
    <t>13-202-4809</t>
  </si>
  <si>
    <t>Garlic</t>
  </si>
  <si>
    <t>24-281-7685</t>
  </si>
  <si>
    <t>6195 Monterey Center</t>
  </si>
  <si>
    <t>67-270-7464</t>
  </si>
  <si>
    <t>Jasmine Rice</t>
  </si>
  <si>
    <t>83-960-5274</t>
  </si>
  <si>
    <t>Yadel</t>
  </si>
  <si>
    <t>7242 Claremont Avenue</t>
  </si>
  <si>
    <t>11-733-1756</t>
  </si>
  <si>
    <t>Rice Flour</t>
  </si>
  <si>
    <t>27-970-8649</t>
  </si>
  <si>
    <t>127 Eliot Road</t>
  </si>
  <si>
    <t>80-988-4653</t>
  </si>
  <si>
    <t>02-272-0535</t>
  </si>
  <si>
    <t>Livetube</t>
  </si>
  <si>
    <t>8 Russell Pass</t>
  </si>
  <si>
    <t>60-343-7973</t>
  </si>
  <si>
    <t>06-303-4127</t>
  </si>
  <si>
    <t>Zoombox</t>
  </si>
  <si>
    <t>85408 Toban Crossing</t>
  </si>
  <si>
    <t>34-861-4446</t>
  </si>
  <si>
    <t>40-696-4237</t>
  </si>
  <si>
    <t>Photobug</t>
  </si>
  <si>
    <t>113 Donald Court</t>
  </si>
  <si>
    <t>67-710-5120</t>
  </si>
  <si>
    <t>00-131-9278</t>
  </si>
  <si>
    <t>Skynoodle</t>
  </si>
  <si>
    <t>978 Shasta Lane</t>
  </si>
  <si>
    <t>49-891-4927</t>
  </si>
  <si>
    <t>Cottage Cheese</t>
  </si>
  <si>
    <t>89-155-3471</t>
  </si>
  <si>
    <t>46 Hoffman Trail</t>
  </si>
  <si>
    <t>55-522-8242</t>
  </si>
  <si>
    <t>Whipped Cream</t>
  </si>
  <si>
    <t>48-884-5431</t>
  </si>
  <si>
    <t>Feedbug</t>
  </si>
  <si>
    <t>7 Spohn Avenue</t>
  </si>
  <si>
    <t>62-509-0666</t>
  </si>
  <si>
    <t>Almond Flour</t>
  </si>
  <si>
    <t>16-419-1419</t>
  </si>
  <si>
    <t>1468 Meadow Vale Court</t>
  </si>
  <si>
    <t>64-478-4745</t>
  </si>
  <si>
    <t>36-780-8625</t>
  </si>
  <si>
    <t>208 Miller Court</t>
  </si>
  <si>
    <t>35-835-5591</t>
  </si>
  <si>
    <t>Tilapia</t>
  </si>
  <si>
    <t>54-876-4296</t>
  </si>
  <si>
    <t>509 Carpenter Trail</t>
  </si>
  <si>
    <t>26-690-3784</t>
  </si>
  <si>
    <t>Lettuce</t>
  </si>
  <si>
    <t>70-463-6597</t>
  </si>
  <si>
    <t>Fadeo</t>
  </si>
  <si>
    <t>19069 Cordelia Drive</t>
  </si>
  <si>
    <t>67-546-1568</t>
  </si>
  <si>
    <t>10-038-3988</t>
  </si>
  <si>
    <t>Edgeify</t>
  </si>
  <si>
    <t>203 Mariners Cove Junction</t>
  </si>
  <si>
    <t>67-625-9704</t>
  </si>
  <si>
    <t>13-475-1009</t>
  </si>
  <si>
    <t>Eayo</t>
  </si>
  <si>
    <t>7819 Fallview Park</t>
  </si>
  <si>
    <t>31-969-4614</t>
  </si>
  <si>
    <t>83-104-8425</t>
  </si>
  <si>
    <t>993 Kensington Drive</t>
  </si>
  <si>
    <t>50-364-5828</t>
  </si>
  <si>
    <t>Coconut</t>
  </si>
  <si>
    <t>17-239-6309</t>
  </si>
  <si>
    <t>772 Golf Course Junction</t>
  </si>
  <si>
    <t>61-827-4098</t>
  </si>
  <si>
    <t>Cod</t>
  </si>
  <si>
    <t>34-850-0377</t>
  </si>
  <si>
    <t>Devbug</t>
  </si>
  <si>
    <t>29992 Warrior Center</t>
  </si>
  <si>
    <t>87-698-0944</t>
  </si>
  <si>
    <t>Banana</t>
  </si>
  <si>
    <t>73-717-0190</t>
  </si>
  <si>
    <t>8 Heffernan Point</t>
  </si>
  <si>
    <t>36-636-4873</t>
  </si>
  <si>
    <t>11-098-3982</t>
  </si>
  <si>
    <t>Wikivu</t>
  </si>
  <si>
    <t>451 Grim Hill</t>
  </si>
  <si>
    <t>98-556-5323</t>
  </si>
  <si>
    <t>Pomegranate</t>
  </si>
  <si>
    <t>21-490-8051</t>
  </si>
  <si>
    <t>Dynabox</t>
  </si>
  <si>
    <t>005 Tomscot Hill</t>
  </si>
  <si>
    <t>97-772-2336</t>
  </si>
  <si>
    <t>19-704-4404</t>
  </si>
  <si>
    <t>Rooxo</t>
  </si>
  <si>
    <t>9 Bartillon Trail</t>
  </si>
  <si>
    <t>19-047-4239</t>
  </si>
  <si>
    <t>Peach</t>
  </si>
  <si>
    <t>11-146-9880</t>
  </si>
  <si>
    <t>Quire</t>
  </si>
  <si>
    <t>7 West Street</t>
  </si>
  <si>
    <t>41-316-8427</t>
  </si>
  <si>
    <t>75-867-3635</t>
  </si>
  <si>
    <t>Realcube</t>
  </si>
  <si>
    <t>03416 Valley Edge Circle</t>
  </si>
  <si>
    <t>15-907-3681</t>
  </si>
  <si>
    <t>72-931-9828</t>
  </si>
  <si>
    <t>Brainsphere</t>
  </si>
  <si>
    <t>21633 Sycamore Center</t>
  </si>
  <si>
    <t>14-305-9690</t>
  </si>
  <si>
    <t>13-457-9946</t>
  </si>
  <si>
    <t>Dabshots</t>
  </si>
  <si>
    <t>43107 Schlimgen Circle</t>
  </si>
  <si>
    <t>40-860-4532</t>
  </si>
  <si>
    <t>73-625-5112</t>
  </si>
  <si>
    <t>988 Southridge Way</t>
  </si>
  <si>
    <t>44-552-3909</t>
  </si>
  <si>
    <t>80-863-1186</t>
  </si>
  <si>
    <t>Riffwire</t>
  </si>
  <si>
    <t>6 Charing Cross Circle</t>
  </si>
  <si>
    <t>75-029-9003</t>
  </si>
  <si>
    <t>61-917-4271</t>
  </si>
  <si>
    <t>Eadel</t>
  </si>
  <si>
    <t>19180 Hagan Parkway</t>
  </si>
  <si>
    <t>74-587-2065</t>
  </si>
  <si>
    <t>33-141-1402</t>
  </si>
  <si>
    <t>Gigaclub</t>
  </si>
  <si>
    <t>84642 Clarendon Point</t>
  </si>
  <si>
    <t>70-149-6756</t>
  </si>
  <si>
    <t>97-150-9199</t>
  </si>
  <si>
    <t>6 Messerschmidt Place</t>
  </si>
  <si>
    <t>29-896-7926</t>
  </si>
  <si>
    <t>White Rice</t>
  </si>
  <si>
    <t>86-400-4155</t>
  </si>
  <si>
    <t>Centidel</t>
  </si>
  <si>
    <t>80930 Briar Crest Point</t>
  </si>
  <si>
    <t>54-822-9009</t>
  </si>
  <si>
    <t>Cauliflower</t>
  </si>
  <si>
    <t>23-197-9965</t>
  </si>
  <si>
    <t>Shufflester</t>
  </si>
  <si>
    <t>64389 Arkansas Alley</t>
  </si>
  <si>
    <t>84-075-7647</t>
  </si>
  <si>
    <t>Canola Oil</t>
  </si>
  <si>
    <t>95-889-8592</t>
  </si>
  <si>
    <t>51 7th Court</t>
  </si>
  <si>
    <t>88-602-8210</t>
  </si>
  <si>
    <t>Avocado Oil</t>
  </si>
  <si>
    <t>26-411-9126</t>
  </si>
  <si>
    <t>Skajo</t>
  </si>
  <si>
    <t>042 Di Loreto Court</t>
  </si>
  <si>
    <t>04-542-3863</t>
  </si>
  <si>
    <t>55-952-9832</t>
  </si>
  <si>
    <t>Eidel</t>
  </si>
  <si>
    <t>403 Loomis Way</t>
  </si>
  <si>
    <t>57-613-5779</t>
  </si>
  <si>
    <t>Gouda Cheese</t>
  </si>
  <si>
    <t>29-009-9132</t>
  </si>
  <si>
    <t>Thoughtblab</t>
  </si>
  <si>
    <t>6 John Wall Plaza</t>
  </si>
  <si>
    <t>90-737-0044</t>
  </si>
  <si>
    <t>39-339-3869</t>
  </si>
  <si>
    <t>Bubblemix</t>
  </si>
  <si>
    <t>92321 Nelson Trail</t>
  </si>
  <si>
    <t>28-956-1320</t>
  </si>
  <si>
    <t>01-445-8931</t>
  </si>
  <si>
    <t>95 Onsgard Way</t>
  </si>
  <si>
    <t>87-791-5803</t>
  </si>
  <si>
    <t>Tuna</t>
  </si>
  <si>
    <t>89-843-0880</t>
  </si>
  <si>
    <t>Meemm</t>
  </si>
  <si>
    <t>8 Fremont Circle</t>
  </si>
  <si>
    <t>14-521-4167</t>
  </si>
  <si>
    <t>Buttermilk</t>
  </si>
  <si>
    <t>68-609-1972</t>
  </si>
  <si>
    <t>00847 Reindahl Place</t>
  </si>
  <si>
    <t>51-572-5497</t>
  </si>
  <si>
    <t>43-035-3382</t>
  </si>
  <si>
    <t>Kanoodle</t>
  </si>
  <si>
    <t>9516 Burrows Circle</t>
  </si>
  <si>
    <t>28-840-6096</t>
  </si>
  <si>
    <t>15-444-8224</t>
  </si>
  <si>
    <t>Flipopia</t>
  </si>
  <si>
    <t>92655 Pond Park</t>
  </si>
  <si>
    <t>44-538-3366</t>
  </si>
  <si>
    <t>33-898-6242</t>
  </si>
  <si>
    <t>Realbridge</t>
  </si>
  <si>
    <t>46 Cardinal Way</t>
  </si>
  <si>
    <t>51-459-5630</t>
  </si>
  <si>
    <t>Sour Cream</t>
  </si>
  <si>
    <t>29-567-3732</t>
  </si>
  <si>
    <t>Skyvu</t>
  </si>
  <si>
    <t>805 Center Parkway</t>
  </si>
  <si>
    <t>02-655-3240</t>
  </si>
  <si>
    <t>95-200-1972</t>
  </si>
  <si>
    <t>Jabberstorm</t>
  </si>
  <si>
    <t>6738 Tennyson Road</t>
  </si>
  <si>
    <t>42-887-6557</t>
  </si>
  <si>
    <t>49-092-2735</t>
  </si>
  <si>
    <t>Geba</t>
  </si>
  <si>
    <t>61224 Northridge Avenue</t>
  </si>
  <si>
    <t>96-316-7600</t>
  </si>
  <si>
    <t>76-671-7104</t>
  </si>
  <si>
    <t>6 Swallow Crossing</t>
  </si>
  <si>
    <t>58-063-8633</t>
  </si>
  <si>
    <t>21-932-5200</t>
  </si>
  <si>
    <t>Skimia</t>
  </si>
  <si>
    <t>33424 Express Avenue</t>
  </si>
  <si>
    <t>43-703-9939</t>
  </si>
  <si>
    <t>69-928-4929</t>
  </si>
  <si>
    <t>4 Sundown Place</t>
  </si>
  <si>
    <t>88-069-5486</t>
  </si>
  <si>
    <t>95-878-1614</t>
  </si>
  <si>
    <t>Buzzshare</t>
  </si>
  <si>
    <t>01330 Sheridan Way</t>
  </si>
  <si>
    <t>74-845-3299</t>
  </si>
  <si>
    <t>Green Tea</t>
  </si>
  <si>
    <t>21-792-1000</t>
  </si>
  <si>
    <t>Oyoyo</t>
  </si>
  <si>
    <t>2 Petterle Road</t>
  </si>
  <si>
    <t>81-605-6246</t>
  </si>
  <si>
    <t>62-086-0407</t>
  </si>
  <si>
    <t>65721 Caliangt Crossing</t>
  </si>
  <si>
    <t>73-561-2867</t>
  </si>
  <si>
    <t>60-386-5077</t>
  </si>
  <si>
    <t>7444 Saint Paul Circle</t>
  </si>
  <si>
    <t>19-967-0632</t>
  </si>
  <si>
    <t>90-445-1753</t>
  </si>
  <si>
    <t>Yombu</t>
  </si>
  <si>
    <t>6990 Kings Place</t>
  </si>
  <si>
    <t>23-070-2433</t>
  </si>
  <si>
    <t>Powdered Sugar</t>
  </si>
  <si>
    <t>82-235-9317</t>
  </si>
  <si>
    <t>Meeveo</t>
  </si>
  <si>
    <t>836 Brown Alley</t>
  </si>
  <si>
    <t>27-262-2437</t>
  </si>
  <si>
    <t>05-181-2682</t>
  </si>
  <si>
    <t>Skidoo</t>
  </si>
  <si>
    <t>739 Swallow Road</t>
  </si>
  <si>
    <t>39-479-5147</t>
  </si>
  <si>
    <t>02-156-7270</t>
  </si>
  <si>
    <t>Meedoo</t>
  </si>
  <si>
    <t>14 Talmadge Park</t>
  </si>
  <si>
    <t>71-085-4290</t>
  </si>
  <si>
    <t>26-593-3478</t>
  </si>
  <si>
    <t>2 Basil Street</t>
  </si>
  <si>
    <t>48-957-6116</t>
  </si>
  <si>
    <t>34-334-6888</t>
  </si>
  <si>
    <t>938 Hanover Point</t>
  </si>
  <si>
    <t>83-917-7384</t>
  </si>
  <si>
    <t>84-923-5086</t>
  </si>
  <si>
    <t>Tavu</t>
  </si>
  <si>
    <t>3 Ilene Terrace</t>
  </si>
  <si>
    <t>26-031-8070</t>
  </si>
  <si>
    <t>Vegetable Oil</t>
  </si>
  <si>
    <t>11-096-4003</t>
  </si>
  <si>
    <t>Trudeo</t>
  </si>
  <si>
    <t>5414 Linden Point</t>
  </si>
  <si>
    <t>03-149-9760</t>
  </si>
  <si>
    <t>08-141-2402</t>
  </si>
  <si>
    <t>Yotz</t>
  </si>
  <si>
    <t>554 Eliot Point</t>
  </si>
  <si>
    <t>53-680-5293</t>
  </si>
  <si>
    <t>Cheddar Cheese</t>
  </si>
  <si>
    <t>47-732-4446</t>
  </si>
  <si>
    <t>Demizz</t>
  </si>
  <si>
    <t>97687 Mendota Terrace</t>
  </si>
  <si>
    <t>49-861-7823</t>
  </si>
  <si>
    <t>22-152-0111</t>
  </si>
  <si>
    <t>Skippad</t>
  </si>
  <si>
    <t>26 Graceland Circle</t>
  </si>
  <si>
    <t>24-364-3341</t>
  </si>
  <si>
    <t>Egg (Turkey)</t>
  </si>
  <si>
    <t>13-290-8513</t>
  </si>
  <si>
    <t>Topiclounge</t>
  </si>
  <si>
    <t>120 Gale Circle</t>
  </si>
  <si>
    <t>80-374-5711</t>
  </si>
  <si>
    <t>77-566-9826</t>
  </si>
  <si>
    <t>Browsecat</t>
  </si>
  <si>
    <t>13 Bluejay Way</t>
  </si>
  <si>
    <t>76-325-9093</t>
  </si>
  <si>
    <t>Sesame Oil</t>
  </si>
  <si>
    <t>67-922-3399</t>
  </si>
  <si>
    <t>01471 Burrows Lane</t>
  </si>
  <si>
    <t>30-429-2162</t>
  </si>
  <si>
    <t>05-100-7102</t>
  </si>
  <si>
    <t>Npath</t>
  </si>
  <si>
    <t>6382 Anniversary Pass</t>
  </si>
  <si>
    <t>53-446-8243</t>
  </si>
  <si>
    <t>51-666-7174</t>
  </si>
  <si>
    <t>757 Grasskamp Drive</t>
  </si>
  <si>
    <t>67-473-7093</t>
  </si>
  <si>
    <t>92-830-6986</t>
  </si>
  <si>
    <t>87417 Forest Pass</t>
  </si>
  <si>
    <t>98-235-2711</t>
  </si>
  <si>
    <t>Asparagus</t>
  </si>
  <si>
    <t>23-052-4744</t>
  </si>
  <si>
    <t>Devpoint</t>
  </si>
  <si>
    <t>5 Transport Pass</t>
  </si>
  <si>
    <t>07-219-8017</t>
  </si>
  <si>
    <t>95-148-9287</t>
  </si>
  <si>
    <t>Skibox</t>
  </si>
  <si>
    <t>357 High Crossing Parkway</t>
  </si>
  <si>
    <t>97-040-3822</t>
  </si>
  <si>
    <t>78-459-1417</t>
  </si>
  <si>
    <t>Gevee</t>
  </si>
  <si>
    <t>42 Clemons Terrace</t>
  </si>
  <si>
    <t>10-002-6494</t>
  </si>
  <si>
    <t>47-509-7282</t>
  </si>
  <si>
    <t>Meevee</t>
  </si>
  <si>
    <t>48 Vahlen Place</t>
  </si>
  <si>
    <t>12-998-3882</t>
  </si>
  <si>
    <t>06-151-9076</t>
  </si>
  <si>
    <t>94862 Beilfuss Terrace</t>
  </si>
  <si>
    <t>31-746-4951</t>
  </si>
  <si>
    <t>Whole Wheat Flour</t>
  </si>
  <si>
    <t>70-212-0990</t>
  </si>
  <si>
    <t>759 Waywood Court</t>
  </si>
  <si>
    <t>87-097-5691</t>
  </si>
  <si>
    <t>Robusta Coffee</t>
  </si>
  <si>
    <t>26-213-7885</t>
  </si>
  <si>
    <t>Photofeed</t>
  </si>
  <si>
    <t>236 Gateway Lane</t>
  </si>
  <si>
    <t>34-075-0371</t>
  </si>
  <si>
    <t>Watermelon</t>
  </si>
  <si>
    <t>32-771-2617</t>
  </si>
  <si>
    <t>Latz</t>
  </si>
  <si>
    <t>0039 Shelley Place</t>
  </si>
  <si>
    <t>40-810-9261</t>
  </si>
  <si>
    <t>56-554-1762</t>
  </si>
  <si>
    <t>Cogibox</t>
  </si>
  <si>
    <t>3 Raven Court</t>
  </si>
  <si>
    <t>46-931-6897</t>
  </si>
  <si>
    <t>22-946-8052</t>
  </si>
  <si>
    <t>44 Kensington Road</t>
  </si>
  <si>
    <t>58-182-6781</t>
  </si>
  <si>
    <t>75-328-1709</t>
  </si>
  <si>
    <t>Pixope</t>
  </si>
  <si>
    <t>86 Maryland Junction</t>
  </si>
  <si>
    <t>06-706-6490</t>
  </si>
  <si>
    <t>85-670-6379</t>
  </si>
  <si>
    <t>Tanoodle</t>
  </si>
  <si>
    <t>443 Browning Terrace</t>
  </si>
  <si>
    <t>47-578-4161</t>
  </si>
  <si>
    <t>Anchovies</t>
  </si>
  <si>
    <t>96-001-5429</t>
  </si>
  <si>
    <t>Jaxspan</t>
  </si>
  <si>
    <t>5 Forest Run Way</t>
  </si>
  <si>
    <t>18-199-5799</t>
  </si>
  <si>
    <t>76-870-2139</t>
  </si>
  <si>
    <t>Jayo</t>
  </si>
  <si>
    <t>87784 Blaine Way</t>
  </si>
  <si>
    <t>00-357-2313</t>
  </si>
  <si>
    <t>93-619-6639</t>
  </si>
  <si>
    <t>Quamba</t>
  </si>
  <si>
    <t>0 Oxford Crossing</t>
  </si>
  <si>
    <t>83-704-6367</t>
  </si>
  <si>
    <t>41-628-8713</t>
  </si>
  <si>
    <t>298 Corry Plaza</t>
  </si>
  <si>
    <t>01-144-5960</t>
  </si>
  <si>
    <t>80-848-7493</t>
  </si>
  <si>
    <t>Zazio</t>
  </si>
  <si>
    <t>52105 Mandrake Place</t>
  </si>
  <si>
    <t>96-774-0457</t>
  </si>
  <si>
    <t>71-991-5737</t>
  </si>
  <si>
    <t>Izio</t>
  </si>
  <si>
    <t>7369 Thackeray Drive</t>
  </si>
  <si>
    <t>24-310-9184</t>
  </si>
  <si>
    <t>69-378-2045</t>
  </si>
  <si>
    <t>Brainlounge</t>
  </si>
  <si>
    <t>6 Haas Circle</t>
  </si>
  <si>
    <t>10-255-8579</t>
  </si>
  <si>
    <t>Basmati Rice</t>
  </si>
  <si>
    <t>29-112-1577</t>
  </si>
  <si>
    <t>Trilia</t>
  </si>
  <si>
    <t>1959 Marcy Center</t>
  </si>
  <si>
    <t>38-417-4656</t>
  </si>
  <si>
    <t>57-202-5756</t>
  </si>
  <si>
    <t>1309 Elka Junction</t>
  </si>
  <si>
    <t>53-080-8252</t>
  </si>
  <si>
    <t>73-744-7022</t>
  </si>
  <si>
    <t>2 Grayhawk Junction</t>
  </si>
  <si>
    <t>14-681-7035</t>
  </si>
  <si>
    <t>01-308-0960</t>
  </si>
  <si>
    <t>Voolith</t>
  </si>
  <si>
    <t>95261 Morningstar Way</t>
  </si>
  <si>
    <t>96-503-7712</t>
  </si>
  <si>
    <t>97-325-5889</t>
  </si>
  <si>
    <t>Twitterbridge</t>
  </si>
  <si>
    <t>84148 Prairie Rose Center</t>
  </si>
  <si>
    <t>98-064-4465</t>
  </si>
  <si>
    <t>93-719-9817</t>
  </si>
  <si>
    <t>Feedfire</t>
  </si>
  <si>
    <t>109 Twin Pines Avenue</t>
  </si>
  <si>
    <t>84-198-7276</t>
  </si>
  <si>
    <t>34-158-6684</t>
  </si>
  <si>
    <t>6 Harbort Hill</t>
  </si>
  <si>
    <t>18-278-2383</t>
  </si>
  <si>
    <t>73-210-4267</t>
  </si>
  <si>
    <t>96 American Center</t>
  </si>
  <si>
    <t>20-054-3716</t>
  </si>
  <si>
    <t>49-591-1019</t>
  </si>
  <si>
    <t>JumpXS</t>
  </si>
  <si>
    <t>39 Lakewood Gardens Center</t>
  </si>
  <si>
    <t>63-822-5278</t>
  </si>
  <si>
    <t>27-636-1606</t>
  </si>
  <si>
    <t>5900 Vahlen Avenue</t>
  </si>
  <si>
    <t>01-439-6231</t>
  </si>
  <si>
    <t>Sunflower Oil</t>
  </si>
  <si>
    <t>08-490-1714</t>
  </si>
  <si>
    <t>8 Spaight Circle</t>
  </si>
  <si>
    <t>06-690-2335</t>
  </si>
  <si>
    <t>66-317-4895</t>
  </si>
  <si>
    <t>5 Linden Terrace</t>
  </si>
  <si>
    <t>47-554-5780</t>
  </si>
  <si>
    <t>62-979-5038</t>
  </si>
  <si>
    <t>Babbleopia</t>
  </si>
  <si>
    <t>1 Westport Crossing</t>
  </si>
  <si>
    <t>70-587-1204</t>
  </si>
  <si>
    <t>41-399-9203</t>
  </si>
  <si>
    <t>2446 Anhalt Way</t>
  </si>
  <si>
    <t>97-710-2449</t>
  </si>
  <si>
    <t>39-676-9308</t>
  </si>
  <si>
    <t>0 Miller Pass</t>
  </si>
  <si>
    <t>51-462-0747</t>
  </si>
  <si>
    <t>Lime</t>
  </si>
  <si>
    <t>40-417-9838</t>
  </si>
  <si>
    <t>453 Dryden Park</t>
  </si>
  <si>
    <t>90-492-0564</t>
  </si>
  <si>
    <t>18-085-1667</t>
  </si>
  <si>
    <t>54 Pawling Crossing</t>
  </si>
  <si>
    <t>63-956-0739</t>
  </si>
  <si>
    <t>17-123-1252</t>
  </si>
  <si>
    <t>Jetwire</t>
  </si>
  <si>
    <t>6808 Chinook Parkway</t>
  </si>
  <si>
    <t>30-832-5429</t>
  </si>
  <si>
    <t>41-800-2842</t>
  </si>
  <si>
    <t>Topicshots</t>
  </si>
  <si>
    <t>894 Kingsford Road</t>
  </si>
  <si>
    <t>38-822-8005</t>
  </si>
  <si>
    <t>45-886-1540</t>
  </si>
  <si>
    <t>Innojam</t>
  </si>
  <si>
    <t>6 Stang Hill</t>
  </si>
  <si>
    <t>73-118-1117</t>
  </si>
  <si>
    <t>55-557-8544</t>
  </si>
  <si>
    <t>482 Green Center</t>
  </si>
  <si>
    <t>60-285-3783</t>
  </si>
  <si>
    <t>58-827-9061</t>
  </si>
  <si>
    <t>37973 Parkside Junction</t>
  </si>
  <si>
    <t>00-215-7434</t>
  </si>
  <si>
    <t>85-272-3969</t>
  </si>
  <si>
    <t>Quatz</t>
  </si>
  <si>
    <t>389 Ridgeway Park</t>
  </si>
  <si>
    <t>68-734-1585</t>
  </si>
  <si>
    <t>54-537-5633</t>
  </si>
  <si>
    <t>3 Hagan Drive</t>
  </si>
  <si>
    <t>08-703-1382</t>
  </si>
  <si>
    <t>29-975-3449</t>
  </si>
  <si>
    <t>Wikizz</t>
  </si>
  <si>
    <t>082 Clove Plaza</t>
  </si>
  <si>
    <t>65-282-0419</t>
  </si>
  <si>
    <t>85-932-1011</t>
  </si>
  <si>
    <t>509 Waywood Center</t>
  </si>
  <si>
    <t>62-777-6010</t>
  </si>
  <si>
    <t>40-914-7156</t>
  </si>
  <si>
    <t>5743 Superior Place</t>
  </si>
  <si>
    <t>87-675-1506</t>
  </si>
  <si>
    <t>21-697-8128</t>
  </si>
  <si>
    <t>Skalith</t>
  </si>
  <si>
    <t>60241 Portage Point</t>
  </si>
  <si>
    <t>67-027-7269</t>
  </si>
  <si>
    <t>50-050-5707</t>
  </si>
  <si>
    <t>Twitterbeat</t>
  </si>
  <si>
    <t>615 Mayer Drive</t>
  </si>
  <si>
    <t>72-066-4597</t>
  </si>
  <si>
    <t>97-994-0773</t>
  </si>
  <si>
    <t>Zoovu</t>
  </si>
  <si>
    <t>03 Fisk Alley</t>
  </si>
  <si>
    <t>31-627-6025</t>
  </si>
  <si>
    <t>17-084-8551</t>
  </si>
  <si>
    <t>44638 Corscot Lane</t>
  </si>
  <si>
    <t>09-286-8107</t>
  </si>
  <si>
    <t>90-727-4816</t>
  </si>
  <si>
    <t>Skyndu</t>
  </si>
  <si>
    <t>75 Bunting Junction</t>
  </si>
  <si>
    <t>77-013-1553</t>
  </si>
  <si>
    <t>42-252-5861</t>
  </si>
  <si>
    <t>Yodo</t>
  </si>
  <si>
    <t>48788 Chinook Place</t>
  </si>
  <si>
    <t>15-762-1058</t>
  </si>
  <si>
    <t>32-914-1424</t>
  </si>
  <si>
    <t>Tazz</t>
  </si>
  <si>
    <t>083 Mccormick Park</t>
  </si>
  <si>
    <t>48-193-1199</t>
  </si>
  <si>
    <t>63-924-5144</t>
  </si>
  <si>
    <t>Omba</t>
  </si>
  <si>
    <t>339 Paget Place</t>
  </si>
  <si>
    <t>01-173-0029</t>
  </si>
  <si>
    <t>18-880-7910</t>
  </si>
  <si>
    <t>DabZ</t>
  </si>
  <si>
    <t>8 Dakota Avenue</t>
  </si>
  <si>
    <t>79-400-6216</t>
  </si>
  <si>
    <t>83-361-7509</t>
  </si>
  <si>
    <t>4 Warbler Center</t>
  </si>
  <si>
    <t>80-072-8774</t>
  </si>
  <si>
    <t>61-222-8413</t>
  </si>
  <si>
    <t>Viva</t>
  </si>
  <si>
    <t>239 Anderson Court</t>
  </si>
  <si>
    <t>78-689-8958</t>
  </si>
  <si>
    <t>52-744-6162</t>
  </si>
  <si>
    <t>04 Mesta Parkway</t>
  </si>
  <si>
    <t>57-562-2358</t>
  </si>
  <si>
    <t>22-644-6447</t>
  </si>
  <si>
    <t>00 6th Parkway</t>
  </si>
  <si>
    <t>56-191-6497</t>
  </si>
  <si>
    <t>65-395-5947</t>
  </si>
  <si>
    <t>Bubblebox</t>
  </si>
  <si>
    <t>844 Schurz Point</t>
  </si>
  <si>
    <t>46-753-8430</t>
  </si>
  <si>
    <t>35-042-9391</t>
  </si>
  <si>
    <t>Rhynyx</t>
  </si>
  <si>
    <t>60356 Derek Lane</t>
  </si>
  <si>
    <t>48-461-3742</t>
  </si>
  <si>
    <t>78-381-5054</t>
  </si>
  <si>
    <t>Zooveo</t>
  </si>
  <si>
    <t>42719 Milwaukee Avenue</t>
  </si>
  <si>
    <t>16-354-8122</t>
  </si>
  <si>
    <t>Digestive Biscuit</t>
  </si>
  <si>
    <t>61-604-8116</t>
  </si>
  <si>
    <t>BlogXS</t>
  </si>
  <si>
    <t>66 Raven Pass</t>
  </si>
  <si>
    <t>76-954-1442</t>
  </si>
  <si>
    <t>68-200-8955</t>
  </si>
  <si>
    <t>43024 Elka Avenue</t>
  </si>
  <si>
    <t>44-476-0390</t>
  </si>
  <si>
    <t>48-562-3582</t>
  </si>
  <si>
    <t>022 Pierstorff Point</t>
  </si>
  <si>
    <t>35-617-3857</t>
  </si>
  <si>
    <t>90-718-2724</t>
  </si>
  <si>
    <t>Youspan</t>
  </si>
  <si>
    <t>292 Charing Cross Terrace</t>
  </si>
  <si>
    <t>94-029-2717</t>
  </si>
  <si>
    <t>37-878-9392</t>
  </si>
  <si>
    <t>Jetpulse</t>
  </si>
  <si>
    <t>071 Nobel Circle</t>
  </si>
  <si>
    <t>49-526-7806</t>
  </si>
  <si>
    <t>Kale</t>
  </si>
  <si>
    <t>66-973-4855</t>
  </si>
  <si>
    <t>Yodoo</t>
  </si>
  <si>
    <t>6744 Helena Pass</t>
  </si>
  <si>
    <t>99-137-1730</t>
  </si>
  <si>
    <t>65-797-3468</t>
  </si>
  <si>
    <t>4105 Fair Oaks Parkway</t>
  </si>
  <si>
    <t>27-442-3654</t>
  </si>
  <si>
    <t>57-544-2465</t>
  </si>
  <si>
    <t>Yoveo</t>
  </si>
  <si>
    <t>67677 Lakewood Gardens Way</t>
  </si>
  <si>
    <t>32-933-0329</t>
  </si>
  <si>
    <t>86-760-5412</t>
  </si>
  <si>
    <t>57150 Del Sol Alley</t>
  </si>
  <si>
    <t>93-813-2419</t>
  </si>
  <si>
    <t>12-264-4503</t>
  </si>
  <si>
    <t>7407 Farragut Pass</t>
  </si>
  <si>
    <t>85-440-3667</t>
  </si>
  <si>
    <t>00-680-5333</t>
  </si>
  <si>
    <t>6151 Forster Drive</t>
  </si>
  <si>
    <t>77-224-2227</t>
  </si>
  <si>
    <t>89-226-5813</t>
  </si>
  <si>
    <t>Eimbee</t>
  </si>
  <si>
    <t>5426 Fordem Pass</t>
  </si>
  <si>
    <t>60-632-8752</t>
  </si>
  <si>
    <t>07-948-8632</t>
  </si>
  <si>
    <t>Trunyx</t>
  </si>
  <si>
    <t>48 Golf View Pass</t>
  </si>
  <si>
    <t>99-561-4871</t>
  </si>
  <si>
    <t>04-786-5408</t>
  </si>
  <si>
    <t>Buzzdog</t>
  </si>
  <si>
    <t>952 Rowland Junction</t>
  </si>
  <si>
    <t>61-607-7622</t>
  </si>
  <si>
    <t>77-175-2969</t>
  </si>
  <si>
    <t>Zoonoodle</t>
  </si>
  <si>
    <t>329 Helena Park</t>
  </si>
  <si>
    <t>11-745-3025</t>
  </si>
  <si>
    <t>54-711-1582</t>
  </si>
  <si>
    <t>3104 Ridge Oak Hill</t>
  </si>
  <si>
    <t>56-810-0550</t>
  </si>
  <si>
    <t>Mackerel</t>
  </si>
  <si>
    <t>94-145-9423</t>
  </si>
  <si>
    <t>Janyx</t>
  </si>
  <si>
    <t>376 Reinke Court</t>
  </si>
  <si>
    <t>59-075-2457</t>
  </si>
  <si>
    <t>18-733-2453</t>
  </si>
  <si>
    <t>Dynava</t>
  </si>
  <si>
    <t>2 Barby Lane</t>
  </si>
  <si>
    <t>40-021-2400</t>
  </si>
  <si>
    <t>62-648-2577</t>
  </si>
  <si>
    <t>265 Columbus Way</t>
  </si>
  <si>
    <t>29-017-6255</t>
  </si>
  <si>
    <t>43-348-2450</t>
  </si>
  <si>
    <t>20 Pennsylvania Parkway</t>
  </si>
  <si>
    <t>92-291-7089</t>
  </si>
  <si>
    <t>08-523-5066</t>
  </si>
  <si>
    <t>9307 Kingsford Road</t>
  </si>
  <si>
    <t>69-287-9113</t>
  </si>
  <si>
    <t>20-952-0731</t>
  </si>
  <si>
    <t>11 Golden Leaf Alley</t>
  </si>
  <si>
    <t>76-540-6407</t>
  </si>
  <si>
    <t>78-644-5877</t>
  </si>
  <si>
    <t>Demimbu</t>
  </si>
  <si>
    <t>77 Prairie Rose Park</t>
  </si>
  <si>
    <t>85-561-4694</t>
  </si>
  <si>
    <t>57-486-8971</t>
  </si>
  <si>
    <t>1 Lake View Trail</t>
  </si>
  <si>
    <t>34-928-2775</t>
  </si>
  <si>
    <t>07-959-3210</t>
  </si>
  <si>
    <t>Browseblab</t>
  </si>
  <si>
    <t>7945 Mayer Center</t>
  </si>
  <si>
    <t>90-773-9557</t>
  </si>
  <si>
    <t>02-165-5779</t>
  </si>
  <si>
    <t>904 Del Mar Crossing</t>
  </si>
  <si>
    <t>57-394-1587</t>
  </si>
  <si>
    <t>59-595-7531</t>
  </si>
  <si>
    <t>Roomm</t>
  </si>
  <si>
    <t>561 Blue Bill Park Road</t>
  </si>
  <si>
    <t>28-008-2951</t>
  </si>
  <si>
    <t>64-118-1480</t>
  </si>
  <si>
    <t>Buzzster</t>
  </si>
  <si>
    <t>26 Barnett Junction</t>
  </si>
  <si>
    <t>74-711-7160</t>
  </si>
  <si>
    <t>40-662-8853</t>
  </si>
  <si>
    <t>Meembee</t>
  </si>
  <si>
    <t>44296 Kropf Avenue</t>
  </si>
  <si>
    <t>22-895-6595</t>
  </si>
  <si>
    <t>18-445-5057</t>
  </si>
  <si>
    <t>34642 Carpenter Place</t>
  </si>
  <si>
    <t>19-214-5762</t>
  </si>
  <si>
    <t>88-108-3774</t>
  </si>
  <si>
    <t>Gigashots</t>
  </si>
  <si>
    <t>7 Bonner Terrace</t>
  </si>
  <si>
    <t>95-349-0828</t>
  </si>
  <si>
    <t>43-977-2343</t>
  </si>
  <si>
    <t>60 Towne Hill</t>
  </si>
  <si>
    <t>00-963-2193</t>
  </si>
  <si>
    <t>Milk</t>
  </si>
  <si>
    <t>39-521-8484</t>
  </si>
  <si>
    <t>Thoughtsphere</t>
  </si>
  <si>
    <t>5030 Moose Junction</t>
  </si>
  <si>
    <t>76-459-2392</t>
  </si>
  <si>
    <t>91-030-6609</t>
  </si>
  <si>
    <t>2005 Mccormick Road</t>
  </si>
  <si>
    <t>10-034-7654</t>
  </si>
  <si>
    <t>27-292-4656</t>
  </si>
  <si>
    <t>Zava</t>
  </si>
  <si>
    <t>21 Esker Way</t>
  </si>
  <si>
    <t>24-972-6969</t>
  </si>
  <si>
    <t>27-532-7847</t>
  </si>
  <si>
    <t>5862 Hooker Pass</t>
  </si>
  <si>
    <t>94-190-5193</t>
  </si>
  <si>
    <t>95-778-2888</t>
  </si>
  <si>
    <t>Quinu</t>
  </si>
  <si>
    <t>24385 Prentice Plaza</t>
  </si>
  <si>
    <t>92-791-0606</t>
  </si>
  <si>
    <t>56-050-1773</t>
  </si>
  <si>
    <t>739 Grayhawk Trail</t>
  </si>
  <si>
    <t>84-629-1532</t>
  </si>
  <si>
    <t>50-378-4320</t>
  </si>
  <si>
    <t>Chatterpoint</t>
  </si>
  <si>
    <t>7 Sloan Park</t>
  </si>
  <si>
    <t>68-977-2498</t>
  </si>
  <si>
    <t>Grapes</t>
  </si>
  <si>
    <t>26-222-1156</t>
  </si>
  <si>
    <t>Skinix</t>
  </si>
  <si>
    <t>6482 Ramsey Alley</t>
  </si>
  <si>
    <t>91-257-3672</t>
  </si>
  <si>
    <t>30-438-6295</t>
  </si>
  <si>
    <t>InnoZ</t>
  </si>
  <si>
    <t>10997 Dexter Parkway</t>
  </si>
  <si>
    <t>09-536-2626</t>
  </si>
  <si>
    <t>14-483-5712</t>
  </si>
  <si>
    <t>Fliptune</t>
  </si>
  <si>
    <t>205 Straubel Court</t>
  </si>
  <si>
    <t>61-801-8665</t>
  </si>
  <si>
    <t>78-283-9751</t>
  </si>
  <si>
    <t>Demivee</t>
  </si>
  <si>
    <t>58 La Follette Park</t>
  </si>
  <si>
    <t>38-296-6634</t>
  </si>
  <si>
    <t>41-083-3955</t>
  </si>
  <si>
    <t>160 Kings Street</t>
  </si>
  <si>
    <t>30-591-7275</t>
  </si>
  <si>
    <t>Brown Rice</t>
  </si>
  <si>
    <t>12-431-9207</t>
  </si>
  <si>
    <t>7020 Porter Trail</t>
  </si>
  <si>
    <t>83-763-5038</t>
  </si>
  <si>
    <t>26-438-8349</t>
  </si>
  <si>
    <t>Jatri</t>
  </si>
  <si>
    <t>5 Armistice Parkway</t>
  </si>
  <si>
    <t>37-709-3532</t>
  </si>
  <si>
    <t>08-439-3820</t>
  </si>
  <si>
    <t>524 Saint Paul Park</t>
  </si>
  <si>
    <t>62-795-7801</t>
  </si>
  <si>
    <t>08-312-0872</t>
  </si>
  <si>
    <t>94451 Arkansas Park</t>
  </si>
  <si>
    <t>98-575-4736</t>
  </si>
  <si>
    <t>44-429-6199</t>
  </si>
  <si>
    <t>Flashset</t>
  </si>
  <si>
    <t>83 Pleasure Street</t>
  </si>
  <si>
    <t>57-861-4379</t>
  </si>
  <si>
    <t>73-383-4390</t>
  </si>
  <si>
    <t>64407 Marcy Plaza</t>
  </si>
  <si>
    <t>00-119-8780</t>
  </si>
  <si>
    <t>Halibut</t>
  </si>
  <si>
    <t>14-703-2550</t>
  </si>
  <si>
    <t>21 Sunbrook Court</t>
  </si>
  <si>
    <t>28-824-9017</t>
  </si>
  <si>
    <t>93-712-3934</t>
  </si>
  <si>
    <t>4 Jay Terrace</t>
  </si>
  <si>
    <t>56-668-5370</t>
  </si>
  <si>
    <t>13-526-1392</t>
  </si>
  <si>
    <t>Vimbo</t>
  </si>
  <si>
    <t>05686 Golden Leaf Point</t>
  </si>
  <si>
    <t>29-756-7042</t>
  </si>
  <si>
    <t>20-426-2191</t>
  </si>
  <si>
    <t>Dabvine</t>
  </si>
  <si>
    <t>99 Fair Oaks Circle</t>
  </si>
  <si>
    <t>41-538-3129</t>
  </si>
  <si>
    <t>91-589-9007</t>
  </si>
  <si>
    <t>2 Carioca Crossing</t>
  </si>
  <si>
    <t>16-380-0753</t>
  </si>
  <si>
    <t>Apricot</t>
  </si>
  <si>
    <t>24-603-5521</t>
  </si>
  <si>
    <t>701 Logan Court</t>
  </si>
  <si>
    <t>26-535-4727</t>
  </si>
  <si>
    <t>17-939-1338</t>
  </si>
  <si>
    <t>Jamia</t>
  </si>
  <si>
    <t>4 Darwin Circle</t>
  </si>
  <si>
    <t>59-857-6577</t>
  </si>
  <si>
    <t>Evaporated Milk</t>
  </si>
  <si>
    <t>57-569-7172</t>
  </si>
  <si>
    <t>Blognation</t>
  </si>
  <si>
    <t>230 Tony Court</t>
  </si>
  <si>
    <t>14-550-2152</t>
  </si>
  <si>
    <t>60-003-2919</t>
  </si>
  <si>
    <t>Livepath</t>
  </si>
  <si>
    <t>3 Forster Point</t>
  </si>
  <si>
    <t>39-315-3936</t>
  </si>
  <si>
    <t>99-034-7010</t>
  </si>
  <si>
    <t>Yata</t>
  </si>
  <si>
    <t>850 Glacier Hill Drive</t>
  </si>
  <si>
    <t>87-199-2743</t>
  </si>
  <si>
    <t>Papaya</t>
  </si>
  <si>
    <t>54-907-6531</t>
  </si>
  <si>
    <t>38695 Kenwood Circle</t>
  </si>
  <si>
    <t>60-771-0879</t>
  </si>
  <si>
    <t>90-554-0576</t>
  </si>
  <si>
    <t>9 Karstens Center</t>
  </si>
  <si>
    <t>00-440-9568</t>
  </si>
  <si>
    <t>43-605-2448</t>
  </si>
  <si>
    <t>052 Northland Trail</t>
  </si>
  <si>
    <t>07-074-1196</t>
  </si>
  <si>
    <t>69-112-6969</t>
  </si>
  <si>
    <t>27 New Castle Avenue</t>
  </si>
  <si>
    <t>69-674-5387</t>
  </si>
  <si>
    <t>Yogurt</t>
  </si>
  <si>
    <t>04-313-0298</t>
  </si>
  <si>
    <t>Miboo</t>
  </si>
  <si>
    <t>6211 Hanson Terrace</t>
  </si>
  <si>
    <t>08-940-8578</t>
  </si>
  <si>
    <t>37-686-1726</t>
  </si>
  <si>
    <t>Oba</t>
  </si>
  <si>
    <t>74 Menomonie Point</t>
  </si>
  <si>
    <t>94-020-6982</t>
  </si>
  <si>
    <t>72-649-3163</t>
  </si>
  <si>
    <t>381 Rutledge Place</t>
  </si>
  <si>
    <t>42-879-9478</t>
  </si>
  <si>
    <t>00-900-0119</t>
  </si>
  <si>
    <t>Zoonder</t>
  </si>
  <si>
    <t>86 Porter Junction</t>
  </si>
  <si>
    <t>00-405-7428</t>
  </si>
  <si>
    <t>Apple</t>
  </si>
  <si>
    <t>42-746-2717</t>
  </si>
  <si>
    <t>42 Mallory Court</t>
  </si>
  <si>
    <t>87-997-0228</t>
  </si>
  <si>
    <t>55-156-6528</t>
  </si>
  <si>
    <t>26240 Maple Wood Place</t>
  </si>
  <si>
    <t>05-498-7751</t>
  </si>
  <si>
    <t>17-963-6051</t>
  </si>
  <si>
    <t>Abata</t>
  </si>
  <si>
    <t>30408 5th Way</t>
  </si>
  <si>
    <t>55-631-7937</t>
  </si>
  <si>
    <t>79-508-5241</t>
  </si>
  <si>
    <t>Avamba</t>
  </si>
  <si>
    <t>82 Drewry Junction</t>
  </si>
  <si>
    <t>27-389-3529</t>
  </si>
  <si>
    <t>73-201-2803</t>
  </si>
  <si>
    <t>Feedfish</t>
  </si>
  <si>
    <t>234 Eagle Crest Avenue</t>
  </si>
  <si>
    <t>84-272-0790</t>
  </si>
  <si>
    <t>00-635-4638</t>
  </si>
  <si>
    <t>53 Caliangt Junction</t>
  </si>
  <si>
    <t>01-903-5373</t>
  </si>
  <si>
    <t>37-902-0286</t>
  </si>
  <si>
    <t>Lazz</t>
  </si>
  <si>
    <t>32525 Marquette Park</t>
  </si>
  <si>
    <t>49-311-3063</t>
  </si>
  <si>
    <t>15-947-9718</t>
  </si>
  <si>
    <t>Talane</t>
  </si>
  <si>
    <t>71 Bultman Drive</t>
  </si>
  <si>
    <t>04-277-5245</t>
  </si>
  <si>
    <t>Coconut Sugar</t>
  </si>
  <si>
    <t>90-175-7764</t>
  </si>
  <si>
    <t>911 Ridgeway Way</t>
  </si>
  <si>
    <t>04-453-5485</t>
  </si>
  <si>
    <t>Tomato</t>
  </si>
  <si>
    <t>43-880-2879</t>
  </si>
  <si>
    <t>2 Sunbrook Lane</t>
  </si>
  <si>
    <t>42-141-5718</t>
  </si>
  <si>
    <t>67-662-3444</t>
  </si>
  <si>
    <t>1700 Briar Crest Parkway</t>
  </si>
  <si>
    <t>89-602-6755</t>
  </si>
  <si>
    <t>51-054-3811</t>
  </si>
  <si>
    <t>4 Bashford Court</t>
  </si>
  <si>
    <t>15-045-8444</t>
  </si>
  <si>
    <t>29-143-2001</t>
  </si>
  <si>
    <t>Aibox</t>
  </si>
  <si>
    <t>97 Thierer Terrace</t>
  </si>
  <si>
    <t>15-240-6267</t>
  </si>
  <si>
    <t>12-983-3026</t>
  </si>
  <si>
    <t>Mybuzz</t>
  </si>
  <si>
    <t>25784 Old Gate Crossing</t>
  </si>
  <si>
    <t>05-193-8096</t>
  </si>
  <si>
    <t>86-709-5618</t>
  </si>
  <si>
    <t>Rhynoodle</t>
  </si>
  <si>
    <t>38 Rutledge Plaza</t>
  </si>
  <si>
    <t>93-342-8794</t>
  </si>
  <si>
    <t>93-688-1260</t>
  </si>
  <si>
    <t>39102 Division Trail</t>
  </si>
  <si>
    <t>83-716-2177</t>
  </si>
  <si>
    <t>79-518-8344</t>
  </si>
  <si>
    <t>Linktype</t>
  </si>
  <si>
    <t>26266 Esker Point</t>
  </si>
  <si>
    <t>56-635-6764</t>
  </si>
  <si>
    <t>20-257-6927</t>
  </si>
  <si>
    <t>744 Green Center</t>
  </si>
  <si>
    <t>10-249-7928</t>
  </si>
  <si>
    <t>69-861-0313</t>
  </si>
  <si>
    <t>57598 Russell Center</t>
  </si>
  <si>
    <t>65-759-3721</t>
  </si>
  <si>
    <t>21-634-5781</t>
  </si>
  <si>
    <t>Vipe</t>
  </si>
  <si>
    <t>315 Acker Alley</t>
  </si>
  <si>
    <t>08-725-8156</t>
  </si>
  <si>
    <t>32-196-4714</t>
  </si>
  <si>
    <t>73397 Steensland Circle</t>
  </si>
  <si>
    <t>15-679-3935</t>
  </si>
  <si>
    <t>35-906-1010</t>
  </si>
  <si>
    <t>Jabbersphere</t>
  </si>
  <si>
    <t>95 Garrison Plaza</t>
  </si>
  <si>
    <t>81-578-7404</t>
  </si>
  <si>
    <t>90-177-6733</t>
  </si>
  <si>
    <t>Rhyloo</t>
  </si>
  <si>
    <t>5989 Longview Drive</t>
  </si>
  <si>
    <t>82-380-5378</t>
  </si>
  <si>
    <t>96-353-3049</t>
  </si>
  <si>
    <t>Oozz</t>
  </si>
  <si>
    <t>05518 Saint Paul Street</t>
  </si>
  <si>
    <t>78-362-8578</t>
  </si>
  <si>
    <t>57-633-6273</t>
  </si>
  <si>
    <t>86 Corben Crossing</t>
  </si>
  <si>
    <t>32-261-0008</t>
  </si>
  <si>
    <t>26-073-5798</t>
  </si>
  <si>
    <t>2 Kingsford Center</t>
  </si>
  <si>
    <t>74-943-9034</t>
  </si>
  <si>
    <t>15-739-5480</t>
  </si>
  <si>
    <t>0 Saint Paul Center</t>
  </si>
  <si>
    <t>86-330-0214</t>
  </si>
  <si>
    <t>87-840-7803</t>
  </si>
  <si>
    <t>5818 Twin Pines Place</t>
  </si>
  <si>
    <t>80-334-0215</t>
  </si>
  <si>
    <t>19-156-3869</t>
  </si>
  <si>
    <t>Camimbo</t>
  </si>
  <si>
    <t>611 Waubesa Circle</t>
  </si>
  <si>
    <t>48-957-8596</t>
  </si>
  <si>
    <t>40-817-2222</t>
  </si>
  <si>
    <t>3825 Raven Avenue</t>
  </si>
  <si>
    <t>37-246-0018</t>
  </si>
  <si>
    <t>61-907-0994</t>
  </si>
  <si>
    <t>Skilith</t>
  </si>
  <si>
    <t>52 Alpine Crossing</t>
  </si>
  <si>
    <t>17-002-4721</t>
  </si>
  <si>
    <t>38-310-4533</t>
  </si>
  <si>
    <t>379 Duke Court</t>
  </si>
  <si>
    <t>47-802-5023</t>
  </si>
  <si>
    <t>51-010-8144</t>
  </si>
  <si>
    <t>7096 Mcguire Park</t>
  </si>
  <si>
    <t>22-319-1377</t>
  </si>
  <si>
    <t>82-266-1796</t>
  </si>
  <si>
    <t>Skyba</t>
  </si>
  <si>
    <t>083 Gulseth Pass</t>
  </si>
  <si>
    <t>57-903-6434</t>
  </si>
  <si>
    <t>30-460-3122</t>
  </si>
  <si>
    <t>34 Linden Court</t>
  </si>
  <si>
    <t>22-083-3347</t>
  </si>
  <si>
    <t>01-431-7544</t>
  </si>
  <si>
    <t>38 Superior Road</t>
  </si>
  <si>
    <t>65-145-9672</t>
  </si>
  <si>
    <t>65-068-1200</t>
  </si>
  <si>
    <t>8 Dovetail Junction</t>
  </si>
  <si>
    <t>95-252-9619</t>
  </si>
  <si>
    <t>38-819-2922</t>
  </si>
  <si>
    <t>57453 Northwestern Alley</t>
  </si>
  <si>
    <t>74-294-3760</t>
  </si>
  <si>
    <t>81-233-6894</t>
  </si>
  <si>
    <t>0109 Stang Terrace</t>
  </si>
  <si>
    <t>06-797-4963</t>
  </si>
  <si>
    <t>41-821-0197</t>
  </si>
  <si>
    <t>1008 Welch Street</t>
  </si>
  <si>
    <t>39-768-8205</t>
  </si>
  <si>
    <t>07-987-4536</t>
  </si>
  <si>
    <t>Gigabox</t>
  </si>
  <si>
    <t>32 Rigney Terrace</t>
  </si>
  <si>
    <t>03-043-9933</t>
  </si>
  <si>
    <t>48-450-4126</t>
  </si>
  <si>
    <t>884 Fieldstone Plaza</t>
  </si>
  <si>
    <t>29-823-6004</t>
  </si>
  <si>
    <t>10-295-7996</t>
  </si>
  <si>
    <t>3 Lawn Park</t>
  </si>
  <si>
    <t>40-462-2952</t>
  </si>
  <si>
    <t>57-323-8059</t>
  </si>
  <si>
    <t>0258 Shoshone Center</t>
  </si>
  <si>
    <t>71-999-2404</t>
  </si>
  <si>
    <t>01-285-0018</t>
  </si>
  <si>
    <t>Meezzy</t>
  </si>
  <si>
    <t>18 Warrior Circle</t>
  </si>
  <si>
    <t>03-919-9890</t>
  </si>
  <si>
    <t>69-289-8783</t>
  </si>
  <si>
    <t>Wikibox</t>
  </si>
  <si>
    <t>7 Riverside Road</t>
  </si>
  <si>
    <t>94-525-6925</t>
  </si>
  <si>
    <t>31-892-6816</t>
  </si>
  <si>
    <t>Kwilith</t>
  </si>
  <si>
    <t>667 Arkansas Circle</t>
  </si>
  <si>
    <t>08-213-2058</t>
  </si>
  <si>
    <t>13-179-9553</t>
  </si>
  <si>
    <t>33 Clarendon Hill</t>
  </si>
  <si>
    <t>51-312-8608</t>
  </si>
  <si>
    <t>06-315-0552</t>
  </si>
  <si>
    <t>406 Westridge Alley</t>
  </si>
  <si>
    <t>67-512-9754</t>
  </si>
  <si>
    <t>35-941-2585</t>
  </si>
  <si>
    <t>69 Orin Plaza</t>
  </si>
  <si>
    <t>45-402-0421</t>
  </si>
  <si>
    <t>87-201-6047</t>
  </si>
  <si>
    <t>36 Longview Street</t>
  </si>
  <si>
    <t>85-207-4164</t>
  </si>
  <si>
    <t>07-067-3439</t>
  </si>
  <si>
    <t>41 Comanche Park</t>
  </si>
  <si>
    <t>72-780-6006</t>
  </si>
  <si>
    <t>81-292-4650</t>
  </si>
  <si>
    <t>88721 Dawn Crossing</t>
  </si>
  <si>
    <t>93-166-3169</t>
  </si>
  <si>
    <t>21-156-0102</t>
  </si>
  <si>
    <t>339 Crescent Oaks Plaza</t>
  </si>
  <si>
    <t>21-718-6746</t>
  </si>
  <si>
    <t>96-012-3393</t>
  </si>
  <si>
    <t>Eamia</t>
  </si>
  <si>
    <t>277 Pawling Terrace</t>
  </si>
  <si>
    <t>93-966-7754</t>
  </si>
  <si>
    <t>78-787-7171</t>
  </si>
  <si>
    <t>4 4th Place</t>
  </si>
  <si>
    <t>47-663-5703</t>
  </si>
  <si>
    <t>52-062-2916</t>
  </si>
  <si>
    <t>6500 Raven Drive</t>
  </si>
  <si>
    <t>34-110-1040</t>
  </si>
  <si>
    <t>14-427-6604</t>
  </si>
  <si>
    <t>Leenti</t>
  </si>
  <si>
    <t>42397 Knutson Place</t>
  </si>
  <si>
    <t>82-342-7339</t>
  </si>
  <si>
    <t>Vanilla Biscuit</t>
  </si>
  <si>
    <t>14-325-9173</t>
  </si>
  <si>
    <t>Yozio</t>
  </si>
  <si>
    <t>317 Anniversary Pass</t>
  </si>
  <si>
    <t>43-670-8544</t>
  </si>
  <si>
    <t>16-656-4821</t>
  </si>
  <si>
    <t>Camido</t>
  </si>
  <si>
    <t>3 Logan Trail</t>
  </si>
  <si>
    <t>12-439-8428</t>
  </si>
  <si>
    <t>43-542-6868</t>
  </si>
  <si>
    <t>Ainyx</t>
  </si>
  <si>
    <t>6 Rusk Pass</t>
  </si>
  <si>
    <t>49-919-8798</t>
  </si>
  <si>
    <t>82-482-3670</t>
  </si>
  <si>
    <t>3 Dottie Junction</t>
  </si>
  <si>
    <t>73-567-6194</t>
  </si>
  <si>
    <t>81-927-7236</t>
  </si>
  <si>
    <t>Yakitri</t>
  </si>
  <si>
    <t>069 Basil Center</t>
  </si>
  <si>
    <t>83-573-4586</t>
  </si>
  <si>
    <t>91-191-2324</t>
  </si>
  <si>
    <t>Thoughtbeat</t>
  </si>
  <si>
    <t>84575 Randy Point</t>
  </si>
  <si>
    <t>12-798-9401</t>
  </si>
  <si>
    <t>96-609-6152</t>
  </si>
  <si>
    <t>5 Forster Point</t>
  </si>
  <si>
    <t>02-895-7781</t>
  </si>
  <si>
    <t>23-109-2205</t>
  </si>
  <si>
    <t>Tagchat</t>
  </si>
  <si>
    <t>2582 Autumn Leaf Park</t>
  </si>
  <si>
    <t>83-625-3618</t>
  </si>
  <si>
    <t>64-528-9996</t>
  </si>
  <si>
    <t>Realmix</t>
  </si>
  <si>
    <t>2696 Katie Road</t>
  </si>
  <si>
    <t>89-181-4523</t>
  </si>
  <si>
    <t>Wild Rice</t>
  </si>
  <si>
    <t>54-749-3622</t>
  </si>
  <si>
    <t>022 Prairie Rose Drive</t>
  </si>
  <si>
    <t>95-354-8583</t>
  </si>
  <si>
    <t>02-057-9401</t>
  </si>
  <si>
    <t>848 Mariners Cove Junction</t>
  </si>
  <si>
    <t>90-303-1821</t>
  </si>
  <si>
    <t>96-786-0667</t>
  </si>
  <si>
    <t>Edgewire</t>
  </si>
  <si>
    <t>6435 Burning Wood Drive</t>
  </si>
  <si>
    <t>71-631-5875</t>
  </si>
  <si>
    <t>Salmon</t>
  </si>
  <si>
    <t>91-859-1733</t>
  </si>
  <si>
    <t>13 Loomis Alley</t>
  </si>
  <si>
    <t>02-275-6061</t>
  </si>
  <si>
    <t>21-829-0398</t>
  </si>
  <si>
    <t>6891 Mandrake Park</t>
  </si>
  <si>
    <t>04-001-1793</t>
  </si>
  <si>
    <t>29-359-0109</t>
  </si>
  <si>
    <t>0 Stoughton Terrace</t>
  </si>
  <si>
    <t>47-749-3277</t>
  </si>
  <si>
    <t>96-551-3929</t>
  </si>
  <si>
    <t>502 Sachs Circle</t>
  </si>
  <si>
    <t>37-666-3902</t>
  </si>
  <si>
    <t>58-536-6583</t>
  </si>
  <si>
    <t>85276 Lakewood Gardens Alley</t>
  </si>
  <si>
    <t>73-942-0508</t>
  </si>
  <si>
    <t>37-057-3553</t>
  </si>
  <si>
    <t>1034 2nd Point</t>
  </si>
  <si>
    <t>57-359-3397</t>
  </si>
  <si>
    <t>54-659-1177</t>
  </si>
  <si>
    <t>Twiyo</t>
  </si>
  <si>
    <t>81071 West Alley</t>
  </si>
  <si>
    <t>46-436-5351</t>
  </si>
  <si>
    <t>07-471-0050</t>
  </si>
  <si>
    <t>226 Calypso Road</t>
  </si>
  <si>
    <t>27-881-1177</t>
  </si>
  <si>
    <t>64-807-5250</t>
  </si>
  <si>
    <t>1223 Monument Drive</t>
  </si>
  <si>
    <t>85-237-3505</t>
  </si>
  <si>
    <t>92-296-1266</t>
  </si>
  <si>
    <t>20073 Northfield Way</t>
  </si>
  <si>
    <t>80-371-3695</t>
  </si>
  <si>
    <t>42-254-7371</t>
  </si>
  <si>
    <t>Divape</t>
  </si>
  <si>
    <t>163 Esch Pass</t>
  </si>
  <si>
    <t>04-758-0410</t>
  </si>
  <si>
    <t>56-231-2524</t>
  </si>
  <si>
    <t>Wordpedia</t>
  </si>
  <si>
    <t>5 Toban Circle</t>
  </si>
  <si>
    <t>65-644-1394</t>
  </si>
  <si>
    <t>23-280-1300</t>
  </si>
  <si>
    <t>582 Dahle Center</t>
  </si>
  <si>
    <t>04-293-6969</t>
  </si>
  <si>
    <t>69-087-6645</t>
  </si>
  <si>
    <t>0 Oak Valley Lane</t>
  </si>
  <si>
    <t>40-997-2786</t>
  </si>
  <si>
    <t>18-743-4684</t>
  </si>
  <si>
    <t>5551 Mallory Lane</t>
  </si>
  <si>
    <t>91-553-1774</t>
  </si>
  <si>
    <t>74-943-4552</t>
  </si>
  <si>
    <t>84 Washington Crossing</t>
  </si>
  <si>
    <t>13-980-8804</t>
  </si>
  <si>
    <t>Sweet Potato</t>
  </si>
  <si>
    <t>20-608-1290</t>
  </si>
  <si>
    <t>41 Nelson Center</t>
  </si>
  <si>
    <t>19-672-8982</t>
  </si>
  <si>
    <t>50-214-3802</t>
  </si>
  <si>
    <t>285 East Plaza</t>
  </si>
  <si>
    <t>35-299-0889</t>
  </si>
  <si>
    <t>Coconut Oil</t>
  </si>
  <si>
    <t>16-776-9987</t>
  </si>
  <si>
    <t>95 Packers Lane</t>
  </si>
  <si>
    <t>17-022-9721</t>
  </si>
  <si>
    <t>59-629-0798</t>
  </si>
  <si>
    <t>39 Dahle Alley</t>
  </si>
  <si>
    <t>22-849-2551</t>
  </si>
  <si>
    <t>14-231-9135</t>
  </si>
  <si>
    <t>81533 John Wall Court</t>
  </si>
  <si>
    <t>53-050-8242</t>
  </si>
  <si>
    <t>31-163-5871</t>
  </si>
  <si>
    <t>9 Cordelia Trail</t>
  </si>
  <si>
    <t>88-183-5781</t>
  </si>
  <si>
    <t>Whole Wheat Bread</t>
  </si>
  <si>
    <t>49-247-1217</t>
  </si>
  <si>
    <t>46 Delaware Place</t>
  </si>
  <si>
    <t>09-101-1740</t>
  </si>
  <si>
    <t>63-836-1262</t>
  </si>
  <si>
    <t>96629 Nova Plaza</t>
  </si>
  <si>
    <t>98-445-7372</t>
  </si>
  <si>
    <t>71-676-6562</t>
  </si>
  <si>
    <t>8531 Manley Court</t>
  </si>
  <si>
    <t>29-875-6900</t>
  </si>
  <si>
    <t>78-098-4468</t>
  </si>
  <si>
    <t>2 Sachtjen Park</t>
  </si>
  <si>
    <t>27-757-4489</t>
  </si>
  <si>
    <t>04-456-0715</t>
  </si>
  <si>
    <t>27535 Morrow Avenue</t>
  </si>
  <si>
    <t>51-069-0489</t>
  </si>
  <si>
    <t>19-978-0708</t>
  </si>
  <si>
    <t>Oloo</t>
  </si>
  <si>
    <t>3 Anthes Place</t>
  </si>
  <si>
    <t>20-325-1965</t>
  </si>
  <si>
    <t>97-155-1262</t>
  </si>
  <si>
    <t>78884 Union Street</t>
  </si>
  <si>
    <t>76-090-4411</t>
  </si>
  <si>
    <t>82-552-6786</t>
  </si>
  <si>
    <t>15 Loomis Avenue</t>
  </si>
  <si>
    <t>01-703-8441</t>
  </si>
  <si>
    <t>91-216-7668</t>
  </si>
  <si>
    <t>4029 Lotheville Pass</t>
  </si>
  <si>
    <t>09-622-7119</t>
  </si>
  <si>
    <t>59-781-3399</t>
  </si>
  <si>
    <t>Youtags</t>
  </si>
  <si>
    <t>665 Sommers Circle</t>
  </si>
  <si>
    <t>45-172-7012</t>
  </si>
  <si>
    <t>95-721-9228</t>
  </si>
  <si>
    <t>11 Kedzie Avenue</t>
  </si>
  <si>
    <t>06-849-4869</t>
  </si>
  <si>
    <t>39-464-7300</t>
  </si>
  <si>
    <t>Rhycero</t>
  </si>
  <si>
    <t>041 Paget Alley</t>
  </si>
  <si>
    <t>30-996-2526</t>
  </si>
  <si>
    <t>30-942-0054</t>
  </si>
  <si>
    <t>77 Monterey Avenue</t>
  </si>
  <si>
    <t>71-074-6292</t>
  </si>
  <si>
    <t>42-201-4495</t>
  </si>
  <si>
    <t>Plajo</t>
  </si>
  <si>
    <t>338 Annamark Court</t>
  </si>
  <si>
    <t>98-909-9395</t>
  </si>
  <si>
    <t>74-119-5491</t>
  </si>
  <si>
    <t>43 Heath Street</t>
  </si>
  <si>
    <t>61-796-6540</t>
  </si>
  <si>
    <t>40-002-8400</t>
  </si>
  <si>
    <t>126 Spohn Plaza</t>
  </si>
  <si>
    <t>41-735-9837</t>
  </si>
  <si>
    <t>35-462-7569</t>
  </si>
  <si>
    <t>Devpulse</t>
  </si>
  <si>
    <t>2374 Chive Court</t>
  </si>
  <si>
    <t>60-343-3288</t>
  </si>
  <si>
    <t>22-940-6543</t>
  </si>
  <si>
    <t>6 Hanover Terrace</t>
  </si>
  <si>
    <t>27-783-5470</t>
  </si>
  <si>
    <t>45-997-6429</t>
  </si>
  <si>
    <t>6 Tony Junction</t>
  </si>
  <si>
    <t>60-456-8169</t>
  </si>
  <si>
    <t>54-529-4459</t>
  </si>
  <si>
    <t>Oyoba</t>
  </si>
  <si>
    <t>710 Service Park</t>
  </si>
  <si>
    <t>99-420-3592</t>
  </si>
  <si>
    <t>88-647-5082</t>
  </si>
  <si>
    <t>206 Pine View Junction</t>
  </si>
  <si>
    <t>35-836-6718</t>
  </si>
  <si>
    <t>27-838-4345</t>
  </si>
  <si>
    <t>05 Canary Circle</t>
  </si>
  <si>
    <t>51-273-4240</t>
  </si>
  <si>
    <t>32-506-0556</t>
  </si>
  <si>
    <t>7 Prairieview Place</t>
  </si>
  <si>
    <t>38-924-3007</t>
  </si>
  <si>
    <t>83-936-5065</t>
  </si>
  <si>
    <t>Photolist</t>
  </si>
  <si>
    <t>6 Anthes Court</t>
  </si>
  <si>
    <t>52-123-8039</t>
  </si>
  <si>
    <t>24-087-5935</t>
  </si>
  <si>
    <t>Browsebug</t>
  </si>
  <si>
    <t>7 Schiller Court</t>
  </si>
  <si>
    <t>34-131-8805</t>
  </si>
  <si>
    <t>84-472-8001</t>
  </si>
  <si>
    <t>44249 Sutteridge Crossing</t>
  </si>
  <si>
    <t>28-505-8317</t>
  </si>
  <si>
    <t>61-755-4469</t>
  </si>
  <si>
    <t>Digitube</t>
  </si>
  <si>
    <t>848 Old Gate Parkway</t>
  </si>
  <si>
    <t>41-594-5069</t>
  </si>
  <si>
    <t>45-471-5053</t>
  </si>
  <si>
    <t>Blogtags</t>
  </si>
  <si>
    <t>9 Clemons Hill</t>
  </si>
  <si>
    <t>94-658-4945</t>
  </si>
  <si>
    <t>09-153-0763</t>
  </si>
  <si>
    <t>15 Veith Circle</t>
  </si>
  <si>
    <t>69-561-2496</t>
  </si>
  <si>
    <t>38-790-7081</t>
  </si>
  <si>
    <t>154 Delladonna Hill</t>
  </si>
  <si>
    <t>98-858-6323</t>
  </si>
  <si>
    <t>79-086-1717</t>
  </si>
  <si>
    <t>80729 Homewood Plaza</t>
  </si>
  <si>
    <t>92-995-8689</t>
  </si>
  <si>
    <t>18-682-7828</t>
  </si>
  <si>
    <t>1 Merchant Circle</t>
  </si>
  <si>
    <t>43-164-5984</t>
  </si>
  <si>
    <t>10-008-6747</t>
  </si>
  <si>
    <t>Shuffletag</t>
  </si>
  <si>
    <t>70862 Lighthouse Bay Junction</t>
  </si>
  <si>
    <t>58-122-2282</t>
  </si>
  <si>
    <t>55-773-9118</t>
  </si>
  <si>
    <t>96 American Ash Center</t>
  </si>
  <si>
    <t>84-269-9130</t>
  </si>
  <si>
    <t>88-615-2915</t>
  </si>
  <si>
    <t>49263 Graceland Pass</t>
  </si>
  <si>
    <t>11-922-3342</t>
  </si>
  <si>
    <t>33-523-9077</t>
  </si>
  <si>
    <t>Gabspot</t>
  </si>
  <si>
    <t>094 Carberry Lane</t>
  </si>
  <si>
    <t>60-550-4771</t>
  </si>
  <si>
    <t>24-568-9517</t>
  </si>
  <si>
    <t>Kwimbee</t>
  </si>
  <si>
    <t>1 Monica Lane</t>
  </si>
  <si>
    <t>88-951-9038</t>
  </si>
  <si>
    <t>14-713-5795</t>
  </si>
  <si>
    <t>5 Anderson Trail</t>
  </si>
  <si>
    <t>08-114-3922</t>
  </si>
  <si>
    <t>19-418-7213</t>
  </si>
  <si>
    <t>709 Vidon Avenue</t>
  </si>
  <si>
    <t>70-145-2550</t>
  </si>
  <si>
    <t>75-849-4524</t>
  </si>
  <si>
    <t>5141 Anniversary Crossing</t>
  </si>
  <si>
    <t>51-761-6320</t>
  </si>
  <si>
    <t>28-461-1136</t>
  </si>
  <si>
    <t>Youopia</t>
  </si>
  <si>
    <t>587 Vermont Terrace</t>
  </si>
  <si>
    <t>55-803-3964</t>
  </si>
  <si>
    <t>75-906-1086</t>
  </si>
  <si>
    <t>149 Valley Edge Point</t>
  </si>
  <si>
    <t>11-815-7923</t>
  </si>
  <si>
    <t>98-304-8407</t>
  </si>
  <si>
    <t>89 Springs Alley</t>
  </si>
  <si>
    <t>83-966-3280</t>
  </si>
  <si>
    <t>50-305-3936</t>
  </si>
  <si>
    <t>Twitterworks</t>
  </si>
  <si>
    <t>0743 4th Place</t>
  </si>
  <si>
    <t>29-592-7315</t>
  </si>
  <si>
    <t>61-867-3019</t>
  </si>
  <si>
    <t>Dabtype</t>
  </si>
  <si>
    <t>21625 Schlimgen Park</t>
  </si>
  <si>
    <t>65-235-7676</t>
  </si>
  <si>
    <t>22-083-3504</t>
  </si>
  <si>
    <t>31208 Westerfield Way</t>
  </si>
  <si>
    <t>40-683-0283</t>
  </si>
  <si>
    <t>27-060-9944</t>
  </si>
  <si>
    <t>322 Birchwood Center</t>
  </si>
  <si>
    <t>83-553-9523</t>
  </si>
  <si>
    <t>89-976-4338</t>
  </si>
  <si>
    <t>84336 Haas Place</t>
  </si>
  <si>
    <t>40-793-7235</t>
  </si>
  <si>
    <t>89-048-3542</t>
  </si>
  <si>
    <t>68086 Crowley Circle</t>
  </si>
  <si>
    <t>74-666-5671</t>
  </si>
  <si>
    <t>58-657-7257</t>
  </si>
  <si>
    <t>11263 Kipling Hill</t>
  </si>
  <si>
    <t>90-865-9150</t>
  </si>
  <si>
    <t>58-053-4926</t>
  </si>
  <si>
    <t>Kazu</t>
  </si>
  <si>
    <t>00029 Fisk Point</t>
  </si>
  <si>
    <t>46-255-3073</t>
  </si>
  <si>
    <t>68-230-9130</t>
  </si>
  <si>
    <t>57 Eastwood Junction</t>
  </si>
  <si>
    <t>11-155-7826</t>
  </si>
  <si>
    <t>91-788-3177</t>
  </si>
  <si>
    <t>321 Barby Parkway</t>
  </si>
  <si>
    <t>99-543-5039</t>
  </si>
  <si>
    <t>63-683-7396</t>
  </si>
  <si>
    <t>71796 Waubesa Terrace</t>
  </si>
  <si>
    <t>99-033-5661</t>
  </si>
  <si>
    <t>32-458-6452</t>
  </si>
  <si>
    <t>289 Longview Point</t>
  </si>
  <si>
    <t>28-608-0039</t>
  </si>
  <si>
    <t>26-796-0872</t>
  </si>
  <si>
    <t>Avavee</t>
  </si>
  <si>
    <t>31057 Roth Place</t>
  </si>
  <si>
    <t>35-529-2933</t>
  </si>
  <si>
    <t>57-591-6452</t>
  </si>
  <si>
    <t>2 School Drive</t>
  </si>
  <si>
    <t>83-321-7887</t>
  </si>
  <si>
    <t>70-444-9176</t>
  </si>
  <si>
    <t>35598 Fuller Terrace</t>
  </si>
  <si>
    <t>43-910-2342</t>
  </si>
  <si>
    <t>06-569-4690</t>
  </si>
  <si>
    <t>46758 Hallows Center</t>
  </si>
  <si>
    <t>21-633-8696</t>
  </si>
  <si>
    <t>89-468-2696</t>
  </si>
  <si>
    <t>08492 Gateway Terrace</t>
  </si>
  <si>
    <t>76-401-7083</t>
  </si>
  <si>
    <t>29-156-0691</t>
  </si>
  <si>
    <t>31892 Pennsylvania Street</t>
  </si>
  <si>
    <t>92-551-8504</t>
  </si>
  <si>
    <t>22-836-5101</t>
  </si>
  <si>
    <t>461 Bluejay Circle</t>
  </si>
  <si>
    <t>76-264-0748</t>
  </si>
  <si>
    <t>27-557-2375</t>
  </si>
  <si>
    <t>55 Morning Terrace</t>
  </si>
  <si>
    <t>88-586-8797</t>
  </si>
  <si>
    <t>02-530-5932</t>
  </si>
  <si>
    <t>9469 Bayside Plaza</t>
  </si>
  <si>
    <t>21-993-5632</t>
  </si>
  <si>
    <t>26-860-4618</t>
  </si>
  <si>
    <t>Innotype</t>
  </si>
  <si>
    <t>16730 Luster Alley</t>
  </si>
  <si>
    <t>27-681-5588</t>
  </si>
  <si>
    <t>89-959-2254</t>
  </si>
  <si>
    <t>498 Delladonna Drive</t>
  </si>
  <si>
    <t>23-265-8144</t>
  </si>
  <si>
    <t>31-524-1628</t>
  </si>
  <si>
    <t>14042 Dottie Avenue</t>
  </si>
  <si>
    <t>26-134-9069</t>
  </si>
  <si>
    <t>80-068-0825</t>
  </si>
  <si>
    <t>Devcast</t>
  </si>
  <si>
    <t>4929 Westend Point</t>
  </si>
  <si>
    <t>76-623-7844</t>
  </si>
  <si>
    <t>84-498-3849</t>
  </si>
  <si>
    <t>868 Swallow Point</t>
  </si>
  <si>
    <t>88-977-0175</t>
  </si>
  <si>
    <t>58-087-3463</t>
  </si>
  <si>
    <t>7561 5th Terrace</t>
  </si>
  <si>
    <t>12-714-5135</t>
  </si>
  <si>
    <t>97-055-2756</t>
  </si>
  <si>
    <t>2003 Delladonna Pass</t>
  </si>
  <si>
    <t>43-153-8268</t>
  </si>
  <si>
    <t>19-809-5654</t>
  </si>
  <si>
    <t>29815 Bonner Trail</t>
  </si>
  <si>
    <t>95-130-9020</t>
  </si>
  <si>
    <t>75-985-6744</t>
  </si>
  <si>
    <t>Youbridge</t>
  </si>
  <si>
    <t>2 Canary Street</t>
  </si>
  <si>
    <t>82-678-8097</t>
  </si>
  <si>
    <t>65-403-0311</t>
  </si>
  <si>
    <t>6172 Hovde Circle</t>
  </si>
  <si>
    <t>21-693-8216</t>
  </si>
  <si>
    <t>62-599-8388</t>
  </si>
  <si>
    <t>Twinte</t>
  </si>
  <si>
    <t>32468 Utah Pass</t>
  </si>
  <si>
    <t>56-831-6199</t>
  </si>
  <si>
    <t>99-680-2351</t>
  </si>
  <si>
    <t>1247 Hoard Hill</t>
  </si>
  <si>
    <t>81-268-5905</t>
  </si>
  <si>
    <t>36-138-9045</t>
  </si>
  <si>
    <t>Kazio</t>
  </si>
  <si>
    <t>85953 Clyde Gallagher Drive</t>
  </si>
  <si>
    <t>41-237-5498</t>
  </si>
  <si>
    <t>38-643-1626</t>
  </si>
  <si>
    <t>29817 Coleman Drive</t>
  </si>
  <si>
    <t>32-987-5559</t>
  </si>
  <si>
    <t>01-665-0053</t>
  </si>
  <si>
    <t>7 Hallows Alley</t>
  </si>
  <si>
    <t>71-436-5841</t>
  </si>
  <si>
    <t>87-546-9674</t>
  </si>
  <si>
    <t>52 Victoria Plaza</t>
  </si>
  <si>
    <t>63-890-1246</t>
  </si>
  <si>
    <t>29-273-1595</t>
  </si>
  <si>
    <t>3 Melrose Trail</t>
  </si>
  <si>
    <t>65-368-2479</t>
  </si>
  <si>
    <t>99-570-8162</t>
  </si>
  <si>
    <t>Browsedrive</t>
  </si>
  <si>
    <t>231 Merry Pass</t>
  </si>
  <si>
    <t>74-562-7431</t>
  </si>
  <si>
    <t>66-174-9633</t>
  </si>
  <si>
    <t>Linkbridge</t>
  </si>
  <si>
    <t>79 Ronald Regan Avenue</t>
  </si>
  <si>
    <t>51-583-6029</t>
  </si>
  <si>
    <t>78-024-3286</t>
  </si>
  <si>
    <t>83894 Delaware Plaza</t>
  </si>
  <si>
    <t>06-996-3221</t>
  </si>
  <si>
    <t>97-821-7402</t>
  </si>
  <si>
    <t>579 Schlimgen Alley</t>
  </si>
  <si>
    <t>96-334-2593</t>
  </si>
  <si>
    <t>64-831-3071</t>
  </si>
  <si>
    <t>9559 Muir Trail</t>
  </si>
  <si>
    <t>58-219-0241</t>
  </si>
  <si>
    <t>42-523-1857</t>
  </si>
  <si>
    <t>938 Garrison Court</t>
  </si>
  <si>
    <t>87-272-6544</t>
  </si>
  <si>
    <t>93-699-8001</t>
  </si>
  <si>
    <t>4 Nelson Alley</t>
  </si>
  <si>
    <t>95-357-2870</t>
  </si>
  <si>
    <t>75-365-7696</t>
  </si>
  <si>
    <t>87 Corben Street</t>
  </si>
  <si>
    <t>88-401-3700</t>
  </si>
  <si>
    <t>39-299-6093</t>
  </si>
  <si>
    <t>39014 Randy Court</t>
  </si>
  <si>
    <t>72-404-5581</t>
  </si>
  <si>
    <t>18-065-8014</t>
  </si>
  <si>
    <t>879 Amoth Terrace</t>
  </si>
  <si>
    <t>11-766-8738</t>
  </si>
  <si>
    <t>96-393-1428</t>
  </si>
  <si>
    <t>20 Nelson Way</t>
  </si>
  <si>
    <t>15-796-3130</t>
  </si>
  <si>
    <t>45-912-2948</t>
  </si>
  <si>
    <t>85 Lunder Court</t>
  </si>
  <si>
    <t>73-751-4393</t>
  </si>
  <si>
    <t>14-486-5626</t>
  </si>
  <si>
    <t>03 Roth Court</t>
  </si>
  <si>
    <t>62-100-2245</t>
  </si>
  <si>
    <t>18-110-8314</t>
  </si>
  <si>
    <t>56830 Fremont Road</t>
  </si>
  <si>
    <t>08-961-3009</t>
  </si>
  <si>
    <t>41-825-5869</t>
  </si>
  <si>
    <t>01 Gateway Plaza</t>
  </si>
  <si>
    <t>33-440-2588</t>
  </si>
  <si>
    <t>68-596-5506</t>
  </si>
  <si>
    <t>Tagpad</t>
  </si>
  <si>
    <t>4 6th Plaza</t>
  </si>
  <si>
    <t>24-009-1208</t>
  </si>
  <si>
    <t>96-405-4286</t>
  </si>
  <si>
    <t>Aivee</t>
  </si>
  <si>
    <t>99 Duke Lane</t>
  </si>
  <si>
    <t>71-300-2191</t>
  </si>
  <si>
    <t>98-677-4279</t>
  </si>
  <si>
    <t>7 Heffernan Drive</t>
  </si>
  <si>
    <t>74-430-8245</t>
  </si>
  <si>
    <t>51-213-5660</t>
  </si>
  <si>
    <t>7 Roxbury Circle</t>
  </si>
  <si>
    <t>68-636-4774</t>
  </si>
  <si>
    <t>40-436-0171</t>
  </si>
  <si>
    <t>7744 Oxford Pass</t>
  </si>
  <si>
    <t>38-655-2312</t>
  </si>
  <si>
    <t>91-127-7174</t>
  </si>
  <si>
    <t>17 Reinke Circle</t>
  </si>
  <si>
    <t>16-632-1308</t>
  </si>
  <si>
    <t>45-903-0036</t>
  </si>
  <si>
    <t>60094 Goodland Junction</t>
  </si>
  <si>
    <t>37-606-0510</t>
  </si>
  <si>
    <t>09-489-6314</t>
  </si>
  <si>
    <t>Jabbercube</t>
  </si>
  <si>
    <t>53 Homewood Alley</t>
  </si>
  <si>
    <t>36-296-9609</t>
  </si>
  <si>
    <t>46-041-1131</t>
  </si>
  <si>
    <t>7 Rutledge Pass</t>
  </si>
  <si>
    <t>22-329-7791</t>
  </si>
  <si>
    <t>72-013-2438</t>
  </si>
  <si>
    <t>50687 Porter Park</t>
  </si>
  <si>
    <t>56-894-3733</t>
  </si>
  <si>
    <t>57-133-8386</t>
  </si>
  <si>
    <t>897 Independence Circle</t>
  </si>
  <si>
    <t>06-858-5680</t>
  </si>
  <si>
    <t>63-231-2829</t>
  </si>
  <si>
    <t>49476 Tony Hill</t>
  </si>
  <si>
    <t>71-954-4501</t>
  </si>
  <si>
    <t>26-135-6134</t>
  </si>
  <si>
    <t>290 Rusk Avenue</t>
  </si>
  <si>
    <t>12-046-2988</t>
  </si>
  <si>
    <t>37-630-2250</t>
  </si>
  <si>
    <t>931 Browning Center</t>
  </si>
  <si>
    <t>95-356-1566</t>
  </si>
  <si>
    <t>57-204-2098</t>
  </si>
  <si>
    <t>622 Buena Vista Trail</t>
  </si>
  <si>
    <t>34-291-4939</t>
  </si>
  <si>
    <t>39-284-1614</t>
  </si>
  <si>
    <t>983 Sommers Circle</t>
  </si>
  <si>
    <t>35-621-2546</t>
  </si>
  <si>
    <t>14-190-2260</t>
  </si>
  <si>
    <t>Skiptube</t>
  </si>
  <si>
    <t>3 Fairfield Center</t>
  </si>
  <si>
    <t>21-013-3508</t>
  </si>
  <si>
    <t>64-489-8494</t>
  </si>
  <si>
    <t>84305 Fair Oaks Plaza</t>
  </si>
  <si>
    <t>38-049-9319</t>
  </si>
  <si>
    <t>90-447-5123</t>
  </si>
  <si>
    <t>6 Lillian Junction</t>
  </si>
  <si>
    <t>94-697-2396</t>
  </si>
  <si>
    <t>34-161-7429</t>
  </si>
  <si>
    <t>Zoomlounge</t>
  </si>
  <si>
    <t>44 Thompson Terrace</t>
  </si>
  <si>
    <t>33-807-7247</t>
  </si>
  <si>
    <t>94-453-3755</t>
  </si>
  <si>
    <t>63464 Jana Court</t>
  </si>
  <si>
    <t>62-816-8794</t>
  </si>
  <si>
    <t>56-110-5754</t>
  </si>
  <si>
    <t>04 Blaine Lane</t>
  </si>
  <si>
    <t>33-507-9886</t>
  </si>
  <si>
    <t>11-445-3951</t>
  </si>
  <si>
    <t>0584 Lindbergh Alley</t>
  </si>
  <si>
    <t>40-003-7322</t>
  </si>
  <si>
    <t>41-644-3129</t>
  </si>
  <si>
    <t>Wordtune</t>
  </si>
  <si>
    <t>2693 6th Court</t>
  </si>
  <si>
    <t>95-090-2788</t>
  </si>
  <si>
    <t>95-715-6047</t>
  </si>
  <si>
    <t>0313 Rockefeller Street</t>
  </si>
  <si>
    <t>06-503-5891</t>
  </si>
  <si>
    <t>19-098-2529</t>
  </si>
  <si>
    <t>49646 Derek Lane</t>
  </si>
  <si>
    <t>38-555-9147</t>
  </si>
  <si>
    <t>35-370-7603</t>
  </si>
  <si>
    <t>Aimbu</t>
  </si>
  <si>
    <t>0 Oneill Hill</t>
  </si>
  <si>
    <t>64-854-8664</t>
  </si>
  <si>
    <t>19-893-7698</t>
  </si>
  <si>
    <t>Pixoboo</t>
  </si>
  <si>
    <t>76 Independence Drive</t>
  </si>
  <si>
    <t>50-942-2409</t>
  </si>
  <si>
    <t>69-472-4067</t>
  </si>
  <si>
    <t>7182 Summit Court</t>
  </si>
  <si>
    <t>17-493-4579</t>
  </si>
  <si>
    <t>67-541-7091</t>
  </si>
  <si>
    <t>Trudoo</t>
  </si>
  <si>
    <t>4627 Amoth Circle</t>
  </si>
  <si>
    <t>10-854-5467</t>
  </si>
  <si>
    <t>40-443-3362</t>
  </si>
  <si>
    <t>3 Oakridge Parkway</t>
  </si>
  <si>
    <t>11-604-6002</t>
  </si>
  <si>
    <t>50-862-4552</t>
  </si>
  <si>
    <t>Kimia</t>
  </si>
  <si>
    <t>17640 Cottonwood Place</t>
  </si>
  <si>
    <t>44-305-1866</t>
  </si>
  <si>
    <t>25-190-3172</t>
  </si>
  <si>
    <t>51205 Rieder Junction</t>
  </si>
  <si>
    <t>49-730-0159</t>
  </si>
  <si>
    <t>62-766-8232</t>
  </si>
  <si>
    <t>Riffpedia</t>
  </si>
  <si>
    <t>09189 2nd Drive</t>
  </si>
  <si>
    <t>70-534-7796</t>
  </si>
  <si>
    <t>62-044-8874</t>
  </si>
  <si>
    <t>76106 Anthes Junction</t>
  </si>
  <si>
    <t>95-738-4658</t>
  </si>
  <si>
    <t>67-404-3362</t>
  </si>
  <si>
    <t>35 Golf Course Alley</t>
  </si>
  <si>
    <t>20-405-4865</t>
  </si>
  <si>
    <t>16-019-7101</t>
  </si>
  <si>
    <t>Centimia</t>
  </si>
  <si>
    <t>36483 Burning Wood Pass</t>
  </si>
  <si>
    <t>79-428-8753</t>
  </si>
  <si>
    <t>29-521-7910</t>
  </si>
  <si>
    <t>9 Holmberg Circle</t>
  </si>
  <si>
    <t>10-626-8536</t>
  </si>
  <si>
    <t>23-274-3305</t>
  </si>
  <si>
    <t>38583 2nd Pass</t>
  </si>
  <si>
    <t>27-216-9671</t>
  </si>
  <si>
    <t>40-773-7065</t>
  </si>
  <si>
    <t>4 Browning Terrace</t>
  </si>
  <si>
    <t>14-489-8669</t>
  </si>
  <si>
    <t>28-436-5158</t>
  </si>
  <si>
    <t>21629 Burrows Pass</t>
  </si>
  <si>
    <t>46-632-8420</t>
  </si>
  <si>
    <t>27-996-8883</t>
  </si>
  <si>
    <t>9 Meadow Ridge Center</t>
  </si>
  <si>
    <t>39-192-3521</t>
  </si>
  <si>
    <t>74-062-7176</t>
  </si>
  <si>
    <t>Dynazzy</t>
  </si>
  <si>
    <t>428 Oriole Avenue</t>
  </si>
  <si>
    <t>94-528-8088</t>
  </si>
  <si>
    <t>68-885-5553</t>
  </si>
  <si>
    <t>21379 Stoughton Junction</t>
  </si>
  <si>
    <t>74-305-1263</t>
  </si>
  <si>
    <t>83-076-5024</t>
  </si>
  <si>
    <t>744 Lakewood Gardens Crossing</t>
  </si>
  <si>
    <t>53-151-5726</t>
  </si>
  <si>
    <t>93-180-4005</t>
  </si>
  <si>
    <t>84239 Meadow Vale Trail</t>
  </si>
  <si>
    <t>02-085-7218</t>
  </si>
  <si>
    <t>41-978-3326</t>
  </si>
  <si>
    <t>Oyonder</t>
  </si>
  <si>
    <t>2835 Schlimgen Parkway</t>
  </si>
  <si>
    <t>77-777-4536</t>
  </si>
  <si>
    <t>64-396-5538</t>
  </si>
  <si>
    <t>4784 Farmco Alley</t>
  </si>
  <si>
    <t>86-482-6451</t>
  </si>
  <si>
    <t>56-965-0404</t>
  </si>
  <si>
    <t>5501 Fuller Way</t>
  </si>
  <si>
    <t>36-127-4273</t>
  </si>
  <si>
    <t>05-719-6858</t>
  </si>
  <si>
    <t>10342 Division Place</t>
  </si>
  <si>
    <t>03-061-1344</t>
  </si>
  <si>
    <t>85-211-5357</t>
  </si>
  <si>
    <t>96420 Briar Crest Lane</t>
  </si>
  <si>
    <t>97-300-7511</t>
  </si>
  <si>
    <t>47-687-2255</t>
  </si>
  <si>
    <t>45190 Fordem Court</t>
  </si>
  <si>
    <t>83-108-1174</t>
  </si>
  <si>
    <t>56-439-3559</t>
  </si>
  <si>
    <t>3 Monument Street</t>
  </si>
  <si>
    <t>38-664-2155</t>
  </si>
  <si>
    <t>10-540-5841</t>
  </si>
  <si>
    <t>843 Pepper Wood Hill</t>
  </si>
  <si>
    <t>80-459-5950</t>
  </si>
  <si>
    <t>04-866-2231</t>
  </si>
  <si>
    <t>Rhyzio</t>
  </si>
  <si>
    <t>5 Killdeer Trail</t>
  </si>
  <si>
    <t>93-015-0811</t>
  </si>
  <si>
    <t>07-055-5188</t>
  </si>
  <si>
    <t>1 Pleasure Hill</t>
  </si>
  <si>
    <t>02-888-9412</t>
  </si>
  <si>
    <t>22-307-4653</t>
  </si>
  <si>
    <t>880 Calypso Road</t>
  </si>
  <si>
    <t>10-218-2680</t>
  </si>
  <si>
    <t>72-024-1595</t>
  </si>
  <si>
    <t>6810 Aberg Junction</t>
  </si>
  <si>
    <t>30-964-2694</t>
  </si>
  <si>
    <t>42-976-2737</t>
  </si>
  <si>
    <t>Edgeclub</t>
  </si>
  <si>
    <t>39 Dovetail Terrace</t>
  </si>
  <si>
    <t>15-144-9413</t>
  </si>
  <si>
    <t>08-912-0895</t>
  </si>
  <si>
    <t>3 Buhler Place</t>
  </si>
  <si>
    <t>17-253-5688</t>
  </si>
  <si>
    <t>42-638-2086</t>
  </si>
  <si>
    <t>7 Hooker Way</t>
  </si>
  <si>
    <t>31-608-1445</t>
  </si>
  <si>
    <t>75-286-4153</t>
  </si>
  <si>
    <t>227 Tennyson Plaza</t>
  </si>
  <si>
    <t>51-934-9117</t>
  </si>
  <si>
    <t>34-389-9922</t>
  </si>
  <si>
    <t>05944 Scott Parkway</t>
  </si>
  <si>
    <t>72-810-9753</t>
  </si>
  <si>
    <t>17-359-2527</t>
  </si>
  <si>
    <t>545 Farwell Lane</t>
  </si>
  <si>
    <t>53-146-9979</t>
  </si>
  <si>
    <t>44-388-2451</t>
  </si>
  <si>
    <t>42 Mandrake Alley</t>
  </si>
  <si>
    <t>46-622-3434</t>
  </si>
  <si>
    <t>85-473-1534</t>
  </si>
  <si>
    <t>Topdrive</t>
  </si>
  <si>
    <t>2 Miller Lane</t>
  </si>
  <si>
    <t>47-843-8207</t>
  </si>
  <si>
    <t>55-838-9088</t>
  </si>
  <si>
    <t>01 Northfield Road</t>
  </si>
  <si>
    <t>29-135-0791</t>
  </si>
  <si>
    <t>05-050-4384</t>
  </si>
  <si>
    <t>97 Utah Lane</t>
  </si>
  <si>
    <t>45-194-4094</t>
  </si>
  <si>
    <t>65-611-4749</t>
  </si>
  <si>
    <t>2 Scofield Street</t>
  </si>
  <si>
    <t>09-712-3630</t>
  </si>
  <si>
    <t>17-807-6972</t>
  </si>
  <si>
    <t>10 Golf Course Hill</t>
  </si>
  <si>
    <t>56-213-0577</t>
  </si>
  <si>
    <t>72-306-8602</t>
  </si>
  <si>
    <t>851 Hollow Ridge Center</t>
  </si>
  <si>
    <t>78-956-4737</t>
  </si>
  <si>
    <t>76-712-0418</t>
  </si>
  <si>
    <t>9 Burrows Junction</t>
  </si>
  <si>
    <t>29-436-6570</t>
  </si>
  <si>
    <t>12-140-7809</t>
  </si>
  <si>
    <t>30590 Bowman Alley</t>
  </si>
  <si>
    <t>04-038-1547</t>
  </si>
  <si>
    <t>61-912-9541</t>
  </si>
  <si>
    <t>76 Shelley Pass</t>
  </si>
  <si>
    <t>76-476-9996</t>
  </si>
  <si>
    <t>88-428-6227</t>
  </si>
  <si>
    <t>0 Larry Terrace</t>
  </si>
  <si>
    <t>43-469-7551</t>
  </si>
  <si>
    <t>64-361-4238</t>
  </si>
  <si>
    <t>760 Butternut Plaza</t>
  </si>
  <si>
    <t>15-169-8058</t>
  </si>
  <si>
    <t>14-009-8505</t>
  </si>
  <si>
    <t>26160 Independence Alley</t>
  </si>
  <si>
    <t>37-567-3218</t>
  </si>
  <si>
    <t>03-257-4437</t>
  </si>
  <si>
    <t>153 Caliangt Plaza</t>
  </si>
  <si>
    <t>92-455-2959</t>
  </si>
  <si>
    <t>13-109-8639</t>
  </si>
  <si>
    <t>0 Ohio Hill</t>
  </si>
  <si>
    <t>75-672-4378</t>
  </si>
  <si>
    <t>20-103-9525</t>
  </si>
  <si>
    <t>Eare</t>
  </si>
  <si>
    <t>4 Esch Point</t>
  </si>
  <si>
    <t>66-806-6051</t>
  </si>
  <si>
    <t>19-875-5642</t>
  </si>
  <si>
    <t>8 Kensington Place</t>
  </si>
  <si>
    <t>65-527-9488</t>
  </si>
  <si>
    <t>23-482-0516</t>
  </si>
  <si>
    <t>23704 Algoma Park</t>
  </si>
  <si>
    <t>36-840-2728</t>
  </si>
  <si>
    <t>26-454-7297</t>
  </si>
  <si>
    <t>Dabfeed</t>
  </si>
  <si>
    <t>08545 Lillian Street</t>
  </si>
  <si>
    <t>07-389-5740</t>
  </si>
  <si>
    <t>72-784-3292</t>
  </si>
  <si>
    <t>59 Veith Center</t>
  </si>
  <si>
    <t>13-144-2169</t>
  </si>
  <si>
    <t>11-742-5033</t>
  </si>
  <si>
    <t>Blogpad</t>
  </si>
  <si>
    <t>52 Namekagon Junction</t>
  </si>
  <si>
    <t>13-798-3397</t>
  </si>
  <si>
    <t>89-992-6472</t>
  </si>
  <si>
    <t>Twimm</t>
  </si>
  <si>
    <t>93321 Kennedy Point</t>
  </si>
  <si>
    <t>85-806-0613</t>
  </si>
  <si>
    <t>06-286-2758</t>
  </si>
  <si>
    <t>9269 Main Trail</t>
  </si>
  <si>
    <t>67-248-6306</t>
  </si>
  <si>
    <t>86-173-6891</t>
  </si>
  <si>
    <t>Avamm</t>
  </si>
  <si>
    <t>05 Bartelt Street</t>
  </si>
  <si>
    <t>47-866-6589</t>
  </si>
  <si>
    <t>78-203-1075</t>
  </si>
  <si>
    <t>30880 Barnett Junction</t>
  </si>
  <si>
    <t>91-127-7489</t>
  </si>
  <si>
    <t>86-079-1525</t>
  </si>
  <si>
    <t>43211 Anzinger Drive</t>
  </si>
  <si>
    <t>90-343-9640</t>
  </si>
  <si>
    <t>54-919-9424</t>
  </si>
  <si>
    <t>3622 Anhalt Lane</t>
  </si>
  <si>
    <t>01-018-6418</t>
  </si>
  <si>
    <t>78-888-6073</t>
  </si>
  <si>
    <t>481 Mifflin Hill</t>
  </si>
  <si>
    <t>80-375-9075</t>
  </si>
  <si>
    <t>86-487-3354</t>
  </si>
  <si>
    <t>3831 Goodland Road</t>
  </si>
  <si>
    <t>80-227-6886</t>
  </si>
  <si>
    <t>91-632-7343</t>
  </si>
  <si>
    <t>4374 Corry Terrace</t>
  </si>
  <si>
    <t>15-562-3712</t>
  </si>
  <si>
    <t>53-243-7800</t>
  </si>
  <si>
    <t>1 Hudson Hill</t>
  </si>
  <si>
    <t>10-137-9759</t>
  </si>
  <si>
    <t>23-688-6256</t>
  </si>
  <si>
    <t>Trupe</t>
  </si>
  <si>
    <t>402 Kings Road</t>
  </si>
  <si>
    <t>69-171-1305</t>
  </si>
  <si>
    <t>33-733-7313</t>
  </si>
  <si>
    <t>9951 Petterle Alley</t>
  </si>
  <si>
    <t>83-117-7658</t>
  </si>
  <si>
    <t>61-424-7670</t>
  </si>
  <si>
    <t>Yabox</t>
  </si>
  <si>
    <t>0282 Emmet Hill</t>
  </si>
  <si>
    <t>74-642-2435</t>
  </si>
  <si>
    <t>52-012-3409</t>
  </si>
  <si>
    <t>6292 Chive Street</t>
  </si>
  <si>
    <t>10-445-0741</t>
  </si>
  <si>
    <t>82-470-7146</t>
  </si>
  <si>
    <t>31 Loomis Park</t>
  </si>
  <si>
    <t>80-658-6456</t>
  </si>
  <si>
    <t>42-080-6579</t>
  </si>
  <si>
    <t>44051 Old Shore Junction</t>
  </si>
  <si>
    <t>81-354-4203</t>
  </si>
  <si>
    <t>15-466-5131</t>
  </si>
  <si>
    <t>12 Luster Terrace</t>
  </si>
  <si>
    <t>08-573-9997</t>
  </si>
  <si>
    <t>95-734-4024</t>
  </si>
  <si>
    <t>03 Little Fleur Pass</t>
  </si>
  <si>
    <t>74-610-2295</t>
  </si>
  <si>
    <t>22-959-6357</t>
  </si>
  <si>
    <t>Lajo</t>
  </si>
  <si>
    <t>87 Bluestem Parkway</t>
  </si>
  <si>
    <t>76-070-1411</t>
  </si>
  <si>
    <t>63-528-0643</t>
  </si>
  <si>
    <t>87578 Stoughton Parkway</t>
  </si>
  <si>
    <t>61-582-7399</t>
  </si>
  <si>
    <t>15-062-6342</t>
  </si>
  <si>
    <t>Topiczoom</t>
  </si>
  <si>
    <t>8 Hanover Center</t>
  </si>
  <si>
    <t>42-674-3917</t>
  </si>
  <si>
    <t>26-080-4944</t>
  </si>
  <si>
    <t>78 Forest Dale Road</t>
  </si>
  <si>
    <t>05-899-1428</t>
  </si>
  <si>
    <t>17-494-5505</t>
  </si>
  <si>
    <t>591 Maple Junction</t>
  </si>
  <si>
    <t>74-548-9313</t>
  </si>
  <si>
    <t>69-832-7009</t>
  </si>
  <si>
    <t>1 Judy Street</t>
  </si>
  <si>
    <t>20-448-2972</t>
  </si>
  <si>
    <t>26-920-6626</t>
  </si>
  <si>
    <t>Buzzbean</t>
  </si>
  <si>
    <t>49770 Hoffman Court</t>
  </si>
  <si>
    <t>63-162-9244</t>
  </si>
  <si>
    <t>58-945-2944</t>
  </si>
  <si>
    <t>04 Rockefeller Terrace</t>
  </si>
  <si>
    <t>91-417-0366</t>
  </si>
  <si>
    <t>28-442-2578</t>
  </si>
  <si>
    <t>1 Elmside Parkway</t>
  </si>
  <si>
    <t>60-311-5701</t>
  </si>
  <si>
    <t>07-578-7055</t>
  </si>
  <si>
    <t>9 Meadow Vale Drive</t>
  </si>
  <si>
    <t>36-899-5324</t>
  </si>
  <si>
    <t>02-656-3112</t>
  </si>
  <si>
    <t>Flashdog</t>
  </si>
  <si>
    <t>3 Bashford Court</t>
  </si>
  <si>
    <t>22-266-9291</t>
  </si>
  <si>
    <t>15-550-0171</t>
  </si>
  <si>
    <t>111 David Hill</t>
  </si>
  <si>
    <t>76-584-4790</t>
  </si>
  <si>
    <t>58-213-1146</t>
  </si>
  <si>
    <t>1170 Shasta Circle</t>
  </si>
  <si>
    <t>82-948-2298</t>
  </si>
  <si>
    <t>53-749-6148</t>
  </si>
  <si>
    <t>555 Butternut Hill</t>
  </si>
  <si>
    <t>97-283-4840</t>
  </si>
  <si>
    <t>64-604-1679</t>
  </si>
  <si>
    <t>7232 Ridgeway Center</t>
  </si>
  <si>
    <t>17-395-1121</t>
  </si>
  <si>
    <t>67-252-3923</t>
  </si>
  <si>
    <t>8 Oriole Terrace</t>
  </si>
  <si>
    <t>74-132-5528</t>
  </si>
  <si>
    <t>41-713-1053</t>
  </si>
  <si>
    <t>611 Fieldstone Drive</t>
  </si>
  <si>
    <t>52-029-2382</t>
  </si>
  <si>
    <t>16-474-4516</t>
  </si>
  <si>
    <t>Brightdog</t>
  </si>
  <si>
    <t>08896 Evergreen Avenue</t>
  </si>
  <si>
    <t>11-053-0107</t>
  </si>
  <si>
    <t>Cherry</t>
  </si>
  <si>
    <t>07-410-2867</t>
  </si>
  <si>
    <t>734 Thackeray Avenue</t>
  </si>
  <si>
    <t>99-194-5600</t>
  </si>
  <si>
    <t>70-064-6828</t>
  </si>
  <si>
    <t>973 Spaight Place</t>
  </si>
  <si>
    <t>48-289-0604</t>
  </si>
  <si>
    <t>94-261-1193</t>
  </si>
  <si>
    <t>5 Colorado Park</t>
  </si>
  <si>
    <t>73-010-8323</t>
  </si>
  <si>
    <t>80-622-6587</t>
  </si>
  <si>
    <t>Tagcat</t>
  </si>
  <si>
    <t>811 Dapin Center</t>
  </si>
  <si>
    <t>06-068-6793</t>
  </si>
  <si>
    <t>94-958-6101</t>
  </si>
  <si>
    <t>25 Nancy Place</t>
  </si>
  <si>
    <t>56-054-8664</t>
  </si>
  <si>
    <t>53-247-1844</t>
  </si>
  <si>
    <t>01 Straubel Hill</t>
  </si>
  <si>
    <t>36-330-5036</t>
  </si>
  <si>
    <t>52-359-1255</t>
  </si>
  <si>
    <t>Mycat</t>
  </si>
  <si>
    <t>21 Golden Leaf Hill</t>
  </si>
  <si>
    <t>65-674-6076</t>
  </si>
  <si>
    <t>16-933-3355</t>
  </si>
  <si>
    <t>9738 Old Shore Trail</t>
  </si>
  <si>
    <t>87-013-6488</t>
  </si>
  <si>
    <t>77-471-0792</t>
  </si>
  <si>
    <t>Tekfly</t>
  </si>
  <si>
    <t>07855 Goodland Lane</t>
  </si>
  <si>
    <t>95-449-1286</t>
  </si>
  <si>
    <t>Egg (Chicken)</t>
  </si>
  <si>
    <t>18-260-7354</t>
  </si>
  <si>
    <t>Realfire</t>
  </si>
  <si>
    <t>1 Jackson Pass</t>
  </si>
  <si>
    <t>95-640-0293</t>
  </si>
  <si>
    <t>43-575-2151</t>
  </si>
  <si>
    <t>31 Sullivan Hill</t>
  </si>
  <si>
    <t>08-495-6853</t>
  </si>
  <si>
    <t>07-432-0137</t>
  </si>
  <si>
    <t>7943 Amoth Parkway</t>
  </si>
  <si>
    <t>42-495-7698</t>
  </si>
  <si>
    <t>93-625-4768</t>
  </si>
  <si>
    <t>91 Gateway Pass</t>
  </si>
  <si>
    <t>83-727-0814</t>
  </si>
  <si>
    <t>79-656-1990</t>
  </si>
  <si>
    <t>28 Boyd Pass</t>
  </si>
  <si>
    <t>01-050-2246</t>
  </si>
  <si>
    <t>80-462-5807</t>
  </si>
  <si>
    <t>38 Esch Pass</t>
  </si>
  <si>
    <t>07-858-5487</t>
  </si>
  <si>
    <t>92-991-6167</t>
  </si>
  <si>
    <t>6 Susan Alley</t>
  </si>
  <si>
    <t>20-283-0111</t>
  </si>
  <si>
    <t>60-394-8955</t>
  </si>
  <si>
    <t>Cogidoo</t>
  </si>
  <si>
    <t>0 Ruskin Way</t>
  </si>
  <si>
    <t>87-391-9658</t>
  </si>
  <si>
    <t>51-054-1226</t>
  </si>
  <si>
    <t>92486 Laurel Alley</t>
  </si>
  <si>
    <t>44-782-1395</t>
  </si>
  <si>
    <t>54-132-9762</t>
  </si>
  <si>
    <t>365 Vera Terrace</t>
  </si>
  <si>
    <t>12-828-1063</t>
  </si>
  <si>
    <t>48-707-5857</t>
  </si>
  <si>
    <t>018 Oxford Crossing</t>
  </si>
  <si>
    <t>72-989-2512</t>
  </si>
  <si>
    <t>03-117-6217</t>
  </si>
  <si>
    <t>Yakijo</t>
  </si>
  <si>
    <t>61 Waubesa Court</t>
  </si>
  <si>
    <t>53-667-4109</t>
  </si>
  <si>
    <t>40-800-4739</t>
  </si>
  <si>
    <t>992 East Point</t>
  </si>
  <si>
    <t>93-772-3085</t>
  </si>
  <si>
    <t>61-807-0746</t>
  </si>
  <si>
    <t>Edgetag</t>
  </si>
  <si>
    <t>07359 Porter Park</t>
  </si>
  <si>
    <t>92-652-3737</t>
  </si>
  <si>
    <t>42-361-6981</t>
  </si>
  <si>
    <t>Quimm</t>
  </si>
  <si>
    <t>66330 Northridge Street</t>
  </si>
  <si>
    <t>74-404-0582</t>
  </si>
  <si>
    <t>31-628-6696</t>
  </si>
  <si>
    <t>07 Maple Wood Drive</t>
  </si>
  <si>
    <t>19-244-9890</t>
  </si>
  <si>
    <t>98-107-0604</t>
  </si>
  <si>
    <t>Wikido</t>
  </si>
  <si>
    <t>620 Mockingbird Pass</t>
  </si>
  <si>
    <t>01-839-6534</t>
  </si>
  <si>
    <t>51-519-4588</t>
  </si>
  <si>
    <t>8 Hazelcrest Street</t>
  </si>
  <si>
    <t>58-229-1358</t>
  </si>
  <si>
    <t>66-883-2383</t>
  </si>
  <si>
    <t>1 Lillian Plaza</t>
  </si>
  <si>
    <t>80-025-6757</t>
  </si>
  <si>
    <t>49-608-3851</t>
  </si>
  <si>
    <t>Thoughtmix</t>
  </si>
  <si>
    <t>183 Algoma Trail</t>
  </si>
  <si>
    <t>35-031-1497</t>
  </si>
  <si>
    <t>84-835-1656</t>
  </si>
  <si>
    <t>581 Oneill Crossing</t>
  </si>
  <si>
    <t>26-629-5920</t>
  </si>
  <si>
    <t>19-264-7608</t>
  </si>
  <si>
    <t>77563 Russell Lane</t>
  </si>
  <si>
    <t>51-000-8113</t>
  </si>
  <si>
    <t>56-825-0880</t>
  </si>
  <si>
    <t>51369 Dawn Hill</t>
  </si>
  <si>
    <t>93-571-7294</t>
  </si>
  <si>
    <t>77-842-0920</t>
  </si>
  <si>
    <t>76 Fisk Park</t>
  </si>
  <si>
    <t>48-770-6319</t>
  </si>
  <si>
    <t>64-452-2395</t>
  </si>
  <si>
    <t>34 Fremont Point</t>
  </si>
  <si>
    <t>74-818-3306</t>
  </si>
  <si>
    <t>75-536-2986</t>
  </si>
  <si>
    <t>Eabox</t>
  </si>
  <si>
    <t>62 Thackeray Center</t>
  </si>
  <si>
    <t>15-082-9124</t>
  </si>
  <si>
    <t>02-997-1489</t>
  </si>
  <si>
    <t>LiveZ</t>
  </si>
  <si>
    <t>38 Dawn Street</t>
  </si>
  <si>
    <t>66-854-5736</t>
  </si>
  <si>
    <t>98-591-1051</t>
  </si>
  <si>
    <t>50880 Nobel Road</t>
  </si>
  <si>
    <t>90-128-7973</t>
  </si>
  <si>
    <t>91-417-6283</t>
  </si>
  <si>
    <t>46989 Crescent Oaks Junction</t>
  </si>
  <si>
    <t>60-198-7050</t>
  </si>
  <si>
    <t>27-493-6787</t>
  </si>
  <si>
    <t>5306 Arkansas Avenue</t>
  </si>
  <si>
    <t>70-206-4860</t>
  </si>
  <si>
    <t>82-527-9395</t>
  </si>
  <si>
    <t>Meejo</t>
  </si>
  <si>
    <t>75 High Crossing Junction</t>
  </si>
  <si>
    <t>25-353-2067</t>
  </si>
  <si>
    <t>01-210-3485</t>
  </si>
  <si>
    <t>59449 Sherman Parkway</t>
  </si>
  <si>
    <t>93-218-8108</t>
  </si>
  <si>
    <t>05-966-6460</t>
  </si>
  <si>
    <t>9848 Little Fleur Point</t>
  </si>
  <si>
    <t>95-262-6208</t>
  </si>
  <si>
    <t>66-227-1125</t>
  </si>
  <si>
    <t>44662 American Plaza</t>
  </si>
  <si>
    <t>02-484-0206</t>
  </si>
  <si>
    <t>62-011-9357</t>
  </si>
  <si>
    <t>60 Main Pass</t>
  </si>
  <si>
    <t>08-226-5155</t>
  </si>
  <si>
    <t>64-584-7898</t>
  </si>
  <si>
    <t>81503 Graedel Plaza</t>
  </si>
  <si>
    <t>47-581-0363</t>
  </si>
  <si>
    <t>08-359-2568</t>
  </si>
  <si>
    <t>8 Dawn Court</t>
  </si>
  <si>
    <t>04-104-6993</t>
  </si>
  <si>
    <t>06-776-1072</t>
  </si>
  <si>
    <t>55095 Northview Drive</t>
  </si>
  <si>
    <t>45-380-4627</t>
  </si>
  <si>
    <t>20-201-5639</t>
  </si>
  <si>
    <t>0 Thackeray Point</t>
  </si>
  <si>
    <t>41-240-8856</t>
  </si>
  <si>
    <t>28-162-7486</t>
  </si>
  <si>
    <t>8 Autumn Leaf Drive</t>
  </si>
  <si>
    <t>81-573-0943</t>
  </si>
  <si>
    <t>07-754-2313</t>
  </si>
  <si>
    <t>20 Marcy Circle</t>
  </si>
  <si>
    <t>67-725-6830</t>
  </si>
  <si>
    <t>05-727-0033</t>
  </si>
  <si>
    <t>9 Victoria Point</t>
  </si>
  <si>
    <t>55-154-4728</t>
  </si>
  <si>
    <t>33-466-7894</t>
  </si>
  <si>
    <t>96 Westridge Junction</t>
  </si>
  <si>
    <t>41-526-4036</t>
  </si>
  <si>
    <t>45-923-7206</t>
  </si>
  <si>
    <t>38726 Gina Pass</t>
  </si>
  <si>
    <t>86-273-9377</t>
  </si>
  <si>
    <t>38-330-5543</t>
  </si>
  <si>
    <t>1 Hollow Ridge Park</t>
  </si>
  <si>
    <t>98-499-2220</t>
  </si>
  <si>
    <t>69-666-2257</t>
  </si>
  <si>
    <t>27 School Court</t>
  </si>
  <si>
    <t>50-930-4751</t>
  </si>
  <si>
    <t>40-260-8547</t>
  </si>
  <si>
    <t>80380 Valley Edge Road</t>
  </si>
  <si>
    <t>88-304-2855</t>
  </si>
  <si>
    <t>59-570-2020</t>
  </si>
  <si>
    <t>0 Delladonna Place</t>
  </si>
  <si>
    <t>69-743-0161</t>
  </si>
  <si>
    <t>29-774-6779</t>
  </si>
  <si>
    <t>583 Loftsgordon Road</t>
  </si>
  <si>
    <t>40-902-1995</t>
  </si>
  <si>
    <t>86-879-7811</t>
  </si>
  <si>
    <t>Zoomzone</t>
  </si>
  <si>
    <t>1519 Delaware Court</t>
  </si>
  <si>
    <t>50-329-3360</t>
  </si>
  <si>
    <t>85-594-2570</t>
  </si>
  <si>
    <t>72 Crownhardt Circle</t>
  </si>
  <si>
    <t>03-441-4252</t>
  </si>
  <si>
    <t>11-430-6041</t>
  </si>
  <si>
    <t>6 Bobwhite Alley</t>
  </si>
  <si>
    <t>97-093-4278</t>
  </si>
  <si>
    <t>38-200-4863</t>
  </si>
  <si>
    <t>Twitterlist</t>
  </si>
  <si>
    <t>467 Dexter Pass</t>
  </si>
  <si>
    <t>01-820-5784</t>
  </si>
  <si>
    <t>80-567-5598</t>
  </si>
  <si>
    <t>6982 Crownhardt Circle</t>
  </si>
  <si>
    <t>31-803-5001</t>
  </si>
  <si>
    <t>14-414-1945</t>
  </si>
  <si>
    <t>Voonder</t>
  </si>
  <si>
    <t>64 1st Plaza</t>
  </si>
  <si>
    <t>61-317-9944</t>
  </si>
  <si>
    <t>03-220-5535</t>
  </si>
  <si>
    <t>21844 Artisan Trail</t>
  </si>
  <si>
    <t>56-303-5256</t>
  </si>
  <si>
    <t>29-821-5359</t>
  </si>
  <si>
    <t>3 Hermina Circle</t>
  </si>
  <si>
    <t>86-672-4191</t>
  </si>
  <si>
    <t>79-219-8469</t>
  </si>
  <si>
    <t>Einti</t>
  </si>
  <si>
    <t>18 Troy Avenue</t>
  </si>
  <si>
    <t>34-547-0827</t>
  </si>
  <si>
    <t>30-853-8580</t>
  </si>
  <si>
    <t>18 Comanche Junction</t>
  </si>
  <si>
    <t>20-387-7746</t>
  </si>
  <si>
    <t>08-218-9429</t>
  </si>
  <si>
    <t>9050 Dorton Pass</t>
  </si>
  <si>
    <t>50-329-3145</t>
  </si>
  <si>
    <t>88-418-3855</t>
  </si>
  <si>
    <t>591 Maple Wood Drive</t>
  </si>
  <si>
    <t>02-559-8196</t>
  </si>
  <si>
    <t>44-495-6660</t>
  </si>
  <si>
    <t>545 Linden Alley</t>
  </si>
  <si>
    <t>69-834-2874</t>
  </si>
  <si>
    <t>51-600-6076</t>
  </si>
  <si>
    <t>39 Oxford Drive</t>
  </si>
  <si>
    <t>27-474-0056</t>
  </si>
  <si>
    <t>56-969-3705</t>
  </si>
  <si>
    <t>538 Bayside Parkway</t>
  </si>
  <si>
    <t>66-378-7532</t>
  </si>
  <si>
    <t>15-365-5585</t>
  </si>
  <si>
    <t>88678 Bayside Park</t>
  </si>
  <si>
    <t>28-185-7303</t>
  </si>
  <si>
    <t>97-143-0641</t>
  </si>
  <si>
    <t>25696 Westerfield Alley</t>
  </si>
  <si>
    <t>19-854-3663</t>
  </si>
  <si>
    <t>72-509-7548</t>
  </si>
  <si>
    <t>4 Dakota Avenue</t>
  </si>
  <si>
    <t>42-175-1648</t>
  </si>
  <si>
    <t>67-272-8844</t>
  </si>
  <si>
    <t>72778 Loftsgordon Center</t>
  </si>
  <si>
    <t>56-657-4387</t>
  </si>
  <si>
    <t>78-629-7560</t>
  </si>
  <si>
    <t>5 Lyons Street</t>
  </si>
  <si>
    <t>05-720-8792</t>
  </si>
  <si>
    <t>33-265-4588</t>
  </si>
  <si>
    <t>2 Northview Avenue</t>
  </si>
  <si>
    <t>84-151-2114</t>
  </si>
  <si>
    <t>79-704-1471</t>
  </si>
  <si>
    <t>12 Rigney Street</t>
  </si>
  <si>
    <t>10-378-9729</t>
  </si>
  <si>
    <t>83-941-9620</t>
  </si>
  <si>
    <t>2 Butterfield Pass</t>
  </si>
  <si>
    <t>53-930-2215</t>
  </si>
  <si>
    <t>42-210-6541</t>
  </si>
  <si>
    <t>Gabvine</t>
  </si>
  <si>
    <t>292 Utah Street</t>
  </si>
  <si>
    <t>02-034-6209</t>
  </si>
  <si>
    <t>34-724-1913</t>
  </si>
  <si>
    <t>Yodel</t>
  </si>
  <si>
    <t>96 Brown Drive</t>
  </si>
  <si>
    <t>28-003-8065</t>
  </si>
  <si>
    <t>42-579-7177</t>
  </si>
  <si>
    <t>Voonte</t>
  </si>
  <si>
    <t>65 Merry Circle</t>
  </si>
  <si>
    <t>19-021-5024</t>
  </si>
  <si>
    <t>75-369-5047</t>
  </si>
  <si>
    <t>4 Heffernan Lane</t>
  </si>
  <si>
    <t>07-846-4804</t>
  </si>
  <si>
    <t>30-605-2164</t>
  </si>
  <si>
    <t>2 Fair Oaks Pass</t>
  </si>
  <si>
    <t>70-542-4269</t>
  </si>
  <si>
    <t>27-772-7906</t>
  </si>
  <si>
    <t>7 Victoria Hill</t>
  </si>
  <si>
    <t>52-797-6961</t>
  </si>
  <si>
    <t>75-793-8978</t>
  </si>
  <si>
    <t>13799 Quincy Park</t>
  </si>
  <si>
    <t>66-327-2821</t>
  </si>
  <si>
    <t>82-525-7224</t>
  </si>
  <si>
    <t>703 Hermina Center</t>
  </si>
  <si>
    <t>12-093-9863</t>
  </si>
  <si>
    <t>21-416-3796</t>
  </si>
  <si>
    <t>Feednation</t>
  </si>
  <si>
    <t>6748 Mitchell Road</t>
  </si>
  <si>
    <t>08-396-2704</t>
  </si>
  <si>
    <t>94-186-9620</t>
  </si>
  <si>
    <t>160 Crowley Center</t>
  </si>
  <si>
    <t>72-970-0239</t>
  </si>
  <si>
    <t>64-752-3122</t>
  </si>
  <si>
    <t>Divanoodle</t>
  </si>
  <si>
    <t>73966 Pond Trail</t>
  </si>
  <si>
    <t>03-940-0630</t>
  </si>
  <si>
    <t>49-762-8263</t>
  </si>
  <si>
    <t>27408 Burning Wood Street</t>
  </si>
  <si>
    <t>67-130-4114</t>
  </si>
  <si>
    <t>53-718-1768</t>
  </si>
  <si>
    <t>9327 Hanover Way</t>
  </si>
  <si>
    <t>32-270-1385</t>
  </si>
  <si>
    <t>81-072-8266</t>
  </si>
  <si>
    <t>Quaxo</t>
  </si>
  <si>
    <t>0500 Calypso Pass</t>
  </si>
  <si>
    <t>85-510-2915</t>
  </si>
  <si>
    <t>55-134-2668</t>
  </si>
  <si>
    <t>8 Merrick Lane</t>
  </si>
  <si>
    <t>00-842-9790</t>
  </si>
  <si>
    <t>37-079-2530</t>
  </si>
  <si>
    <t>53894 Myrtle Place</t>
  </si>
  <si>
    <t>49-377-9731</t>
  </si>
  <si>
    <t>56-823-5908</t>
  </si>
  <si>
    <t>Livefish</t>
  </si>
  <si>
    <t>3 Meadow Valley Court</t>
  </si>
  <si>
    <t>96-682-8546</t>
  </si>
  <si>
    <t>03-882-3517</t>
  </si>
  <si>
    <t>Kaymbo</t>
  </si>
  <si>
    <t>97 Walton Avenue</t>
  </si>
  <si>
    <t>92-837-8839</t>
  </si>
  <si>
    <t>95-484-3134</t>
  </si>
  <si>
    <t>95 Lerdahl Park</t>
  </si>
  <si>
    <t>68-732-5919</t>
  </si>
  <si>
    <t>07-500-2023</t>
  </si>
  <si>
    <t>56 Bonner Point</t>
  </si>
  <si>
    <t>37-064-7275</t>
  </si>
  <si>
    <t>63-522-2633</t>
  </si>
  <si>
    <t>149 Lawn Way</t>
  </si>
  <si>
    <t>43-193-9915</t>
  </si>
  <si>
    <t>23-931-2988</t>
  </si>
  <si>
    <t>Roodel</t>
  </si>
  <si>
    <t>61 Transport Parkway</t>
  </si>
  <si>
    <t>45-992-5653</t>
  </si>
  <si>
    <t>22-050-5775</t>
  </si>
  <si>
    <t>Jaxworks</t>
  </si>
  <si>
    <t>5 Fisk Point</t>
  </si>
  <si>
    <t>45-852-2446</t>
  </si>
  <si>
    <t>37-567-5710</t>
  </si>
  <si>
    <t>Fanoodle</t>
  </si>
  <si>
    <t>56 Petterle Circle</t>
  </si>
  <si>
    <t>57-394-4703</t>
  </si>
  <si>
    <t>52-130-3457</t>
  </si>
  <si>
    <t>Agivu</t>
  </si>
  <si>
    <t>38 Banding Lane</t>
  </si>
  <si>
    <t>07-679-1199</t>
  </si>
  <si>
    <t>75-406-6250</t>
  </si>
  <si>
    <t>1991 Kropf Way</t>
  </si>
  <si>
    <t>47-221-3391</t>
  </si>
  <si>
    <t>21-450-5520</t>
  </si>
  <si>
    <t>0023 Upham Road</t>
  </si>
  <si>
    <t>80-698-0324</t>
  </si>
  <si>
    <t>98-587-7923</t>
  </si>
  <si>
    <t>Bluejam</t>
  </si>
  <si>
    <t>7 Duke Parkway</t>
  </si>
  <si>
    <t>36-383-3677</t>
  </si>
  <si>
    <t>88-020-6814</t>
  </si>
  <si>
    <t>7 Anzinger Lane</t>
  </si>
  <si>
    <t>42-907-6946</t>
  </si>
  <si>
    <t>32-386-9832</t>
  </si>
  <si>
    <t>093 Anhalt Crossing</t>
  </si>
  <si>
    <t>96-209-1739</t>
  </si>
  <si>
    <t>82-930-7733</t>
  </si>
  <si>
    <t>779 Ridgeway Street</t>
  </si>
  <si>
    <t>36-679-4670</t>
  </si>
  <si>
    <t>60-508-7567</t>
  </si>
  <si>
    <t>Fatz</t>
  </si>
  <si>
    <t>5 Warner Court</t>
  </si>
  <si>
    <t>08-637-9335</t>
  </si>
  <si>
    <t>99-178-0951</t>
  </si>
  <si>
    <t>9 Cardinal Alley</t>
  </si>
  <si>
    <t>56-875-3717</t>
  </si>
  <si>
    <t>39-257-6162</t>
  </si>
  <si>
    <t>32 Cottonwood Pass</t>
  </si>
  <si>
    <t>86-978-6666</t>
  </si>
  <si>
    <t>43-979-2253</t>
  </si>
  <si>
    <t>21343 Brentwood Circle</t>
  </si>
  <si>
    <t>41-475-5305</t>
  </si>
  <si>
    <t>93-900-1170</t>
  </si>
  <si>
    <t>Kwideo</t>
  </si>
  <si>
    <t>88 Hooker Parkway</t>
  </si>
  <si>
    <t>25-911-7736</t>
  </si>
  <si>
    <t>40-180-0752</t>
  </si>
  <si>
    <t>72090 Northfield Place</t>
  </si>
  <si>
    <t>28-433-8533</t>
  </si>
  <si>
    <t>81-694-0300</t>
  </si>
  <si>
    <t>Topicware</t>
  </si>
  <si>
    <t>8 Mayer Trail</t>
  </si>
  <si>
    <t>84-624-0201</t>
  </si>
  <si>
    <t>25-769-3792</t>
  </si>
  <si>
    <t>Skaboo</t>
  </si>
  <si>
    <t>9 Eastlawn Crossing</t>
  </si>
  <si>
    <t>45-634-0679</t>
  </si>
  <si>
    <t>29-542-9338</t>
  </si>
  <si>
    <t>Rhybox</t>
  </si>
  <si>
    <t>9 Anhalt Trail</t>
  </si>
  <si>
    <t>93-014-4256</t>
  </si>
  <si>
    <t>37-599-8579</t>
  </si>
  <si>
    <t>6 Bay Road</t>
  </si>
  <si>
    <t>24-989-3302</t>
  </si>
  <si>
    <t>89-159-0852</t>
  </si>
  <si>
    <t>Eazzy</t>
  </si>
  <si>
    <t>736 Redwing Parkway</t>
  </si>
  <si>
    <t>46-415-8633</t>
  </si>
  <si>
    <t>32-497-0478</t>
  </si>
  <si>
    <t>5 Eggendart Parkway</t>
  </si>
  <si>
    <t>73-117-6105</t>
  </si>
  <si>
    <t>74-729-7466</t>
  </si>
  <si>
    <t>955 4th Road</t>
  </si>
  <si>
    <t>53-710-7630</t>
  </si>
  <si>
    <t>46-171-9624</t>
  </si>
  <si>
    <t>996 Thierer Center</t>
  </si>
  <si>
    <t>10-617-7581</t>
  </si>
  <si>
    <t>86-995-7254</t>
  </si>
  <si>
    <t>0 Lawn Parkway</t>
  </si>
  <si>
    <t>66-312-5511</t>
  </si>
  <si>
    <t>99-553-6838</t>
  </si>
  <si>
    <t>959 Dorton Pass</t>
  </si>
  <si>
    <t>87-423-8486</t>
  </si>
  <si>
    <t>12-947-4739</t>
  </si>
  <si>
    <t>5 Homewood Street</t>
  </si>
  <si>
    <t>64-493-5270</t>
  </si>
  <si>
    <t>36-964-9838</t>
  </si>
  <si>
    <t>4571 Fremont Way</t>
  </si>
  <si>
    <t>31-255-9616</t>
  </si>
  <si>
    <t>11-031-9939</t>
  </si>
  <si>
    <t>9440 Coleman Drive</t>
  </si>
  <si>
    <t>26-799-3714</t>
  </si>
  <si>
    <t>50-877-0990</t>
  </si>
  <si>
    <t>Mymm</t>
  </si>
  <si>
    <t>49225 Homewood Place</t>
  </si>
  <si>
    <t>64-119-7804</t>
  </si>
  <si>
    <t>53-497-9614</t>
  </si>
  <si>
    <t>Jaxbean</t>
  </si>
  <si>
    <t>06584 Mendota Avenue</t>
  </si>
  <si>
    <t>74-181-4135</t>
  </si>
  <si>
    <t>00-487-2428</t>
  </si>
  <si>
    <t>79878 Katie Trail</t>
  </si>
  <si>
    <t>34-369-7712</t>
  </si>
  <si>
    <t>95-241-9348</t>
  </si>
  <si>
    <t>0 Lerdahl Parkway</t>
  </si>
  <si>
    <t>31-157-1822</t>
  </si>
  <si>
    <t>53-998-1422</t>
  </si>
  <si>
    <t>803 Cottonwood Crossing</t>
  </si>
  <si>
    <t>27-459-0724</t>
  </si>
  <si>
    <t>45-331-8563</t>
  </si>
  <si>
    <t>4 Duke Way</t>
  </si>
  <si>
    <t>47-441-7682</t>
  </si>
  <si>
    <t>90-998-1236</t>
  </si>
  <si>
    <t>4247 David Crossing</t>
  </si>
  <si>
    <t>32-676-1026</t>
  </si>
  <si>
    <t>98-155-9583</t>
  </si>
  <si>
    <t>9433 Jenna Lane</t>
  </si>
  <si>
    <t>77-959-1018</t>
  </si>
  <si>
    <t>00-912-3545</t>
  </si>
  <si>
    <t>03 Ryan Circle</t>
  </si>
  <si>
    <t>60-911-3745</t>
  </si>
  <si>
    <t>87-570-0273</t>
  </si>
  <si>
    <t>75054 Ramsey Parkway</t>
  </si>
  <si>
    <t>57-101-0060</t>
  </si>
  <si>
    <t>40-070-5881</t>
  </si>
  <si>
    <t>78919 East Crossing</t>
  </si>
  <si>
    <t>54-758-4622</t>
  </si>
  <si>
    <t>94-903-2643</t>
  </si>
  <si>
    <t>865 Eagle Crest Park</t>
  </si>
  <si>
    <t>92-152-5820</t>
  </si>
  <si>
    <t>50-747-2259</t>
  </si>
  <si>
    <t>0920 Monica Pass</t>
  </si>
  <si>
    <t>44-637-5512</t>
  </si>
  <si>
    <t>27-541-2645</t>
  </si>
  <si>
    <t>00064 Mosinee Circle</t>
  </si>
  <si>
    <t>65-854-9364</t>
  </si>
  <si>
    <t>64-800-4141</t>
  </si>
  <si>
    <t>752 Mccormick Way</t>
  </si>
  <si>
    <t>60-747-8704</t>
  </si>
  <si>
    <t>93-793-4398</t>
  </si>
  <si>
    <t>561 Pennsylvania Way</t>
  </si>
  <si>
    <t>85-835-3445</t>
  </si>
  <si>
    <t>13-433-4930</t>
  </si>
  <si>
    <t>288 Fair Oaks Place</t>
  </si>
  <si>
    <t>66-716-8221</t>
  </si>
  <si>
    <t>67-024-9832</t>
  </si>
  <si>
    <t>54 Weeping Birch Lane</t>
  </si>
  <si>
    <t>01-026-2772</t>
  </si>
  <si>
    <t>20-532-0144</t>
  </si>
  <si>
    <t>3 Bunting Point</t>
  </si>
  <si>
    <t>21-252-1360</t>
  </si>
  <si>
    <t>28-314-1189</t>
  </si>
  <si>
    <t>32 Charing Cross Pass</t>
  </si>
  <si>
    <t>80-039-1261</t>
  </si>
  <si>
    <t>37-994-7932</t>
  </si>
  <si>
    <t>1 Havey Park</t>
  </si>
  <si>
    <t>48-427-0551</t>
  </si>
  <si>
    <t>01-900-4509</t>
  </si>
  <si>
    <t>2 7th Center</t>
  </si>
  <si>
    <t>02-575-1980</t>
  </si>
  <si>
    <t>61-100-8296</t>
  </si>
  <si>
    <t>Yambee</t>
  </si>
  <si>
    <t>34832 Autumn Leaf Terrace</t>
  </si>
  <si>
    <t>61-293-6327</t>
  </si>
  <si>
    <t>00-023-7719</t>
  </si>
  <si>
    <t>4353 Dixon Circle</t>
  </si>
  <si>
    <t>08-519-5579</t>
  </si>
  <si>
    <t>32-178-2765</t>
  </si>
  <si>
    <t>89 Karstens Alley</t>
  </si>
  <si>
    <t>33-670-6797</t>
  </si>
  <si>
    <t>74-032-7560</t>
  </si>
  <si>
    <t>2869 Hudson Drive</t>
  </si>
  <si>
    <t>29-741-8132</t>
  </si>
  <si>
    <t>49-384-4540</t>
  </si>
  <si>
    <t>85 Farwell Parkway</t>
  </si>
  <si>
    <t>89-713-6071</t>
  </si>
  <si>
    <t>84-123-7159</t>
  </si>
  <si>
    <t>60 Dottie Hill</t>
  </si>
  <si>
    <t>00-641-8691</t>
  </si>
  <si>
    <t>34-824-0575</t>
  </si>
  <si>
    <t>797 Mcbride Lane</t>
  </si>
  <si>
    <t>68-977-6854</t>
  </si>
  <si>
    <t>73-830-9633</t>
  </si>
  <si>
    <t>2633 Shasta Alley</t>
  </si>
  <si>
    <t>86-257-4613</t>
  </si>
  <si>
    <t>70-402-4816</t>
  </si>
  <si>
    <t>5 Prentice Pass</t>
  </si>
  <si>
    <t>06-340-6856</t>
  </si>
  <si>
    <t>11-005-7835</t>
  </si>
  <si>
    <t>Podcat</t>
  </si>
  <si>
    <t>84 Rusk Terrace</t>
  </si>
  <si>
    <t>11-338-4598</t>
  </si>
  <si>
    <t>72-360-6358</t>
  </si>
  <si>
    <t>9067 Valley Edge Park</t>
  </si>
  <si>
    <t>82-711-0772</t>
  </si>
  <si>
    <t>78-877-1866</t>
  </si>
  <si>
    <t>463 Oxford Crossing</t>
  </si>
  <si>
    <t>05-184-4175</t>
  </si>
  <si>
    <t>31-676-5646</t>
  </si>
  <si>
    <t>57 Di Loreto Circle</t>
  </si>
  <si>
    <t>17-274-6898</t>
  </si>
  <si>
    <t>34-738-1209</t>
  </si>
  <si>
    <t>657 Texas Street</t>
  </si>
  <si>
    <t>79-569-8856</t>
  </si>
  <si>
    <t>04-854-7165</t>
  </si>
  <si>
    <t>03643 Oakridge Lane</t>
  </si>
  <si>
    <t>00-534-9775</t>
  </si>
  <si>
    <t>79-955-6260</t>
  </si>
  <si>
    <t>68 Dakota Center</t>
  </si>
  <si>
    <t>94-071-2261</t>
  </si>
  <si>
    <t>25-706-2146</t>
  </si>
  <si>
    <t>2004 Cody Plaza</t>
  </si>
  <si>
    <t>94-355-3070</t>
  </si>
  <si>
    <t>73-393-9432</t>
  </si>
  <si>
    <t>116 Spaight Park</t>
  </si>
  <si>
    <t>17-265-1899</t>
  </si>
  <si>
    <t>61-793-0279</t>
  </si>
  <si>
    <t>4826 Drewry Center</t>
  </si>
  <si>
    <t>13-888-0149</t>
  </si>
  <si>
    <t>09-902-6272</t>
  </si>
  <si>
    <t>1 Logan Road</t>
  </si>
  <si>
    <t>21-890-2826</t>
  </si>
  <si>
    <t>32-371-1686</t>
  </si>
  <si>
    <t>84 Hoffman Way</t>
  </si>
  <si>
    <t>05-425-0746</t>
  </si>
  <si>
    <t>23-450-0301</t>
  </si>
  <si>
    <t>49884 Brickson Park Plaza</t>
  </si>
  <si>
    <t>88-807-8431</t>
  </si>
  <si>
    <t>66-563-9462</t>
  </si>
  <si>
    <t>2 Russell Alley</t>
  </si>
  <si>
    <t>77-377-1659</t>
  </si>
  <si>
    <t>64-674-3902</t>
  </si>
  <si>
    <t>6 Acker Street</t>
  </si>
  <si>
    <t>92-362-3567</t>
  </si>
  <si>
    <t>40-056-7748</t>
  </si>
  <si>
    <t>826 Melvin Pass</t>
  </si>
  <si>
    <t>99-961-0767</t>
  </si>
  <si>
    <t>78-954-5649</t>
  </si>
  <si>
    <t>Tambee</t>
  </si>
  <si>
    <t>40113 Blaine Place</t>
  </si>
  <si>
    <t>94-092-3355</t>
  </si>
  <si>
    <t>76-641-2070</t>
  </si>
  <si>
    <t>929 Thierer Lane</t>
  </si>
  <si>
    <t>29-344-3658</t>
  </si>
  <si>
    <t>33-546-5056</t>
  </si>
  <si>
    <t>7 Talmadge Street</t>
  </si>
  <si>
    <t>60-327-4114</t>
  </si>
  <si>
    <t>59-968-8346</t>
  </si>
  <si>
    <t>3 Bellgrove Way</t>
  </si>
  <si>
    <t>13-409-9040</t>
  </si>
  <si>
    <t>34-303-5097</t>
  </si>
  <si>
    <t>Jazzy</t>
  </si>
  <si>
    <t>9623 Cottonwood Park</t>
  </si>
  <si>
    <t>75-927-9108</t>
  </si>
  <si>
    <t>27-406-7972</t>
  </si>
  <si>
    <t>43 Washington Street</t>
  </si>
  <si>
    <t>30-806-3823</t>
  </si>
  <si>
    <t>36-451-3173</t>
  </si>
  <si>
    <t>07 Pankratz Point</t>
  </si>
  <si>
    <t>65-780-5622</t>
  </si>
  <si>
    <t>69-460-9770</t>
  </si>
  <si>
    <t>65 Forster Way</t>
  </si>
  <si>
    <t>94-598-3383</t>
  </si>
  <si>
    <t>39-488-0039</t>
  </si>
  <si>
    <t>7403 Fuller Hill</t>
  </si>
  <si>
    <t>45-250-4679</t>
  </si>
  <si>
    <t>80-328-4990</t>
  </si>
  <si>
    <t>49148 Meadow Ridge Way</t>
  </si>
  <si>
    <t>45-317-9731</t>
  </si>
  <si>
    <t>05-779-0378</t>
  </si>
  <si>
    <t>Wordware</t>
  </si>
  <si>
    <t>70156 7th Junction</t>
  </si>
  <si>
    <t>41-131-3841</t>
  </si>
  <si>
    <t>55-269-1746</t>
  </si>
  <si>
    <t>16 Fair Oaks Pass</t>
  </si>
  <si>
    <t>15-905-7750</t>
  </si>
  <si>
    <t>48-176-1622</t>
  </si>
  <si>
    <t>36687 Maple Avenue</t>
  </si>
  <si>
    <t>68-973-8812</t>
  </si>
  <si>
    <t>31-955-7362</t>
  </si>
  <si>
    <t>55 Cherokee Circle</t>
  </si>
  <si>
    <t>49-570-8214</t>
  </si>
  <si>
    <t>17-345-5800</t>
  </si>
  <si>
    <t>1823 Elgar Park</t>
  </si>
  <si>
    <t>57-779-4955</t>
  </si>
  <si>
    <t>84-869-9980</t>
  </si>
  <si>
    <t>38436 Anthes Way</t>
  </si>
  <si>
    <t>85-781-5386</t>
  </si>
  <si>
    <t>89-439-6947</t>
  </si>
  <si>
    <t>10577 Thierer Plaza</t>
  </si>
  <si>
    <t>72-341-1154</t>
  </si>
  <si>
    <t>84-090-6472</t>
  </si>
  <si>
    <t>8682 Golf Course Junction</t>
  </si>
  <si>
    <t>28-986-8001</t>
  </si>
  <si>
    <t>37-281-2537</t>
  </si>
  <si>
    <t>4 Old Shore Avenue</t>
  </si>
  <si>
    <t>82-811-7988</t>
  </si>
  <si>
    <t>41-772-9238</t>
  </si>
  <si>
    <t>65 Chinook Circle</t>
  </si>
  <si>
    <t>27-495-1912</t>
  </si>
  <si>
    <t>34-667-8907</t>
  </si>
  <si>
    <t>Thoughtbridge</t>
  </si>
  <si>
    <t>12710 Gulseth Circle</t>
  </si>
  <si>
    <t>44-480-9446</t>
  </si>
  <si>
    <t>35-000-6015</t>
  </si>
  <si>
    <t>43591 East Road</t>
  </si>
  <si>
    <t>77-937-1108</t>
  </si>
  <si>
    <t>41-007-0132</t>
  </si>
  <si>
    <t>01 Hansons Crossing</t>
  </si>
  <si>
    <t>82-538-4809</t>
  </si>
  <si>
    <t>74-357-2990</t>
  </si>
  <si>
    <t>700 Northland Crossing</t>
  </si>
  <si>
    <t>69-895-3397</t>
  </si>
  <si>
    <t>02-575-2074</t>
  </si>
  <si>
    <t>98 Melody Street</t>
  </si>
  <si>
    <t>44-112-3331</t>
  </si>
  <si>
    <t>90-453-4096</t>
  </si>
  <si>
    <t>63787 Arkansas Street</t>
  </si>
  <si>
    <t>93-682-2069</t>
  </si>
  <si>
    <t>60-038-7810</t>
  </si>
  <si>
    <t>2718 Londonderry Plaza</t>
  </si>
  <si>
    <t>49-199-6836</t>
  </si>
  <si>
    <t>81-999-7392</t>
  </si>
  <si>
    <t>77 Brown Circle</t>
  </si>
  <si>
    <t>47-221-2470</t>
  </si>
  <si>
    <t>30-780-7583</t>
  </si>
  <si>
    <t>Teklist</t>
  </si>
  <si>
    <t>60 Messerschmidt Pass</t>
  </si>
  <si>
    <t>71-067-3278</t>
  </si>
  <si>
    <t>76-797-9430</t>
  </si>
  <si>
    <t>5521 Wayridge Center</t>
  </si>
  <si>
    <t>89-388-3239</t>
  </si>
  <si>
    <t>28-521-7083</t>
  </si>
  <si>
    <t>4346 Columbus Way</t>
  </si>
  <si>
    <t>10-555-5971</t>
  </si>
  <si>
    <t>30-410-3509</t>
  </si>
  <si>
    <t>8425 New Castle Parkway</t>
  </si>
  <si>
    <t>82-931-7126</t>
  </si>
  <si>
    <t>67-596-1997</t>
  </si>
  <si>
    <t>856 School Plaza</t>
  </si>
  <si>
    <t>24-228-6840</t>
  </si>
  <si>
    <t>26-280-5472</t>
  </si>
  <si>
    <t>Myworks</t>
  </si>
  <si>
    <t>68241 Hanson Circle</t>
  </si>
  <si>
    <t>52-392-5312</t>
  </si>
  <si>
    <t>78-092-4768</t>
  </si>
  <si>
    <t>336 Old Shore Lane</t>
  </si>
  <si>
    <t>36-531-4087</t>
  </si>
  <si>
    <t>83-172-5527</t>
  </si>
  <si>
    <t>2 Columbus Drive</t>
  </si>
  <si>
    <t>39-810-2042</t>
  </si>
  <si>
    <t>65-620-9866</t>
  </si>
  <si>
    <t>47817 Oneill Park</t>
  </si>
  <si>
    <t>55-164-7723</t>
  </si>
  <si>
    <t>85-454-9252</t>
  </si>
  <si>
    <t>6410 Northwestern Pass</t>
  </si>
  <si>
    <t>61-680-9496</t>
  </si>
  <si>
    <t>75-448-1356</t>
  </si>
  <si>
    <t>2 Northridge Street</t>
  </si>
  <si>
    <t>24-143-4957</t>
  </si>
  <si>
    <t>29-968-4976</t>
  </si>
  <si>
    <t>685 Independence Junction</t>
  </si>
  <si>
    <t>26-456-1992</t>
  </si>
  <si>
    <t>60-159-3514</t>
  </si>
  <si>
    <t>1792 Crownhardt Street</t>
  </si>
  <si>
    <t>62-998-7250</t>
  </si>
  <si>
    <t>72-002-3904</t>
  </si>
  <si>
    <t>9171 Redwing Street</t>
  </si>
  <si>
    <t>38-617-7226</t>
  </si>
  <si>
    <t>91-215-9838</t>
  </si>
  <si>
    <t>33145 Butterfield Avenue</t>
  </si>
  <si>
    <t>00-366-9496</t>
  </si>
  <si>
    <t>40-515-1141</t>
  </si>
  <si>
    <t>898 Rowland Trail</t>
  </si>
  <si>
    <t>76-027-4850</t>
  </si>
  <si>
    <t>75-256-5638</t>
  </si>
  <si>
    <t>425 Shasta Terrace</t>
  </si>
  <si>
    <t>27-269-5260</t>
  </si>
  <si>
    <t>54-724-8610</t>
  </si>
  <si>
    <t>1661 Springview Terrace</t>
  </si>
  <si>
    <t>40-126-0515</t>
  </si>
  <si>
    <t>78-379-0369</t>
  </si>
  <si>
    <t>28351 Cascade Plaza</t>
  </si>
  <si>
    <t>31-387-5020</t>
  </si>
  <si>
    <t>02-811-7933</t>
  </si>
  <si>
    <t>854 Kipling Point</t>
  </si>
  <si>
    <t>13-673-7016</t>
  </si>
  <si>
    <t>78-726-6352</t>
  </si>
  <si>
    <t>04 Hagan Crossing</t>
  </si>
  <si>
    <t>85-212-2729</t>
  </si>
  <si>
    <t>58-226-6435</t>
  </si>
  <si>
    <t>93 Longview Junction</t>
  </si>
  <si>
    <t>99-048-8310</t>
  </si>
  <si>
    <t>70-453-8646</t>
  </si>
  <si>
    <t>43 Lakewood Junction</t>
  </si>
  <si>
    <t>19-112-1616</t>
  </si>
  <si>
    <t>55-251-3001</t>
  </si>
  <si>
    <t>7698 Logan Drive</t>
  </si>
  <si>
    <t>98-546-7398</t>
  </si>
  <si>
    <t>37-921-2953</t>
  </si>
  <si>
    <t>Thoughtworks</t>
  </si>
  <si>
    <t>15658 Talisman Lane</t>
  </si>
  <si>
    <t>63-874-9747</t>
  </si>
  <si>
    <t>22-506-4911</t>
  </si>
  <si>
    <t>183 Buell Park</t>
  </si>
  <si>
    <t>58-946-5152</t>
  </si>
  <si>
    <t>42-201-4328</t>
  </si>
  <si>
    <t>06 Lake View Trail</t>
  </si>
  <si>
    <t>65-867-4029</t>
  </si>
  <si>
    <t>70-591-9841</t>
  </si>
  <si>
    <t>36124 Carberry Junction</t>
  </si>
  <si>
    <t>89-328-9019</t>
  </si>
  <si>
    <t>63-057-0462</t>
  </si>
  <si>
    <t>33774 Carberry Circle</t>
  </si>
  <si>
    <t>02-170-5225</t>
  </si>
  <si>
    <t>90-940-9550</t>
  </si>
  <si>
    <t>36 Bobwhite Parkway</t>
  </si>
  <si>
    <t>24-478-8277</t>
  </si>
  <si>
    <t>64-070-7611</t>
  </si>
  <si>
    <t>55276 Golf Hill</t>
  </si>
  <si>
    <t>91-290-9062</t>
  </si>
  <si>
    <t>95-609-1485</t>
  </si>
  <si>
    <t>9821 Novick Hill</t>
  </si>
  <si>
    <t>44-546-5713</t>
  </si>
  <si>
    <t>61-382-5182</t>
  </si>
  <si>
    <t>832 Goodland Alley</t>
  </si>
  <si>
    <t>20-031-0532</t>
  </si>
  <si>
    <t>35-835-8848</t>
  </si>
  <si>
    <t>8239 Laurel Way</t>
  </si>
  <si>
    <t>48-242-8445</t>
  </si>
  <si>
    <t>84-941-3034</t>
  </si>
  <si>
    <t>29 Vera Drive</t>
  </si>
  <si>
    <t>33-378-1365</t>
  </si>
  <si>
    <t>31-483-9201</t>
  </si>
  <si>
    <t>23560 Talmadge Center</t>
  </si>
  <si>
    <t>57-763-5501</t>
  </si>
  <si>
    <t>25-790-1641</t>
  </si>
  <si>
    <t>46 Colorado Place</t>
  </si>
  <si>
    <t>71-015-9181</t>
  </si>
  <si>
    <t>56-196-9896</t>
  </si>
  <si>
    <t>62238 Mallory Place</t>
  </si>
  <si>
    <t>14-115-8371</t>
  </si>
  <si>
    <t>80-833-3051</t>
  </si>
  <si>
    <t>40 Cody Pass</t>
  </si>
  <si>
    <t>83-568-3475</t>
  </si>
  <si>
    <t>10-950-0546</t>
  </si>
  <si>
    <t>29150 Farmco Crossing</t>
  </si>
  <si>
    <t>79-884-8810</t>
  </si>
  <si>
    <t>14-108-0409</t>
  </si>
  <si>
    <t>546 Declaration Place</t>
  </si>
  <si>
    <t>50-772-2613</t>
  </si>
  <si>
    <t>74-619-4608</t>
  </si>
  <si>
    <t>7 Lunder Hill</t>
  </si>
  <si>
    <t>19-377-5021</t>
  </si>
  <si>
    <t>34-014-5873</t>
  </si>
  <si>
    <t>884 Sloan Drive</t>
  </si>
  <si>
    <t>39-913-2999</t>
  </si>
  <si>
    <t>74-119-8973</t>
  </si>
  <si>
    <t>15 Oriole Park</t>
  </si>
  <si>
    <t>46-911-1159</t>
  </si>
  <si>
    <t>30-820-2883</t>
  </si>
  <si>
    <t>9171 Norway Maple Trail</t>
  </si>
  <si>
    <t>40-630-1431</t>
  </si>
  <si>
    <t>61-040-9004</t>
  </si>
  <si>
    <t>8119 Homewood Drive</t>
  </si>
  <si>
    <t>15-797-4824</t>
  </si>
  <si>
    <t>46-830-4835</t>
  </si>
  <si>
    <t>Mudo</t>
  </si>
  <si>
    <t>25923 Loeprich Junction</t>
  </si>
  <si>
    <t>37-248-6266</t>
  </si>
  <si>
    <t>75-553-7424</t>
  </si>
  <si>
    <t>7051 Calypso Place</t>
  </si>
  <si>
    <t>22-760-4605</t>
  </si>
  <si>
    <t>01-495-9336</t>
  </si>
  <si>
    <t>09264 Forest Dale Drive</t>
  </si>
  <si>
    <t>80-020-8041</t>
  </si>
  <si>
    <t>66-684-1941</t>
  </si>
  <si>
    <t>662 Vernon Point</t>
  </si>
  <si>
    <t>44-634-8292</t>
  </si>
  <si>
    <t>48-557-5036</t>
  </si>
  <si>
    <t>46 Orin Drive</t>
  </si>
  <si>
    <t>19-610-2236</t>
  </si>
  <si>
    <t>53-799-3174</t>
  </si>
  <si>
    <t>8524 Shelley Way</t>
  </si>
  <si>
    <t>49-579-4325</t>
  </si>
  <si>
    <t>98-558-5813</t>
  </si>
  <si>
    <t>6 Anniversary Circle</t>
  </si>
  <si>
    <t>42-134-9798</t>
  </si>
  <si>
    <t>16-869-7328</t>
  </si>
  <si>
    <t>0087 Bluejay Plaza</t>
  </si>
  <si>
    <t>84-546-7624</t>
  </si>
  <si>
    <t>34-730-9079</t>
  </si>
  <si>
    <t>61057 Hallows Junction</t>
  </si>
  <si>
    <t>11-891-8213</t>
  </si>
  <si>
    <t>25-741-5987</t>
  </si>
  <si>
    <t>13 Westport Hill</t>
  </si>
  <si>
    <t>03-597-9488</t>
  </si>
  <si>
    <t>03-983-0515</t>
  </si>
  <si>
    <t>53 Lawn Circle</t>
  </si>
  <si>
    <t>89-624-7462</t>
  </si>
  <si>
    <t>39-506-2186</t>
  </si>
  <si>
    <t>25 Drewry Alley</t>
  </si>
  <si>
    <t>89-335-0155</t>
  </si>
  <si>
    <t>83-780-4531</t>
  </si>
  <si>
    <t>9 Kipling Road</t>
  </si>
  <si>
    <t>59-725-4038</t>
  </si>
  <si>
    <t>39-055-1703</t>
  </si>
  <si>
    <t>Zoozzy</t>
  </si>
  <si>
    <t>697 Hoepker Center</t>
  </si>
  <si>
    <t>78-953-2073</t>
  </si>
  <si>
    <t>28-465-9141</t>
  </si>
  <si>
    <t>085 Reinke Pass</t>
  </si>
  <si>
    <t>91-426-3204</t>
  </si>
  <si>
    <t>86-184-4829</t>
  </si>
  <si>
    <t>269 Dakota Trail</t>
  </si>
  <si>
    <t>40-913-9772</t>
  </si>
  <si>
    <t>51-215-2283</t>
  </si>
  <si>
    <t>553 Hooker Trail</t>
  </si>
  <si>
    <t>89-922-4773</t>
  </si>
  <si>
    <t>99-455-0707</t>
  </si>
  <si>
    <t>11 Thackeray Hill</t>
  </si>
  <si>
    <t>17-236-0566</t>
  </si>
  <si>
    <t>32-402-9679</t>
  </si>
  <si>
    <t>803 5th Alley</t>
  </si>
  <si>
    <t>74-234-0628</t>
  </si>
  <si>
    <t>49-559-7092</t>
  </si>
  <si>
    <t>2 Veith Crossing</t>
  </si>
  <si>
    <t>80-441-7249</t>
  </si>
  <si>
    <t>35-979-6839</t>
  </si>
  <si>
    <t>652 High Crossing Lane</t>
  </si>
  <si>
    <t>54-708-7327</t>
  </si>
  <si>
    <t>46-316-6919</t>
  </si>
  <si>
    <t>8182 Hazelcrest Place</t>
  </si>
  <si>
    <t>15-846-7959</t>
  </si>
  <si>
    <t>47-026-0505</t>
  </si>
  <si>
    <t>6251 Eliot Hill</t>
  </si>
  <si>
    <t>44-368-7112</t>
  </si>
  <si>
    <t>85-978-7855</t>
  </si>
  <si>
    <t>82 Hintze Court</t>
  </si>
  <si>
    <t>03-833-3577</t>
  </si>
  <si>
    <t>87-032-6971</t>
  </si>
  <si>
    <t>38 Killdeer Point</t>
  </si>
  <si>
    <t>47-548-6500</t>
  </si>
  <si>
    <t>27-061-4764</t>
  </si>
  <si>
    <t>06 Shopko Pass</t>
  </si>
  <si>
    <t>12-342-4482</t>
  </si>
  <si>
    <t>71-300-8176</t>
  </si>
  <si>
    <t>374 Blue Bill Park Point</t>
  </si>
  <si>
    <t>07-834-3320</t>
  </si>
  <si>
    <t>47-831-9154</t>
  </si>
  <si>
    <t>79 Monterey Avenue</t>
  </si>
  <si>
    <t>16-187-5729</t>
  </si>
  <si>
    <t>79-366-7207</t>
  </si>
  <si>
    <t>Zoombeat</t>
  </si>
  <si>
    <t>22555 Macpherson Plaza</t>
  </si>
  <si>
    <t>64-109-7362</t>
  </si>
  <si>
    <t>38-603-6412</t>
  </si>
  <si>
    <t>7 Harper Drive</t>
  </si>
  <si>
    <t>06-655-5498</t>
  </si>
  <si>
    <t>89-574-3430</t>
  </si>
  <si>
    <t>8569 Bashford Court</t>
  </si>
  <si>
    <t>24-975-4231</t>
  </si>
  <si>
    <t>99-145-4924</t>
  </si>
  <si>
    <t>62494 Longview Drive</t>
  </si>
  <si>
    <t>98-652-9569</t>
  </si>
  <si>
    <t>65-160-1426</t>
  </si>
  <si>
    <t>Ooba</t>
  </si>
  <si>
    <t>32 6th Lane</t>
  </si>
  <si>
    <t>25-522-6043</t>
  </si>
  <si>
    <t>29-122-7037</t>
  </si>
  <si>
    <t>890 Eggendart Pass</t>
  </si>
  <si>
    <t>28-275-5901</t>
  </si>
  <si>
    <t>44-760-4337</t>
  </si>
  <si>
    <t>4 Doe Crossing Avenue</t>
  </si>
  <si>
    <t>96-164-0607</t>
  </si>
  <si>
    <t>15-655-3923</t>
  </si>
  <si>
    <t>1275 Lawn Center</t>
  </si>
  <si>
    <t>93-815-0565</t>
  </si>
  <si>
    <t>56-422-1480</t>
  </si>
  <si>
    <t>8868 Armistice Place</t>
  </si>
  <si>
    <t>63-918-8253</t>
  </si>
  <si>
    <t>94-157-1762</t>
  </si>
  <si>
    <t>917 Westerfield Terrace</t>
  </si>
  <si>
    <t>57-167-0669</t>
  </si>
  <si>
    <t>30-934-3251</t>
  </si>
  <si>
    <t>1005 Lyons Junction</t>
  </si>
  <si>
    <t>52-402-9245</t>
  </si>
  <si>
    <t>37-519-7762</t>
  </si>
  <si>
    <t>185 Stone Corner Parkway</t>
  </si>
  <si>
    <t>17-647-0503</t>
  </si>
  <si>
    <t>69-416-9493</t>
  </si>
  <si>
    <t>0 Village Green Street</t>
  </si>
  <si>
    <t>67-984-5368</t>
  </si>
  <si>
    <t>39-714-7313</t>
  </si>
  <si>
    <t>Yakidoo</t>
  </si>
  <si>
    <t>0 Fordem Place</t>
  </si>
  <si>
    <t>77-827-0820</t>
  </si>
  <si>
    <t>46-590-7639</t>
  </si>
  <si>
    <t>8851 Superior Park</t>
  </si>
  <si>
    <t>27-387-0428</t>
  </si>
  <si>
    <t>62-312-2748</t>
  </si>
  <si>
    <t>1715 Dottie Pass</t>
  </si>
  <si>
    <t>79-350-5841</t>
  </si>
  <si>
    <t>81-676-3345</t>
  </si>
  <si>
    <t>75 Cascade Avenue</t>
  </si>
  <si>
    <t>44-128-2185</t>
  </si>
  <si>
    <t>79-091-7381</t>
  </si>
  <si>
    <t>012 Mockingbird Court</t>
  </si>
  <si>
    <t>48-789-9187</t>
  </si>
  <si>
    <t>95-944-5323</t>
  </si>
  <si>
    <t>41 Stephen Crossing</t>
  </si>
  <si>
    <t>21-809-7115</t>
  </si>
  <si>
    <t>57-774-4116</t>
  </si>
  <si>
    <t>3053 Sachs Center</t>
  </si>
  <si>
    <t>19-323-0506</t>
  </si>
  <si>
    <t>28-977-3789</t>
  </si>
  <si>
    <t>5 Ohio Lane</t>
  </si>
  <si>
    <t>04-637-8815</t>
  </si>
  <si>
    <t>60-959-6355</t>
  </si>
  <si>
    <t>537 Maple Alley</t>
  </si>
  <si>
    <t>60-644-6596</t>
  </si>
  <si>
    <t>32-745-8366</t>
  </si>
  <si>
    <t>22 Hudson Pass</t>
  </si>
  <si>
    <t>58-005-5343</t>
  </si>
  <si>
    <t>83-401-2709</t>
  </si>
  <si>
    <t>43211 Lakeland Place</t>
  </si>
  <si>
    <t>67-382-4435</t>
  </si>
  <si>
    <t>49-901-0828</t>
  </si>
  <si>
    <t>Fivespan</t>
  </si>
  <si>
    <t>92 Bartelt Terrace</t>
  </si>
  <si>
    <t>09-335-7793</t>
  </si>
  <si>
    <t>96-918-7047</t>
  </si>
  <si>
    <t>5649 Vidon Plaza</t>
  </si>
  <si>
    <t>46-496-2930</t>
  </si>
  <si>
    <t>29-295-9755</t>
  </si>
  <si>
    <t>156 Golf Course Alley</t>
  </si>
  <si>
    <t>35-353-4068</t>
  </si>
  <si>
    <t>44-199-6832</t>
  </si>
  <si>
    <t>8583 Northwestern Terrace</t>
  </si>
  <si>
    <t>45-050-4720</t>
  </si>
  <si>
    <t>98-791-5014</t>
  </si>
  <si>
    <t>7 Ridge Oak Pass</t>
  </si>
  <si>
    <t>87-104-0187</t>
  </si>
  <si>
    <t>41-881-1166</t>
  </si>
  <si>
    <t>0 Moose Lane</t>
  </si>
  <si>
    <t>85-806-8672</t>
  </si>
  <si>
    <t>44-646-7502</t>
  </si>
  <si>
    <t>24 South Trail</t>
  </si>
  <si>
    <t>54-281-3746</t>
  </si>
  <si>
    <t>08-824-4585</t>
  </si>
  <si>
    <t>00 Ridgeway Plaza</t>
  </si>
  <si>
    <t>35-257-9312</t>
  </si>
  <si>
    <t>35-927-4986</t>
  </si>
  <si>
    <t>9463 Northland Court</t>
  </si>
  <si>
    <t>63-897-8088</t>
  </si>
  <si>
    <t>82-313-4469</t>
  </si>
  <si>
    <t>7944 Elgar Alley</t>
  </si>
  <si>
    <t>24-986-5091</t>
  </si>
  <si>
    <t>51-076-1164</t>
  </si>
  <si>
    <t>88 Lighthouse Bay Crossing</t>
  </si>
  <si>
    <t>17-504-3699</t>
  </si>
  <si>
    <t>81-276-8218</t>
  </si>
  <si>
    <t>18 Daystar Parkway</t>
  </si>
  <si>
    <t>23-395-3157</t>
  </si>
  <si>
    <t>48-538-8538</t>
  </si>
  <si>
    <t>74 Sugar Plaza</t>
  </si>
  <si>
    <t>28-107-4953</t>
  </si>
  <si>
    <t>01-165-8830</t>
  </si>
  <si>
    <t>Babbleblab</t>
  </si>
  <si>
    <t>29755 Daystar Street</t>
  </si>
  <si>
    <t>46-083-7058</t>
  </si>
  <si>
    <t>26-730-0925</t>
  </si>
  <si>
    <t>21530 Prentice Place</t>
  </si>
  <si>
    <t>68-436-1268</t>
  </si>
  <si>
    <t>10-694-6636</t>
  </si>
  <si>
    <t>1 Mockingbird Parkway</t>
  </si>
  <si>
    <t>93-198-5984</t>
  </si>
  <si>
    <t>86-441-7850</t>
  </si>
  <si>
    <t>54706 Prairieview Point</t>
  </si>
  <si>
    <t>24-571-1080</t>
  </si>
  <si>
    <t>07-520-1107</t>
  </si>
  <si>
    <t>5325 Milwaukee Lane</t>
  </si>
  <si>
    <t>73-874-7534</t>
  </si>
  <si>
    <t>12-566-2563</t>
  </si>
  <si>
    <t>901 Norway Maple Crossing</t>
  </si>
  <si>
    <t>07-337-9889</t>
  </si>
  <si>
    <t>84-949-8378</t>
  </si>
  <si>
    <t>4 Loomis Way</t>
  </si>
  <si>
    <t>28-197-9246</t>
  </si>
  <si>
    <t>31-281-2352</t>
  </si>
  <si>
    <t>8499 Hanover Terrace</t>
  </si>
  <si>
    <t>83-400-9746</t>
  </si>
  <si>
    <t>02-510-0629</t>
  </si>
  <si>
    <t>40 Merchant Terrace</t>
  </si>
  <si>
    <t>24-579-6500</t>
  </si>
  <si>
    <t>60-309-5783</t>
  </si>
  <si>
    <t>4 Stang Place</t>
  </si>
  <si>
    <t>64-418-8356</t>
  </si>
  <si>
    <t>91-451-2016</t>
  </si>
  <si>
    <t>1 Green Hill</t>
  </si>
  <si>
    <t>15-884-7413</t>
  </si>
  <si>
    <t>39-412-7454</t>
  </si>
  <si>
    <t>6225 Westend Pass</t>
  </si>
  <si>
    <t>79-494-2472</t>
  </si>
  <si>
    <t>04-391-8892</t>
  </si>
  <si>
    <t>1615 Bellgrove Crossing</t>
  </si>
  <si>
    <t>36-177-0573</t>
  </si>
  <si>
    <t>62-687-0951</t>
  </si>
  <si>
    <t>35 Portage Road</t>
  </si>
  <si>
    <t>79-920-2395</t>
  </si>
  <si>
    <t>70-825-7341</t>
  </si>
  <si>
    <t>911 Merry Junction</t>
  </si>
  <si>
    <t>96-961-2193</t>
  </si>
  <si>
    <t>71-467-4910</t>
  </si>
  <si>
    <t>Babbleset</t>
  </si>
  <si>
    <t>63578 Butternut Hill</t>
  </si>
  <si>
    <t>69-578-7930</t>
  </si>
  <si>
    <t>37-728-5274</t>
  </si>
  <si>
    <t>83291 Hansons Crossing</t>
  </si>
  <si>
    <t>40-205-8252</t>
  </si>
  <si>
    <t>68-493-0378</t>
  </si>
  <si>
    <t>883 Marcy Place</t>
  </si>
  <si>
    <t>18-107-7886</t>
  </si>
  <si>
    <t>11-466-3182</t>
  </si>
  <si>
    <t>55309 6th Junction</t>
  </si>
  <si>
    <t>35-328-8392</t>
  </si>
  <si>
    <t>52-340-4509</t>
  </si>
  <si>
    <t>09 Londonderry Hill</t>
  </si>
  <si>
    <t>21-650-9319</t>
  </si>
  <si>
    <t>73-445-3017</t>
  </si>
  <si>
    <t>4 Hagan Court</t>
  </si>
  <si>
    <t>99-894-4351</t>
  </si>
  <si>
    <t>45-602-6533</t>
  </si>
  <si>
    <t>185 Saint Paul Road</t>
  </si>
  <si>
    <t>63-168-6018</t>
  </si>
  <si>
    <t>01-853-2191</t>
  </si>
  <si>
    <t>0847 Artisan Hill</t>
  </si>
  <si>
    <t>26-000-1012</t>
  </si>
  <si>
    <t>60-284-1974</t>
  </si>
  <si>
    <t>3 Bayside Point</t>
  </si>
  <si>
    <t>13-900-9016</t>
  </si>
  <si>
    <t>63-969-9608</t>
  </si>
  <si>
    <t>Meetz</t>
  </si>
  <si>
    <t>521 Burning Wood Trail</t>
  </si>
  <si>
    <t>88-408-0310</t>
  </si>
  <si>
    <t>91-002-3027</t>
  </si>
  <si>
    <t>5 Mesta Center</t>
  </si>
  <si>
    <t>73-997-6251</t>
  </si>
  <si>
    <t>17-167-4304</t>
  </si>
  <si>
    <t>1666 Dayton Terrace</t>
  </si>
  <si>
    <t>50-679-2072</t>
  </si>
  <si>
    <t>81-588-5701</t>
  </si>
  <si>
    <t>20 Butterfield Lane</t>
  </si>
  <si>
    <t>89-673-1543</t>
  </si>
  <si>
    <t>43-679-7350</t>
  </si>
  <si>
    <t>297 Petterle Way</t>
  </si>
  <si>
    <t>56-937-8675</t>
  </si>
  <si>
    <t>37-996-3243</t>
  </si>
  <si>
    <t>Trilith</t>
  </si>
  <si>
    <t>668 Claremont Place</t>
  </si>
  <si>
    <t>14-836-2894</t>
  </si>
  <si>
    <t>82-157-4299</t>
  </si>
  <si>
    <t>2 Hooker Terrace</t>
  </si>
  <si>
    <t>87-903-3486</t>
  </si>
  <si>
    <t>90-378-8463</t>
  </si>
  <si>
    <t>99 Twin Pines Alley</t>
  </si>
  <si>
    <t>07-617-6934</t>
  </si>
  <si>
    <t>48-700-8059</t>
  </si>
  <si>
    <t>9262 Sullivan Crossing</t>
  </si>
  <si>
    <t>31-403-6234</t>
  </si>
  <si>
    <t>00-258-2525</t>
  </si>
  <si>
    <t>35 Waxwing Center</t>
  </si>
  <si>
    <t>29-092-3453</t>
  </si>
  <si>
    <t>41-867-9911</t>
  </si>
  <si>
    <t>676 Redwing Trail</t>
  </si>
  <si>
    <t>34-709-9237</t>
  </si>
  <si>
    <t>66-680-8738</t>
  </si>
  <si>
    <t>1509 Hoard Circle</t>
  </si>
  <si>
    <t>13-962-6263</t>
  </si>
  <si>
    <t>26-061-5253</t>
  </si>
  <si>
    <t>7015 Ramsey Lane</t>
  </si>
  <si>
    <t>06-731-2162</t>
  </si>
  <si>
    <t>17-546-8875</t>
  </si>
  <si>
    <t>30968 Anzinger Court</t>
  </si>
  <si>
    <t>10-768-2443</t>
  </si>
  <si>
    <t>44-451-2764</t>
  </si>
  <si>
    <t>4 Orin Lane</t>
  </si>
  <si>
    <t>36-372-2295</t>
  </si>
  <si>
    <t>85-823-7428</t>
  </si>
  <si>
    <t>98 Bartillon Trail</t>
  </si>
  <si>
    <t>34-538-1180</t>
  </si>
  <si>
    <t>40-907-4937</t>
  </si>
  <si>
    <t>19 Aberg Trail</t>
  </si>
  <si>
    <t>98-148-0940</t>
  </si>
  <si>
    <t>06-175-9657</t>
  </si>
  <si>
    <t>588 Waywood Trail</t>
  </si>
  <si>
    <t>38-390-2115</t>
  </si>
  <si>
    <t>12-433-6490</t>
  </si>
  <si>
    <t>3 Del Mar Point</t>
  </si>
  <si>
    <t>02-974-8526</t>
  </si>
  <si>
    <t>09-387-1119</t>
  </si>
  <si>
    <t>42 Green Ridge Terrace</t>
  </si>
  <si>
    <t>29-377-7040</t>
  </si>
  <si>
    <t>59-979-6740</t>
  </si>
  <si>
    <t>9431 Clarendon Pass</t>
  </si>
  <si>
    <t>84-327-7787</t>
  </si>
  <si>
    <t>97-571-0561</t>
  </si>
  <si>
    <t>739 Rowland Way</t>
  </si>
  <si>
    <t>82-231-4245</t>
  </si>
  <si>
    <t>96-177-4040</t>
  </si>
  <si>
    <t>77 Monument Court</t>
  </si>
  <si>
    <t>70-005-5970</t>
  </si>
  <si>
    <t>18-490-4140</t>
  </si>
  <si>
    <t>82955 Dayton Street</t>
  </si>
  <si>
    <t>63-936-0145</t>
  </si>
  <si>
    <t>69-415-3675</t>
  </si>
  <si>
    <t>95 Kingsford Terrace</t>
  </si>
  <si>
    <t>08-196-2703</t>
  </si>
  <si>
    <t>34-315-1199</t>
  </si>
  <si>
    <t>56 Esker Park</t>
  </si>
  <si>
    <t>22-778-3553</t>
  </si>
  <si>
    <t>49-590-1752</t>
  </si>
  <si>
    <t>0782 Dapin Avenue</t>
  </si>
  <si>
    <t>37-610-1999</t>
  </si>
  <si>
    <t>19-985-9694</t>
  </si>
  <si>
    <t>3 John Wall Point</t>
  </si>
  <si>
    <t>09-618-2842</t>
  </si>
  <si>
    <t>68-415-1025</t>
  </si>
  <si>
    <t>642 Arizona Point</t>
  </si>
  <si>
    <t>28-968-4195</t>
  </si>
  <si>
    <t>17-562-1176</t>
  </si>
  <si>
    <t>5 Loftsgordon Trail</t>
  </si>
  <si>
    <t>55-680-0982</t>
  </si>
  <si>
    <t>57-412-5368</t>
  </si>
  <si>
    <t>0 Sutteridge Trail</t>
  </si>
  <si>
    <t>43-851-9440</t>
  </si>
  <si>
    <t>67-674-0287</t>
  </si>
  <si>
    <t>4033 Sloan Hill</t>
  </si>
  <si>
    <t>14-331-3739</t>
  </si>
  <si>
    <t>87-159-6467</t>
  </si>
  <si>
    <t>8 Thackeray Drive</t>
  </si>
  <si>
    <t>54-830-6971</t>
  </si>
  <si>
    <t>94-006-6480</t>
  </si>
  <si>
    <t>674 Ryan Alley</t>
  </si>
  <si>
    <t>53-008-2419</t>
  </si>
  <si>
    <t>86-841-6074</t>
  </si>
  <si>
    <t>63 Debra Park</t>
  </si>
  <si>
    <t>39-358-3340</t>
  </si>
  <si>
    <t>86-841-4440</t>
  </si>
  <si>
    <t>308 Doe Crossing Pass</t>
  </si>
  <si>
    <t>28-146-2641</t>
  </si>
  <si>
    <t>82-995-0739</t>
  </si>
  <si>
    <t>73 Graedel Street</t>
  </si>
  <si>
    <t>83-556-0996</t>
  </si>
  <si>
    <t>81-234-0741</t>
  </si>
  <si>
    <t>53 Forest Run Plaza</t>
  </si>
  <si>
    <t>53-805-9523</t>
  </si>
  <si>
    <t>99-864-0256</t>
  </si>
  <si>
    <t>94 Mallory Center</t>
  </si>
  <si>
    <t>82-977-7752</t>
  </si>
  <si>
    <t>57-473-8672</t>
  </si>
  <si>
    <t>58 Corscot Terrace</t>
  </si>
  <si>
    <t>62-393-9939</t>
  </si>
  <si>
    <t>93-877-9384</t>
  </si>
  <si>
    <t>Gabcube</t>
  </si>
  <si>
    <t>5 Oxford Pass</t>
  </si>
  <si>
    <t>31-745-6850</t>
  </si>
  <si>
    <t>96-215-2767</t>
  </si>
  <si>
    <t>081 Jana Lane</t>
  </si>
  <si>
    <t>86-692-2312</t>
  </si>
  <si>
    <t>77-783-4107</t>
  </si>
  <si>
    <t>00616 Manitowish Parkway</t>
  </si>
  <si>
    <t>28-044-4102</t>
  </si>
  <si>
    <t>93-358-1118</t>
  </si>
  <si>
    <t>309 Burning Wood Center</t>
  </si>
  <si>
    <t>Catagory</t>
  </si>
  <si>
    <t>Date_Received</t>
  </si>
  <si>
    <t>? 4.50</t>
  </si>
  <si>
    <t>? 20.00</t>
  </si>
  <si>
    <t>? 6.00</t>
  </si>
  <si>
    <t>? 1.50</t>
  </si>
  <si>
    <t>? 4.00</t>
  </si>
  <si>
    <t>? 1.75</t>
  </si>
  <si>
    <t>? 2.50</t>
  </si>
  <si>
    <t>? 3.00</t>
  </si>
  <si>
    <t>? 1.00</t>
  </si>
  <si>
    <t>? 1.60</t>
  </si>
  <si>
    <t>? 2.00</t>
  </si>
  <si>
    <t>? 7.00</t>
  </si>
  <si>
    <t>? 8.00</t>
  </si>
  <si>
    <t>? 12.00</t>
  </si>
  <si>
    <t>? 0.80</t>
  </si>
  <si>
    <t>? 5.00</t>
  </si>
  <si>
    <t>? 3.50</t>
  </si>
  <si>
    <t>? 30.00</t>
  </si>
  <si>
    <t>? 9.00</t>
  </si>
  <si>
    <t>? 3.45</t>
  </si>
  <si>
    <t>? 2.30</t>
  </si>
  <si>
    <t>? 15.00</t>
  </si>
  <si>
    <t>? 3.40</t>
  </si>
  <si>
    <t>? 2.90</t>
  </si>
  <si>
    <t>? 4.45</t>
  </si>
  <si>
    <t>? 25.00</t>
  </si>
  <si>
    <t>? 1.80</t>
  </si>
  <si>
    <t>? 1.20</t>
  </si>
  <si>
    <t>? 2.40</t>
  </si>
  <si>
    <t>? 10.00</t>
  </si>
  <si>
    <t>? 4.75</t>
  </si>
  <si>
    <t>? 3.20</t>
  </si>
  <si>
    <t>? 9.50</t>
  </si>
  <si>
    <t>? 98.43</t>
  </si>
  <si>
    <t>? 6.10</t>
  </si>
  <si>
    <t>? 3.85</t>
  </si>
  <si>
    <t>? 4.30</t>
  </si>
  <si>
    <t>? 21.00</t>
  </si>
  <si>
    <t>? 4.20</t>
  </si>
  <si>
    <t>? 18.00</t>
  </si>
  <si>
    <t>? 8.10</t>
  </si>
  <si>
    <t>? 31.00</t>
  </si>
  <si>
    <t>? 6.50</t>
  </si>
  <si>
    <t>? 6.15</t>
  </si>
  <si>
    <t>? 4.80</t>
  </si>
  <si>
    <t>? 2.75</t>
  </si>
  <si>
    <t>? 12.50</t>
  </si>
  <si>
    <t>? 2.80</t>
  </si>
  <si>
    <t>? 51.17</t>
  </si>
  <si>
    <t>? 25.50</t>
  </si>
  <si>
    <t>? 4.25</t>
  </si>
  <si>
    <t>? 5.90</t>
  </si>
  <si>
    <t>? 7.20</t>
  </si>
  <si>
    <t>? 7.50</t>
  </si>
  <si>
    <t>? 4.60</t>
  </si>
  <si>
    <t>? 3.10</t>
  </si>
  <si>
    <t>? 9.20</t>
  </si>
  <si>
    <t>? 5.50</t>
  </si>
  <si>
    <t>? 10.50</t>
  </si>
  <si>
    <t>? 11.50</t>
  </si>
  <si>
    <t>? 7.60</t>
  </si>
  <si>
    <t>? 3.90</t>
  </si>
  <si>
    <t>? 2.45</t>
  </si>
  <si>
    <t>? 53.82</t>
  </si>
  <si>
    <t>? 4.70</t>
  </si>
  <si>
    <t>? 8.90</t>
  </si>
  <si>
    <t>? 2.85</t>
  </si>
  <si>
    <t>? 1.90</t>
  </si>
  <si>
    <t>? 8.50</t>
  </si>
  <si>
    <t>? 6.20</t>
  </si>
  <si>
    <t>? 2.10</t>
  </si>
  <si>
    <t>? 6.70</t>
  </si>
  <si>
    <t>? 15.31</t>
  </si>
  <si>
    <t>? 15.50</t>
  </si>
  <si>
    <t>? 11.80</t>
  </si>
  <si>
    <t>? 1.70</t>
  </si>
  <si>
    <t>? 4.10</t>
  </si>
  <si>
    <t>? 25.30</t>
  </si>
  <si>
    <t>? 4.40</t>
  </si>
  <si>
    <t>? 1.45</t>
  </si>
  <si>
    <t>? 0.90</t>
  </si>
  <si>
    <t>? 30.50</t>
  </si>
  <si>
    <t>? 2.55</t>
  </si>
  <si>
    <t>? 2.48</t>
  </si>
  <si>
    <t>? 10.30</t>
  </si>
  <si>
    <t>? 2.95</t>
  </si>
  <si>
    <t>? 2.65</t>
  </si>
  <si>
    <t>? 5.70</t>
  </si>
  <si>
    <t>? 0.20</t>
  </si>
  <si>
    <t>? 7.10</t>
  </si>
  <si>
    <t>? 13.99</t>
  </si>
  <si>
    <t>? 2.35</t>
  </si>
  <si>
    <t>? 4.35</t>
  </si>
  <si>
    <t>? 5.80</t>
  </si>
  <si>
    <t>? 6.25</t>
  </si>
  <si>
    <t>? 5.20</t>
  </si>
  <si>
    <t>? 66.55</t>
  </si>
  <si>
    <t>? 42.58</t>
  </si>
  <si>
    <t>? 2.70</t>
  </si>
  <si>
    <t>? 6.35</t>
  </si>
  <si>
    <t>? 5.30</t>
  </si>
  <si>
    <t>? 6.30</t>
  </si>
  <si>
    <t>? 9.75</t>
  </si>
  <si>
    <t>? 14.90</t>
  </si>
  <si>
    <t>? 6.80</t>
  </si>
  <si>
    <t>? 25.25</t>
  </si>
  <si>
    <t>? 11.90</t>
  </si>
  <si>
    <t>? 3.25</t>
  </si>
  <si>
    <t>? 4.90</t>
  </si>
  <si>
    <t>? 20.50</t>
  </si>
  <si>
    <t>? 11.60</t>
  </si>
  <si>
    <t>? 2.52</t>
  </si>
  <si>
    <t>Product Name</t>
  </si>
  <si>
    <t>Unit Price</t>
  </si>
  <si>
    <t>Price Category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</si>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</sst>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"/>
  </numFmts>
  <fonts count="5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8"/>
      <color theme="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2" fontId="1" fillId="2" borderId="0" xfId="0" applyNumberFormat="1" applyFont="1" applyFill="1"/>
    <xf numFmtId="2" fontId="2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/>
    <xf numFmtId="14" fontId="0" fillId="0" borderId="0" xfId="0" applyNumberFormat="1"/>
    <xf numFmtId="165" fontId="0" fillId="0" borderId="0" xfId="0" applyNumberFormat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3" xfId="0" applyFill="1" applyBorder="1" applyAlignment="1"/>
    <xf numFmtId="0" fontId="0" fillId="0" borderId="4" xfId="0" applyFill="1" applyBorder="1" applyAlignment="1"/>
    <xf numFmtId="0" fontId="0" fillId="0" borderId="5" xfId="0" applyFill="1" applyBorder="1" applyAlignment="1"/>
    <xf numFmtId="0" fontId="0" fillId="0" borderId="6" xfId="0" applyFill="1" applyBorder="1" applyAlignment="1"/>
    <xf numFmtId="0" fontId="0" fillId="0" borderId="7" xfId="0" applyFill="1" applyBorder="1" applyAlignment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2" borderId="0" xfId="0" applyFill="1"/>
    <xf numFmtId="2" fontId="4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3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3" tint="0.749992370372631"/>
        </patternFill>
      </fill>
    </dxf>
    <dxf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&quot;₹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&quot;₹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89305-C6AD-428C-BF99-19FC8501D86D}" name="Table1" displayName="Table1" ref="A1:U991" totalsRowShown="0" headerRowDxfId="6" dataDxfId="10">
  <tableColumns count="21">
    <tableColumn id="1" xr3:uid="{6D641861-9816-46D4-BFAE-AA44CB1162E6}" name="Product_ID" dataDxfId="25"/>
    <tableColumn id="2" xr3:uid="{9FEE4E81-6A37-4AAB-9EBE-A8BDF4AF3E8E}" name="Product_Name" dataDxfId="2"/>
    <tableColumn id="3" xr3:uid="{E4393AC5-9D30-4779-8855-8678FADACBD8}" name="Category" dataDxfId="0"/>
    <tableColumn id="4" xr3:uid="{AA8C97C0-31AF-48BF-96A3-93A2548EDB48}" name="Supplier_ID" dataDxfId="1"/>
    <tableColumn id="5" xr3:uid="{CDDD279A-79B9-4B84-B68D-F7BF0CEEB0BA}" name="Supplier_Name" dataDxfId="24"/>
    <tableColumn id="6" xr3:uid="{420143D5-5DC0-457E-AC3E-BFD013CF1F7B}" name="Stock_Quantity" dataDxfId="23"/>
    <tableColumn id="7" xr3:uid="{6004CC7B-A5BE-4E9E-9F8C-946CF50E7D56}" name="Reorder_Level" dataDxfId="22"/>
    <tableColumn id="8" xr3:uid="{B4C2F517-7646-474E-9FA8-0C42ADA1B703}" name="Reorder_Quantity" dataDxfId="21"/>
    <tableColumn id="9" xr3:uid="{82E63929-F9AD-45C3-8A18-08EFD74B86C2}" name="Unit_Price" dataDxfId="20"/>
    <tableColumn id="10" xr3:uid="{02B5FB10-D078-4575-9039-2AD6A704BFC5}" name="Total Stock Value" dataDxfId="5">
      <calculatedColumnFormula>I2*F2</calculatedColumnFormula>
    </tableColumn>
    <tableColumn id="11" xr3:uid="{8C2DE031-C209-400A-ADCE-DF9B5DBA50DE}" name="Stock Status" dataDxfId="3">
      <calculatedColumnFormula>IF(F2&lt;=G2,"Low Stock_Reorder Needed","Stock_Sufficient")</calculatedColumnFormula>
    </tableColumn>
    <tableColumn id="12" xr3:uid="{960EAAF2-1F87-4113-ABF8-C0623B6D3072}" name="Reorder cost" dataDxfId="4">
      <calculatedColumnFormula>H2*I2</calculatedColumnFormula>
    </tableColumn>
    <tableColumn id="13" xr3:uid="{58995C55-C2F0-4E65-B20C-C7D05737D462}" name="Received_Date" dataDxfId="19"/>
    <tableColumn id="14" xr3:uid="{C030603C-821C-4934-94A0-0C6182CC009F}" name="Last_Order_Date" dataDxfId="18"/>
    <tableColumn id="15" xr3:uid="{CF2169DB-8750-4D1B-BA54-895EDE78881F}" name="Expiration_Date" dataDxfId="17"/>
    <tableColumn id="16" xr3:uid="{D5EDDFD0-9985-4D9A-A799-C706BB9A59E1}" name="Warehouse_Location" dataDxfId="16"/>
    <tableColumn id="17" xr3:uid="{1BD0E564-ACF2-4887-91E2-91BD8165C5F6}" name="Sales_Volume" dataDxfId="15"/>
    <tableColumn id="18" xr3:uid="{75281B43-4AB3-41D7-AFCB-D3CD27CCFE72}" name="Revenue" dataDxfId="14">
      <calculatedColumnFormula>Q2*I2</calculatedColumnFormula>
    </tableColumn>
    <tableColumn id="19" xr3:uid="{678D7973-173C-46F0-B02F-0087D3118B37}" name="Inventory_Turnover_Rate" dataDxfId="13"/>
    <tableColumn id="20" xr3:uid="{0B032FC1-2CBF-4B27-8674-7D6948B2BE03}" name="Status" dataDxfId="12"/>
    <tableColumn id="21" xr3:uid="{D3CFD2FE-E071-40B1-BF58-B1011789D3D5}" name="Profit Margin" dataDxfId="11">
      <calculatedColumnFormula>R2-J2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E05184-8650-4746-8F40-E79435FE0F97}" name="Table2" displayName="Table2" ref="A1:F991" totalsRowShown="0" headerRowDxfId="7">
  <autoFilter ref="A1:F991" xr:uid="{D9E05184-8650-4746-8F40-E79435FE0F97}"/>
  <tableColumns count="6">
    <tableColumn id="1" xr3:uid="{4E3FB5BB-1423-457F-A404-53125F51BA00}" name="Product_ID" dataDxfId="9"/>
    <tableColumn id="2" xr3:uid="{7C6A5298-9C90-4C8C-AA4E-E47C93A3C999}" name="Product Name">
      <calculatedColumnFormula>_xlfn.XLOOKUP(A2,'Grocery and sales Data'!$A$1:$A$991,'Grocery and sales Data'!$B$1:$B$991)</calculatedColumnFormula>
    </tableColumn>
    <tableColumn id="3" xr3:uid="{15EDE9ED-0C8A-496B-AE89-B17CBFED31D0}" name="Category">
      <calculatedColumnFormula>_xlfn.XLOOKUP(A2,'Grocery and sales Data'!$A$1:$A$991,'Grocery and sales Data'!$C$1:$C$991)</calculatedColumnFormula>
    </tableColumn>
    <tableColumn id="4" xr3:uid="{8FC62B59-F67F-4D35-8791-373F673B18BE}" name="Unit Price" dataDxfId="8">
      <calculatedColumnFormula>_xlfn.XLOOKUP(A2,'Grocery and sales Data'!$A$1:$A$991,'Grocery and sales Data'!$I$1:$I$991)</calculatedColumnFormula>
    </tableColumn>
    <tableColumn id="5" xr3:uid="{671C7997-A587-4CFE-B583-F4107C477130}" name="Revenue">
      <calculatedColumnFormula>_xlfn.XLOOKUP(A2,'Grocery and sales Data'!$A$1:$A$991,'Grocery and sales Data'!$R$1:$R$991)</calculatedColumnFormula>
    </tableColumn>
    <tableColumn id="6" xr3:uid="{0557B9B9-787A-4EE3-9918-81C932720876}" name="Price Category">
      <calculatedColumnFormula>IF(E2&gt;=1000,"High",IF(E2&gt;=100,"Medium","Low"))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6B040-08F7-4AB9-8047-6A7689A16695}">
  <dimension ref="A1:P991"/>
  <sheetViews>
    <sheetView workbookViewId="0">
      <selection activeCell="K9" sqref="K9"/>
    </sheetView>
  </sheetViews>
  <sheetFormatPr defaultRowHeight="14.5" x14ac:dyDescent="0.35"/>
  <cols>
    <col min="10" max="10" width="13" bestFit="1" customWidth="1"/>
    <col min="11" max="11" width="14.54296875" bestFit="1" customWidth="1"/>
    <col min="12" max="12" width="13.6328125" bestFit="1" customWidth="1"/>
    <col min="13" max="13" width="27.26953125" bestFit="1" customWidth="1"/>
  </cols>
  <sheetData>
    <row r="1" spans="1:16" x14ac:dyDescent="0.35">
      <c r="A1" t="s">
        <v>0</v>
      </c>
      <c r="B1" t="s">
        <v>1</v>
      </c>
      <c r="C1" t="s">
        <v>3472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3473</v>
      </c>
      <c r="K1" t="s">
        <v>13</v>
      </c>
      <c r="L1" t="s">
        <v>14</v>
      </c>
      <c r="M1" t="s">
        <v>15</v>
      </c>
      <c r="N1" t="s">
        <v>16</v>
      </c>
      <c r="O1" t="s">
        <v>18</v>
      </c>
      <c r="P1" t="s">
        <v>19</v>
      </c>
    </row>
    <row r="2" spans="1:16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22</v>
      </c>
      <c r="G2">
        <v>72</v>
      </c>
      <c r="H2">
        <v>70</v>
      </c>
      <c r="I2" t="s">
        <v>3474</v>
      </c>
      <c r="J2" s="8">
        <v>45520</v>
      </c>
      <c r="K2" s="8">
        <v>45472</v>
      </c>
      <c r="L2" s="8">
        <v>45554</v>
      </c>
      <c r="M2" t="s">
        <v>26</v>
      </c>
      <c r="N2">
        <v>32</v>
      </c>
      <c r="O2">
        <v>19</v>
      </c>
      <c r="P2" t="s">
        <v>27</v>
      </c>
    </row>
    <row r="3" spans="1:16" x14ac:dyDescent="0.35">
      <c r="A3" t="s">
        <v>28</v>
      </c>
      <c r="B3" t="s">
        <v>29</v>
      </c>
      <c r="C3" t="s">
        <v>30</v>
      </c>
      <c r="D3" t="s">
        <v>31</v>
      </c>
      <c r="E3" t="s">
        <v>32</v>
      </c>
      <c r="F3">
        <v>45</v>
      </c>
      <c r="G3">
        <v>77</v>
      </c>
      <c r="H3">
        <v>2</v>
      </c>
      <c r="I3" t="s">
        <v>3475</v>
      </c>
      <c r="J3" s="8">
        <v>45597</v>
      </c>
      <c r="K3" s="8">
        <v>45441</v>
      </c>
      <c r="L3" s="8">
        <v>45420</v>
      </c>
      <c r="M3" t="s">
        <v>33</v>
      </c>
      <c r="N3">
        <v>85</v>
      </c>
      <c r="O3">
        <v>1</v>
      </c>
      <c r="P3" t="s">
        <v>27</v>
      </c>
    </row>
    <row r="4" spans="1:16" x14ac:dyDescent="0.35">
      <c r="A4" t="s">
        <v>34</v>
      </c>
      <c r="B4" t="s">
        <v>35</v>
      </c>
      <c r="C4" t="s">
        <v>23</v>
      </c>
      <c r="D4" t="s">
        <v>36</v>
      </c>
      <c r="E4" t="s">
        <v>37</v>
      </c>
      <c r="F4">
        <v>30</v>
      </c>
      <c r="G4">
        <v>38</v>
      </c>
      <c r="H4">
        <v>83</v>
      </c>
      <c r="I4" t="s">
        <v>3476</v>
      </c>
      <c r="J4" s="8">
        <v>45507</v>
      </c>
      <c r="K4" s="8">
        <v>45453</v>
      </c>
      <c r="L4" s="8">
        <v>45557</v>
      </c>
      <c r="M4" t="s">
        <v>38</v>
      </c>
      <c r="N4">
        <v>31</v>
      </c>
      <c r="O4">
        <v>34</v>
      </c>
      <c r="P4" t="s">
        <v>39</v>
      </c>
    </row>
    <row r="5" spans="1:16" x14ac:dyDescent="0.35">
      <c r="A5" t="s">
        <v>40</v>
      </c>
      <c r="B5" t="s">
        <v>41</v>
      </c>
      <c r="C5" t="s">
        <v>23</v>
      </c>
      <c r="D5" t="s">
        <v>42</v>
      </c>
      <c r="E5" t="s">
        <v>43</v>
      </c>
      <c r="F5">
        <v>12</v>
      </c>
      <c r="G5">
        <v>59</v>
      </c>
      <c r="H5">
        <v>62</v>
      </c>
      <c r="I5" t="s">
        <v>3477</v>
      </c>
      <c r="J5" s="8">
        <v>45634</v>
      </c>
      <c r="K5" s="8">
        <v>45707</v>
      </c>
      <c r="L5" s="8">
        <v>45399</v>
      </c>
      <c r="M5" t="s">
        <v>44</v>
      </c>
      <c r="N5">
        <v>95</v>
      </c>
      <c r="O5">
        <v>99</v>
      </c>
      <c r="P5" t="s">
        <v>45</v>
      </c>
    </row>
    <row r="6" spans="1:16" x14ac:dyDescent="0.35">
      <c r="A6" t="s">
        <v>46</v>
      </c>
      <c r="B6" t="s">
        <v>47</v>
      </c>
      <c r="C6" t="s">
        <v>48</v>
      </c>
      <c r="D6" t="s">
        <v>49</v>
      </c>
      <c r="E6" t="s">
        <v>50</v>
      </c>
      <c r="F6">
        <v>37</v>
      </c>
      <c r="G6">
        <v>30</v>
      </c>
      <c r="H6">
        <v>74</v>
      </c>
      <c r="I6" t="s">
        <v>3478</v>
      </c>
      <c r="J6" s="8">
        <v>45476</v>
      </c>
      <c r="K6" s="8">
        <v>45576</v>
      </c>
      <c r="L6" s="8">
        <v>45570</v>
      </c>
      <c r="M6" t="s">
        <v>51</v>
      </c>
      <c r="N6">
        <v>62</v>
      </c>
      <c r="O6">
        <v>25</v>
      </c>
      <c r="P6" t="s">
        <v>39</v>
      </c>
    </row>
    <row r="7" spans="1:16" x14ac:dyDescent="0.35">
      <c r="A7" t="s">
        <v>52</v>
      </c>
      <c r="B7" t="s">
        <v>53</v>
      </c>
      <c r="C7" t="s">
        <v>23</v>
      </c>
      <c r="D7" t="s">
        <v>54</v>
      </c>
      <c r="E7" t="s">
        <v>55</v>
      </c>
      <c r="F7">
        <v>55</v>
      </c>
      <c r="G7">
        <v>33</v>
      </c>
      <c r="H7">
        <v>14</v>
      </c>
      <c r="I7" t="s">
        <v>3479</v>
      </c>
      <c r="J7" s="8">
        <v>45629</v>
      </c>
      <c r="K7" s="8">
        <v>45438</v>
      </c>
      <c r="L7" s="8">
        <v>45540</v>
      </c>
      <c r="M7" t="s">
        <v>56</v>
      </c>
      <c r="N7">
        <v>34</v>
      </c>
      <c r="O7">
        <v>62</v>
      </c>
      <c r="P7" t="s">
        <v>27</v>
      </c>
    </row>
    <row r="8" spans="1:16" x14ac:dyDescent="0.35">
      <c r="A8" t="s">
        <v>57</v>
      </c>
      <c r="B8" t="s">
        <v>58</v>
      </c>
      <c r="C8" t="s">
        <v>59</v>
      </c>
      <c r="D8" t="s">
        <v>60</v>
      </c>
      <c r="E8" t="s">
        <v>61</v>
      </c>
      <c r="F8">
        <v>96</v>
      </c>
      <c r="G8">
        <v>52</v>
      </c>
      <c r="H8">
        <v>16</v>
      </c>
      <c r="I8" t="s">
        <v>3480</v>
      </c>
      <c r="J8" s="8">
        <v>45369</v>
      </c>
      <c r="K8" s="8">
        <v>45419</v>
      </c>
      <c r="L8" s="8">
        <v>45463</v>
      </c>
      <c r="M8" t="s">
        <v>62</v>
      </c>
      <c r="N8">
        <v>67</v>
      </c>
      <c r="O8">
        <v>13</v>
      </c>
      <c r="P8" t="s">
        <v>45</v>
      </c>
    </row>
    <row r="9" spans="1:16" x14ac:dyDescent="0.35">
      <c r="A9" t="s">
        <v>63</v>
      </c>
      <c r="B9" t="s">
        <v>64</v>
      </c>
      <c r="C9" t="s">
        <v>65</v>
      </c>
      <c r="D9" t="s">
        <v>66</v>
      </c>
      <c r="E9" t="s">
        <v>67</v>
      </c>
      <c r="F9">
        <v>44</v>
      </c>
      <c r="G9">
        <v>90</v>
      </c>
      <c r="H9">
        <v>17</v>
      </c>
      <c r="I9" t="s">
        <v>3480</v>
      </c>
      <c r="J9" s="8">
        <v>45691</v>
      </c>
      <c r="K9" s="8">
        <v>45391</v>
      </c>
      <c r="L9" s="8">
        <v>45693</v>
      </c>
      <c r="M9" t="s">
        <v>68</v>
      </c>
      <c r="N9">
        <v>21</v>
      </c>
      <c r="O9">
        <v>91</v>
      </c>
      <c r="P9" t="s">
        <v>27</v>
      </c>
    </row>
    <row r="10" spans="1:16" x14ac:dyDescent="0.35">
      <c r="A10" t="s">
        <v>69</v>
      </c>
      <c r="B10" t="s">
        <v>70</v>
      </c>
      <c r="C10" t="s">
        <v>65</v>
      </c>
      <c r="D10" t="s">
        <v>71</v>
      </c>
      <c r="E10" t="s">
        <v>72</v>
      </c>
      <c r="F10">
        <v>91</v>
      </c>
      <c r="G10">
        <v>84</v>
      </c>
      <c r="H10">
        <v>11</v>
      </c>
      <c r="I10" t="s">
        <v>3481</v>
      </c>
      <c r="J10" s="8">
        <v>45630</v>
      </c>
      <c r="K10" s="8">
        <v>45445</v>
      </c>
      <c r="L10" s="8">
        <v>45665</v>
      </c>
      <c r="M10" t="s">
        <v>73</v>
      </c>
      <c r="N10">
        <v>56</v>
      </c>
      <c r="O10">
        <v>90</v>
      </c>
      <c r="P10" t="s">
        <v>45</v>
      </c>
    </row>
    <row r="11" spans="1:16" x14ac:dyDescent="0.35">
      <c r="A11" t="s">
        <v>74</v>
      </c>
      <c r="B11" t="s">
        <v>75</v>
      </c>
      <c r="C11" t="s">
        <v>65</v>
      </c>
      <c r="D11" t="s">
        <v>76</v>
      </c>
      <c r="E11" t="s">
        <v>77</v>
      </c>
      <c r="F11">
        <v>43</v>
      </c>
      <c r="G11">
        <v>10</v>
      </c>
      <c r="H11">
        <v>15</v>
      </c>
      <c r="I11" t="s">
        <v>3482</v>
      </c>
      <c r="J11" s="8">
        <v>45614</v>
      </c>
      <c r="K11" s="8">
        <v>45610</v>
      </c>
      <c r="L11" s="8">
        <v>45481</v>
      </c>
      <c r="M11" t="s">
        <v>78</v>
      </c>
      <c r="N11">
        <v>27</v>
      </c>
      <c r="O11">
        <v>69</v>
      </c>
      <c r="P11" t="s">
        <v>45</v>
      </c>
    </row>
    <row r="12" spans="1:16" x14ac:dyDescent="0.35">
      <c r="A12" t="s">
        <v>79</v>
      </c>
      <c r="B12" t="s">
        <v>41</v>
      </c>
      <c r="C12" t="s">
        <v>23</v>
      </c>
      <c r="D12" t="s">
        <v>80</v>
      </c>
      <c r="E12" t="s">
        <v>81</v>
      </c>
      <c r="F12">
        <v>62</v>
      </c>
      <c r="G12">
        <v>81</v>
      </c>
      <c r="H12">
        <v>91</v>
      </c>
      <c r="I12" t="s">
        <v>3483</v>
      </c>
      <c r="J12" s="8">
        <v>45644</v>
      </c>
      <c r="K12" s="8">
        <v>45436</v>
      </c>
      <c r="L12" s="8">
        <v>45664</v>
      </c>
      <c r="M12" t="s">
        <v>82</v>
      </c>
      <c r="N12">
        <v>100</v>
      </c>
      <c r="O12">
        <v>42</v>
      </c>
      <c r="P12" t="s">
        <v>27</v>
      </c>
    </row>
    <row r="13" spans="1:16" x14ac:dyDescent="0.35">
      <c r="A13" t="s">
        <v>83</v>
      </c>
      <c r="B13" t="s">
        <v>84</v>
      </c>
      <c r="C13" t="s">
        <v>23</v>
      </c>
      <c r="D13" t="s">
        <v>85</v>
      </c>
      <c r="E13" t="s">
        <v>86</v>
      </c>
      <c r="F13">
        <v>91</v>
      </c>
      <c r="G13">
        <v>98</v>
      </c>
      <c r="H13">
        <v>6</v>
      </c>
      <c r="I13" t="s">
        <v>3484</v>
      </c>
      <c r="J13" s="8">
        <v>45584</v>
      </c>
      <c r="K13" s="8">
        <v>45637</v>
      </c>
      <c r="L13" s="8">
        <v>45579</v>
      </c>
      <c r="M13" t="s">
        <v>87</v>
      </c>
      <c r="N13">
        <v>100</v>
      </c>
      <c r="O13">
        <v>20</v>
      </c>
      <c r="P13" t="s">
        <v>39</v>
      </c>
    </row>
    <row r="14" spans="1:16" x14ac:dyDescent="0.35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>
        <v>26</v>
      </c>
      <c r="G14">
        <v>79</v>
      </c>
      <c r="H14">
        <v>31</v>
      </c>
      <c r="I14" t="s">
        <v>3481</v>
      </c>
      <c r="J14" s="8">
        <v>45639</v>
      </c>
      <c r="K14" s="8">
        <v>45697</v>
      </c>
      <c r="L14" s="8">
        <v>45491</v>
      </c>
      <c r="M14" t="s">
        <v>93</v>
      </c>
      <c r="N14">
        <v>47</v>
      </c>
      <c r="O14">
        <v>41</v>
      </c>
      <c r="P14" t="s">
        <v>27</v>
      </c>
    </row>
    <row r="15" spans="1:16" x14ac:dyDescent="0.35">
      <c r="A15" t="s">
        <v>94</v>
      </c>
      <c r="B15" t="s">
        <v>47</v>
      </c>
      <c r="C15" t="s">
        <v>48</v>
      </c>
      <c r="D15" t="s">
        <v>95</v>
      </c>
      <c r="E15" t="s">
        <v>96</v>
      </c>
      <c r="F15">
        <v>95</v>
      </c>
      <c r="G15">
        <v>50</v>
      </c>
      <c r="H15">
        <v>76</v>
      </c>
      <c r="I15" t="s">
        <v>3478</v>
      </c>
      <c r="J15" s="8">
        <v>45387</v>
      </c>
      <c r="K15" s="8">
        <v>45556</v>
      </c>
      <c r="L15" s="8">
        <v>45418</v>
      </c>
      <c r="M15" t="s">
        <v>97</v>
      </c>
      <c r="N15">
        <v>69</v>
      </c>
      <c r="O15">
        <v>5</v>
      </c>
      <c r="P15" t="s">
        <v>45</v>
      </c>
    </row>
    <row r="16" spans="1:16" x14ac:dyDescent="0.35">
      <c r="A16" t="s">
        <v>98</v>
      </c>
      <c r="B16" t="s">
        <v>99</v>
      </c>
      <c r="C16" t="s">
        <v>48</v>
      </c>
      <c r="D16" t="s">
        <v>100</v>
      </c>
      <c r="E16" t="s">
        <v>101</v>
      </c>
      <c r="F16">
        <v>54</v>
      </c>
      <c r="G16">
        <v>26</v>
      </c>
      <c r="H16">
        <v>16</v>
      </c>
      <c r="I16" t="s">
        <v>3476</v>
      </c>
      <c r="J16" s="8">
        <v>45362</v>
      </c>
      <c r="K16" s="8">
        <v>45473</v>
      </c>
      <c r="L16" s="8">
        <v>45457</v>
      </c>
      <c r="M16" t="s">
        <v>102</v>
      </c>
      <c r="N16">
        <v>63</v>
      </c>
      <c r="O16">
        <v>97</v>
      </c>
      <c r="P16" t="s">
        <v>45</v>
      </c>
    </row>
    <row r="17" spans="1:16" x14ac:dyDescent="0.35">
      <c r="A17" t="s">
        <v>103</v>
      </c>
      <c r="B17" t="s">
        <v>104</v>
      </c>
      <c r="C17" t="s">
        <v>65</v>
      </c>
      <c r="D17" t="s">
        <v>105</v>
      </c>
      <c r="E17" t="s">
        <v>106</v>
      </c>
      <c r="F17">
        <v>94</v>
      </c>
      <c r="G17">
        <v>13</v>
      </c>
      <c r="H17">
        <v>15</v>
      </c>
      <c r="I17" t="s">
        <v>3485</v>
      </c>
      <c r="J17" s="8">
        <v>45349</v>
      </c>
      <c r="K17" s="8">
        <v>45384</v>
      </c>
      <c r="L17" s="8">
        <v>45570</v>
      </c>
      <c r="M17" t="s">
        <v>107</v>
      </c>
      <c r="N17">
        <v>20</v>
      </c>
      <c r="O17">
        <v>24</v>
      </c>
      <c r="P17" t="s">
        <v>39</v>
      </c>
    </row>
    <row r="18" spans="1:16" x14ac:dyDescent="0.35">
      <c r="A18" t="s">
        <v>108</v>
      </c>
      <c r="B18" t="s">
        <v>109</v>
      </c>
      <c r="C18" t="s">
        <v>23</v>
      </c>
      <c r="D18" t="s">
        <v>110</v>
      </c>
      <c r="E18" t="s">
        <v>111</v>
      </c>
      <c r="F18">
        <v>27</v>
      </c>
      <c r="G18">
        <v>93</v>
      </c>
      <c r="H18">
        <v>88</v>
      </c>
      <c r="I18" t="s">
        <v>3477</v>
      </c>
      <c r="J18" s="8">
        <v>45612</v>
      </c>
      <c r="K18" s="8">
        <v>45360</v>
      </c>
      <c r="L18" s="8">
        <v>45387</v>
      </c>
      <c r="M18" t="s">
        <v>112</v>
      </c>
      <c r="N18">
        <v>66</v>
      </c>
      <c r="O18">
        <v>13</v>
      </c>
      <c r="P18" t="s">
        <v>45</v>
      </c>
    </row>
    <row r="19" spans="1:16" x14ac:dyDescent="0.35">
      <c r="A19" t="s">
        <v>113</v>
      </c>
      <c r="B19" t="s">
        <v>114</v>
      </c>
      <c r="C19" t="s">
        <v>65</v>
      </c>
      <c r="D19" t="s">
        <v>115</v>
      </c>
      <c r="E19" t="s">
        <v>116</v>
      </c>
      <c r="F19">
        <v>49</v>
      </c>
      <c r="G19">
        <v>49</v>
      </c>
      <c r="H19">
        <v>26</v>
      </c>
      <c r="I19" t="s">
        <v>3486</v>
      </c>
      <c r="J19" s="8">
        <v>45545</v>
      </c>
      <c r="K19" s="8">
        <v>45431</v>
      </c>
      <c r="L19" s="8">
        <v>45474</v>
      </c>
      <c r="M19" t="s">
        <v>117</v>
      </c>
      <c r="N19">
        <v>78</v>
      </c>
      <c r="O19">
        <v>61</v>
      </c>
      <c r="P19" t="s">
        <v>27</v>
      </c>
    </row>
    <row r="20" spans="1:16" x14ac:dyDescent="0.35">
      <c r="A20" t="s">
        <v>118</v>
      </c>
      <c r="B20" t="s">
        <v>29</v>
      </c>
      <c r="C20" t="s">
        <v>30</v>
      </c>
      <c r="D20" t="s">
        <v>119</v>
      </c>
      <c r="E20" t="s">
        <v>120</v>
      </c>
      <c r="F20">
        <v>55</v>
      </c>
      <c r="G20">
        <v>93</v>
      </c>
      <c r="H20">
        <v>84</v>
      </c>
      <c r="I20" t="s">
        <v>3475</v>
      </c>
      <c r="J20" s="8">
        <v>45441</v>
      </c>
      <c r="K20" s="8">
        <v>45604</v>
      </c>
      <c r="L20" s="8">
        <v>45417</v>
      </c>
      <c r="M20" t="s">
        <v>121</v>
      </c>
      <c r="N20">
        <v>46</v>
      </c>
      <c r="O20">
        <v>84</v>
      </c>
      <c r="P20" t="s">
        <v>45</v>
      </c>
    </row>
    <row r="21" spans="1:16" x14ac:dyDescent="0.35">
      <c r="A21" t="s">
        <v>122</v>
      </c>
      <c r="B21" t="s">
        <v>84</v>
      </c>
      <c r="C21" t="s">
        <v>23</v>
      </c>
      <c r="D21" t="s">
        <v>123</v>
      </c>
      <c r="E21" t="s">
        <v>124</v>
      </c>
      <c r="F21">
        <v>65</v>
      </c>
      <c r="G21">
        <v>61</v>
      </c>
      <c r="H21">
        <v>82</v>
      </c>
      <c r="I21" t="s">
        <v>3484</v>
      </c>
      <c r="J21" s="8">
        <v>45443</v>
      </c>
      <c r="K21" s="8">
        <v>45696</v>
      </c>
      <c r="L21" s="8">
        <v>45654</v>
      </c>
      <c r="M21" t="s">
        <v>125</v>
      </c>
      <c r="N21">
        <v>29</v>
      </c>
      <c r="O21">
        <v>11</v>
      </c>
      <c r="P21" t="s">
        <v>39</v>
      </c>
    </row>
    <row r="22" spans="1:16" x14ac:dyDescent="0.35">
      <c r="A22" t="s">
        <v>126</v>
      </c>
      <c r="B22" t="s">
        <v>127</v>
      </c>
      <c r="C22" t="s">
        <v>48</v>
      </c>
      <c r="D22" t="s">
        <v>128</v>
      </c>
      <c r="E22" t="s">
        <v>129</v>
      </c>
      <c r="F22">
        <v>72</v>
      </c>
      <c r="G22">
        <v>70</v>
      </c>
      <c r="H22">
        <v>99</v>
      </c>
      <c r="I22" t="s">
        <v>3480</v>
      </c>
      <c r="J22" s="8">
        <v>45572</v>
      </c>
      <c r="K22" s="8">
        <v>45440</v>
      </c>
      <c r="L22" s="8">
        <v>45465</v>
      </c>
      <c r="M22" t="s">
        <v>130</v>
      </c>
      <c r="N22">
        <v>82</v>
      </c>
      <c r="O22">
        <v>32</v>
      </c>
      <c r="P22" t="s">
        <v>27</v>
      </c>
    </row>
    <row r="23" spans="1:16" x14ac:dyDescent="0.35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>
        <v>49</v>
      </c>
      <c r="G23">
        <v>73</v>
      </c>
      <c r="H23">
        <v>48</v>
      </c>
      <c r="I23" t="s">
        <v>3487</v>
      </c>
      <c r="J23" s="8">
        <v>45521</v>
      </c>
      <c r="K23" s="8">
        <v>45566</v>
      </c>
      <c r="L23" s="8">
        <v>45538</v>
      </c>
      <c r="M23" t="s">
        <v>136</v>
      </c>
      <c r="N23">
        <v>52</v>
      </c>
      <c r="O23">
        <v>62</v>
      </c>
      <c r="P23" t="s">
        <v>45</v>
      </c>
    </row>
    <row r="24" spans="1:16" x14ac:dyDescent="0.35">
      <c r="A24" t="s">
        <v>137</v>
      </c>
      <c r="B24" t="s">
        <v>138</v>
      </c>
      <c r="C24" t="s">
        <v>48</v>
      </c>
      <c r="D24" t="s">
        <v>139</v>
      </c>
      <c r="E24" t="s">
        <v>140</v>
      </c>
      <c r="F24">
        <v>81</v>
      </c>
      <c r="G24">
        <v>99</v>
      </c>
      <c r="H24">
        <v>28</v>
      </c>
      <c r="I24" t="s">
        <v>3484</v>
      </c>
      <c r="J24" s="8">
        <v>45565</v>
      </c>
      <c r="K24" s="8">
        <v>45702</v>
      </c>
      <c r="L24" s="8">
        <v>45407</v>
      </c>
      <c r="M24" t="s">
        <v>141</v>
      </c>
      <c r="N24">
        <v>20</v>
      </c>
      <c r="O24">
        <v>85</v>
      </c>
      <c r="P24" t="s">
        <v>27</v>
      </c>
    </row>
    <row r="25" spans="1:16" x14ac:dyDescent="0.35">
      <c r="A25" t="s">
        <v>142</v>
      </c>
      <c r="B25" t="s">
        <v>143</v>
      </c>
      <c r="C25" t="s">
        <v>48</v>
      </c>
      <c r="D25" t="s">
        <v>144</v>
      </c>
      <c r="E25" t="s">
        <v>145</v>
      </c>
      <c r="F25">
        <v>88</v>
      </c>
      <c r="G25">
        <v>46</v>
      </c>
      <c r="H25">
        <v>55</v>
      </c>
      <c r="I25" t="s">
        <v>3482</v>
      </c>
      <c r="J25" s="8">
        <v>45391</v>
      </c>
      <c r="K25" s="8">
        <v>45357</v>
      </c>
      <c r="L25" s="8">
        <v>45516</v>
      </c>
      <c r="M25" t="s">
        <v>146</v>
      </c>
      <c r="N25">
        <v>73</v>
      </c>
      <c r="O25">
        <v>63</v>
      </c>
      <c r="P25" t="s">
        <v>45</v>
      </c>
    </row>
    <row r="26" spans="1:16" x14ac:dyDescent="0.35">
      <c r="A26" t="s">
        <v>147</v>
      </c>
      <c r="B26" t="s">
        <v>148</v>
      </c>
      <c r="C26" t="s">
        <v>65</v>
      </c>
      <c r="D26" t="s">
        <v>149</v>
      </c>
      <c r="E26" t="s">
        <v>150</v>
      </c>
      <c r="F26">
        <v>63</v>
      </c>
      <c r="G26">
        <v>4</v>
      </c>
      <c r="H26">
        <v>85</v>
      </c>
      <c r="I26" t="s">
        <v>3487</v>
      </c>
      <c r="J26" s="8">
        <v>45647</v>
      </c>
      <c r="K26" s="8">
        <v>45670</v>
      </c>
      <c r="L26" s="8">
        <v>45565</v>
      </c>
      <c r="M26" t="s">
        <v>151</v>
      </c>
      <c r="N26">
        <v>59</v>
      </c>
      <c r="O26">
        <v>71</v>
      </c>
      <c r="P26" t="s">
        <v>45</v>
      </c>
    </row>
    <row r="27" spans="1:16" x14ac:dyDescent="0.35">
      <c r="A27" t="s">
        <v>152</v>
      </c>
      <c r="B27" t="s">
        <v>153</v>
      </c>
      <c r="C27" t="s">
        <v>23</v>
      </c>
      <c r="D27" t="s">
        <v>154</v>
      </c>
      <c r="E27" t="s">
        <v>155</v>
      </c>
      <c r="F27">
        <v>31</v>
      </c>
      <c r="G27">
        <v>43</v>
      </c>
      <c r="H27">
        <v>80</v>
      </c>
      <c r="I27" t="s">
        <v>3477</v>
      </c>
      <c r="J27" s="8">
        <v>45440</v>
      </c>
      <c r="K27" s="8">
        <v>45710</v>
      </c>
      <c r="L27" s="8">
        <v>45442</v>
      </c>
      <c r="M27" t="s">
        <v>156</v>
      </c>
      <c r="N27">
        <v>46</v>
      </c>
      <c r="O27">
        <v>78</v>
      </c>
      <c r="P27" t="s">
        <v>39</v>
      </c>
    </row>
    <row r="28" spans="1:16" x14ac:dyDescent="0.35">
      <c r="A28" t="s">
        <v>157</v>
      </c>
      <c r="B28" t="s">
        <v>158</v>
      </c>
      <c r="C28" t="s">
        <v>65</v>
      </c>
      <c r="D28" t="s">
        <v>159</v>
      </c>
      <c r="E28" t="s">
        <v>160</v>
      </c>
      <c r="F28">
        <v>97</v>
      </c>
      <c r="G28">
        <v>88</v>
      </c>
      <c r="H28">
        <v>81</v>
      </c>
      <c r="I28" t="s">
        <v>3488</v>
      </c>
      <c r="J28" s="8">
        <v>45601</v>
      </c>
      <c r="K28" s="8">
        <v>45480</v>
      </c>
      <c r="L28" s="8">
        <v>45469</v>
      </c>
      <c r="M28" t="s">
        <v>161</v>
      </c>
      <c r="N28">
        <v>97</v>
      </c>
      <c r="O28">
        <v>18</v>
      </c>
      <c r="P28" t="s">
        <v>27</v>
      </c>
    </row>
    <row r="29" spans="1:16" x14ac:dyDescent="0.35">
      <c r="A29" t="s">
        <v>162</v>
      </c>
      <c r="B29" t="s">
        <v>163</v>
      </c>
      <c r="C29" t="s">
        <v>48</v>
      </c>
      <c r="D29" t="s">
        <v>164</v>
      </c>
      <c r="E29" t="s">
        <v>165</v>
      </c>
      <c r="F29">
        <v>72</v>
      </c>
      <c r="G29">
        <v>87</v>
      </c>
      <c r="H29">
        <v>39</v>
      </c>
      <c r="I29" t="s">
        <v>3476</v>
      </c>
      <c r="J29" s="8">
        <v>45467</v>
      </c>
      <c r="K29" s="8">
        <v>45712</v>
      </c>
      <c r="L29" s="8">
        <v>45368</v>
      </c>
      <c r="M29" t="s">
        <v>166</v>
      </c>
      <c r="N29">
        <v>94</v>
      </c>
      <c r="O29">
        <v>57</v>
      </c>
      <c r="P29" t="s">
        <v>45</v>
      </c>
    </row>
    <row r="30" spans="1:16" x14ac:dyDescent="0.35">
      <c r="A30" t="s">
        <v>167</v>
      </c>
      <c r="B30" t="s">
        <v>168</v>
      </c>
      <c r="C30" t="s">
        <v>90</v>
      </c>
      <c r="D30" t="s">
        <v>169</v>
      </c>
      <c r="E30" t="s">
        <v>140</v>
      </c>
      <c r="F30">
        <v>16</v>
      </c>
      <c r="G30">
        <v>9</v>
      </c>
      <c r="H30">
        <v>32</v>
      </c>
      <c r="I30" t="s">
        <v>3489</v>
      </c>
      <c r="J30" s="8">
        <v>45489</v>
      </c>
      <c r="K30" s="8">
        <v>45525</v>
      </c>
      <c r="L30" s="8">
        <v>45695</v>
      </c>
      <c r="M30" t="s">
        <v>170</v>
      </c>
      <c r="N30">
        <v>50</v>
      </c>
      <c r="O30">
        <v>98</v>
      </c>
      <c r="P30" t="s">
        <v>39</v>
      </c>
    </row>
    <row r="31" spans="1:16" x14ac:dyDescent="0.35">
      <c r="A31" t="s">
        <v>171</v>
      </c>
      <c r="B31" t="s">
        <v>172</v>
      </c>
      <c r="C31" t="s">
        <v>48</v>
      </c>
      <c r="D31" t="s">
        <v>173</v>
      </c>
      <c r="E31" t="s">
        <v>174</v>
      </c>
      <c r="F31">
        <v>77</v>
      </c>
      <c r="G31">
        <v>20</v>
      </c>
      <c r="H31">
        <v>5</v>
      </c>
      <c r="I31" t="s">
        <v>3474</v>
      </c>
      <c r="J31" s="8">
        <v>45522</v>
      </c>
      <c r="K31" s="8">
        <v>45615</v>
      </c>
      <c r="L31" s="8">
        <v>45646</v>
      </c>
      <c r="M31" t="s">
        <v>175</v>
      </c>
      <c r="N31">
        <v>61</v>
      </c>
      <c r="O31">
        <v>62</v>
      </c>
      <c r="P31" t="s">
        <v>27</v>
      </c>
    </row>
    <row r="32" spans="1:16" x14ac:dyDescent="0.35">
      <c r="A32" t="s">
        <v>176</v>
      </c>
      <c r="B32" t="s">
        <v>177</v>
      </c>
      <c r="C32" t="s">
        <v>48</v>
      </c>
      <c r="D32" t="s">
        <v>178</v>
      </c>
      <c r="E32" t="s">
        <v>179</v>
      </c>
      <c r="F32">
        <v>19</v>
      </c>
      <c r="G32">
        <v>36</v>
      </c>
      <c r="H32">
        <v>72</v>
      </c>
      <c r="I32" t="s">
        <v>3479</v>
      </c>
      <c r="J32" s="8">
        <v>45415</v>
      </c>
      <c r="K32" s="8">
        <v>45379</v>
      </c>
      <c r="L32" s="8">
        <v>45357</v>
      </c>
      <c r="M32" t="s">
        <v>180</v>
      </c>
      <c r="N32">
        <v>31</v>
      </c>
      <c r="O32">
        <v>81</v>
      </c>
      <c r="P32" t="s">
        <v>39</v>
      </c>
    </row>
    <row r="33" spans="1:16" x14ac:dyDescent="0.35">
      <c r="A33" t="s">
        <v>181</v>
      </c>
      <c r="B33" t="s">
        <v>182</v>
      </c>
      <c r="C33" t="s">
        <v>48</v>
      </c>
      <c r="D33" t="s">
        <v>183</v>
      </c>
      <c r="E33" t="s">
        <v>184</v>
      </c>
      <c r="F33">
        <v>18</v>
      </c>
      <c r="G33">
        <v>52</v>
      </c>
      <c r="H33">
        <v>22</v>
      </c>
      <c r="I33" t="s">
        <v>3490</v>
      </c>
      <c r="J33" s="8">
        <v>45527</v>
      </c>
      <c r="K33" s="8">
        <v>45578</v>
      </c>
      <c r="L33" s="8">
        <v>45563</v>
      </c>
      <c r="M33" t="s">
        <v>185</v>
      </c>
      <c r="N33">
        <v>42</v>
      </c>
      <c r="O33">
        <v>32</v>
      </c>
      <c r="P33" t="s">
        <v>39</v>
      </c>
    </row>
    <row r="34" spans="1:16" x14ac:dyDescent="0.35">
      <c r="A34" t="s">
        <v>186</v>
      </c>
      <c r="B34" t="s">
        <v>187</v>
      </c>
      <c r="C34" t="s">
        <v>59</v>
      </c>
      <c r="D34" t="s">
        <v>188</v>
      </c>
      <c r="E34" t="s">
        <v>189</v>
      </c>
      <c r="F34">
        <v>47</v>
      </c>
      <c r="G34">
        <v>48</v>
      </c>
      <c r="H34">
        <v>73</v>
      </c>
      <c r="I34" t="s">
        <v>3476</v>
      </c>
      <c r="J34" s="8">
        <v>45517</v>
      </c>
      <c r="K34" s="8">
        <v>45471</v>
      </c>
      <c r="L34" s="8">
        <v>45356</v>
      </c>
      <c r="M34" t="s">
        <v>190</v>
      </c>
      <c r="N34">
        <v>42</v>
      </c>
      <c r="O34">
        <v>51</v>
      </c>
      <c r="P34" t="s">
        <v>27</v>
      </c>
    </row>
    <row r="35" spans="1:16" x14ac:dyDescent="0.35">
      <c r="A35" t="s">
        <v>191</v>
      </c>
      <c r="B35" t="s">
        <v>192</v>
      </c>
      <c r="C35" t="s">
        <v>30</v>
      </c>
      <c r="D35" t="s">
        <v>193</v>
      </c>
      <c r="E35" t="s">
        <v>194</v>
      </c>
      <c r="F35">
        <v>77</v>
      </c>
      <c r="G35">
        <v>45</v>
      </c>
      <c r="H35">
        <v>75</v>
      </c>
      <c r="I35" t="s">
        <v>3491</v>
      </c>
      <c r="J35" s="8">
        <v>45601</v>
      </c>
      <c r="K35" s="8">
        <v>45523</v>
      </c>
      <c r="L35" s="8">
        <v>45466</v>
      </c>
      <c r="M35" t="s">
        <v>195</v>
      </c>
      <c r="N35">
        <v>25</v>
      </c>
      <c r="O35">
        <v>37</v>
      </c>
      <c r="P35" t="s">
        <v>27</v>
      </c>
    </row>
    <row r="36" spans="1:16" x14ac:dyDescent="0.35">
      <c r="A36" t="s">
        <v>196</v>
      </c>
      <c r="B36" t="s">
        <v>197</v>
      </c>
      <c r="C36" t="s">
        <v>133</v>
      </c>
      <c r="D36" t="s">
        <v>198</v>
      </c>
      <c r="E36" t="s">
        <v>199</v>
      </c>
      <c r="F36">
        <v>46</v>
      </c>
      <c r="G36">
        <v>28</v>
      </c>
      <c r="H36">
        <v>73</v>
      </c>
      <c r="I36" t="s">
        <v>3492</v>
      </c>
      <c r="J36" s="8">
        <v>45440</v>
      </c>
      <c r="K36" s="8">
        <v>45593</v>
      </c>
      <c r="L36" s="8">
        <v>45652</v>
      </c>
      <c r="M36" t="s">
        <v>200</v>
      </c>
      <c r="N36">
        <v>65</v>
      </c>
      <c r="O36">
        <v>57</v>
      </c>
      <c r="P36" t="s">
        <v>27</v>
      </c>
    </row>
    <row r="37" spans="1:16" x14ac:dyDescent="0.35">
      <c r="A37" t="s">
        <v>201</v>
      </c>
      <c r="B37" t="s">
        <v>202</v>
      </c>
      <c r="C37" t="s">
        <v>48</v>
      </c>
      <c r="D37" t="s">
        <v>203</v>
      </c>
      <c r="E37" t="s">
        <v>204</v>
      </c>
      <c r="F37">
        <v>39</v>
      </c>
      <c r="G37">
        <v>22</v>
      </c>
      <c r="H37">
        <v>73</v>
      </c>
      <c r="I37" t="s">
        <v>3484</v>
      </c>
      <c r="J37" s="8">
        <v>45454</v>
      </c>
      <c r="K37" s="8">
        <v>45496</v>
      </c>
      <c r="L37" s="8">
        <v>45593</v>
      </c>
      <c r="M37" t="s">
        <v>205</v>
      </c>
      <c r="N37">
        <v>60</v>
      </c>
      <c r="O37">
        <v>2</v>
      </c>
      <c r="P37" t="s">
        <v>45</v>
      </c>
    </row>
    <row r="38" spans="1:16" x14ac:dyDescent="0.35">
      <c r="A38" t="s">
        <v>206</v>
      </c>
      <c r="B38" t="s">
        <v>22</v>
      </c>
      <c r="C38" t="s">
        <v>23</v>
      </c>
      <c r="D38" t="s">
        <v>207</v>
      </c>
      <c r="E38" t="s">
        <v>208</v>
      </c>
      <c r="F38">
        <v>75</v>
      </c>
      <c r="G38">
        <v>69</v>
      </c>
      <c r="H38">
        <v>100</v>
      </c>
      <c r="I38" t="s">
        <v>3474</v>
      </c>
      <c r="J38" s="8">
        <v>45484</v>
      </c>
      <c r="K38" s="8">
        <v>45676</v>
      </c>
      <c r="L38" s="8">
        <v>45704</v>
      </c>
      <c r="M38" t="s">
        <v>209</v>
      </c>
      <c r="N38">
        <v>43</v>
      </c>
      <c r="O38">
        <v>18</v>
      </c>
      <c r="P38" t="s">
        <v>39</v>
      </c>
    </row>
    <row r="39" spans="1:16" x14ac:dyDescent="0.35">
      <c r="A39" t="s">
        <v>210</v>
      </c>
      <c r="B39" t="s">
        <v>182</v>
      </c>
      <c r="C39" t="s">
        <v>48</v>
      </c>
      <c r="D39" t="s">
        <v>211</v>
      </c>
      <c r="E39" t="s">
        <v>212</v>
      </c>
      <c r="F39">
        <v>48</v>
      </c>
      <c r="G39">
        <v>48</v>
      </c>
      <c r="H39">
        <v>39</v>
      </c>
      <c r="I39" t="s">
        <v>3493</v>
      </c>
      <c r="J39" s="8">
        <v>45368</v>
      </c>
      <c r="K39" s="8">
        <v>45682</v>
      </c>
      <c r="L39" s="8">
        <v>45595</v>
      </c>
      <c r="M39" t="s">
        <v>213</v>
      </c>
      <c r="N39">
        <v>51</v>
      </c>
      <c r="O39">
        <v>50</v>
      </c>
      <c r="P39" t="s">
        <v>27</v>
      </c>
    </row>
    <row r="40" spans="1:16" x14ac:dyDescent="0.35">
      <c r="A40" t="s">
        <v>214</v>
      </c>
      <c r="B40" t="s">
        <v>215</v>
      </c>
      <c r="C40" t="s">
        <v>48</v>
      </c>
      <c r="D40" t="s">
        <v>216</v>
      </c>
      <c r="E40" t="s">
        <v>217</v>
      </c>
      <c r="F40">
        <v>61</v>
      </c>
      <c r="G40">
        <v>90</v>
      </c>
      <c r="H40">
        <v>26</v>
      </c>
      <c r="I40" t="s">
        <v>3480</v>
      </c>
      <c r="J40" s="8">
        <v>45648</v>
      </c>
      <c r="K40" s="8">
        <v>45542</v>
      </c>
      <c r="L40" s="8">
        <v>45554</v>
      </c>
      <c r="M40" t="s">
        <v>218</v>
      </c>
      <c r="N40">
        <v>79</v>
      </c>
      <c r="O40">
        <v>84</v>
      </c>
      <c r="P40" t="s">
        <v>27</v>
      </c>
    </row>
    <row r="41" spans="1:16" x14ac:dyDescent="0.35">
      <c r="A41" t="s">
        <v>219</v>
      </c>
      <c r="B41" t="s">
        <v>220</v>
      </c>
      <c r="C41" t="s">
        <v>23</v>
      </c>
      <c r="D41" t="s">
        <v>221</v>
      </c>
      <c r="E41" t="s">
        <v>222</v>
      </c>
      <c r="F41">
        <v>60</v>
      </c>
      <c r="G41">
        <v>90</v>
      </c>
      <c r="H41">
        <v>85</v>
      </c>
      <c r="I41" t="s">
        <v>3481</v>
      </c>
      <c r="J41" s="8">
        <v>45678</v>
      </c>
      <c r="K41" s="8">
        <v>45371</v>
      </c>
      <c r="L41" s="8">
        <v>45528</v>
      </c>
      <c r="M41" t="s">
        <v>223</v>
      </c>
      <c r="N41">
        <v>47</v>
      </c>
      <c r="O41">
        <v>9</v>
      </c>
      <c r="P41" t="s">
        <v>27</v>
      </c>
    </row>
    <row r="42" spans="1:16" x14ac:dyDescent="0.35">
      <c r="A42" t="s">
        <v>224</v>
      </c>
      <c r="B42" t="s">
        <v>225</v>
      </c>
      <c r="C42" t="s">
        <v>48</v>
      </c>
      <c r="D42" t="s">
        <v>226</v>
      </c>
      <c r="E42" t="s">
        <v>227</v>
      </c>
      <c r="F42">
        <v>24</v>
      </c>
      <c r="G42">
        <v>55</v>
      </c>
      <c r="H42">
        <v>51</v>
      </c>
      <c r="I42" t="s">
        <v>3489</v>
      </c>
      <c r="J42" s="8">
        <v>45408</v>
      </c>
      <c r="K42" s="8">
        <v>45712</v>
      </c>
      <c r="L42" s="8">
        <v>45621</v>
      </c>
      <c r="M42" t="s">
        <v>228</v>
      </c>
      <c r="N42">
        <v>39</v>
      </c>
      <c r="O42">
        <v>15</v>
      </c>
      <c r="P42" t="s">
        <v>27</v>
      </c>
    </row>
    <row r="43" spans="1:16" x14ac:dyDescent="0.35">
      <c r="A43" t="s">
        <v>229</v>
      </c>
      <c r="B43" t="s">
        <v>230</v>
      </c>
      <c r="C43" t="s">
        <v>48</v>
      </c>
      <c r="D43" t="s">
        <v>231</v>
      </c>
      <c r="E43" t="s">
        <v>232</v>
      </c>
      <c r="F43">
        <v>12</v>
      </c>
      <c r="G43">
        <v>7</v>
      </c>
      <c r="H43">
        <v>48</v>
      </c>
      <c r="I43" t="s">
        <v>3494</v>
      </c>
      <c r="J43" s="8">
        <v>45467</v>
      </c>
      <c r="K43" s="8">
        <v>45651</v>
      </c>
      <c r="L43" s="8">
        <v>45448</v>
      </c>
      <c r="M43" t="s">
        <v>233</v>
      </c>
      <c r="N43">
        <v>66</v>
      </c>
      <c r="O43">
        <v>4</v>
      </c>
      <c r="P43" t="s">
        <v>27</v>
      </c>
    </row>
    <row r="44" spans="1:16" x14ac:dyDescent="0.35">
      <c r="A44" t="s">
        <v>234</v>
      </c>
      <c r="B44" t="s">
        <v>235</v>
      </c>
      <c r="C44" t="s">
        <v>30</v>
      </c>
      <c r="D44" t="s">
        <v>236</v>
      </c>
      <c r="E44" t="s">
        <v>160</v>
      </c>
      <c r="F44">
        <v>84</v>
      </c>
      <c r="G44">
        <v>13</v>
      </c>
      <c r="H44">
        <v>88</v>
      </c>
      <c r="I44" t="s">
        <v>3495</v>
      </c>
      <c r="J44" s="8">
        <v>45683</v>
      </c>
      <c r="K44" s="8">
        <v>45630</v>
      </c>
      <c r="L44" s="8">
        <v>45495</v>
      </c>
      <c r="M44" t="s">
        <v>237</v>
      </c>
      <c r="N44">
        <v>25</v>
      </c>
      <c r="O44">
        <v>34</v>
      </c>
      <c r="P44" t="s">
        <v>39</v>
      </c>
    </row>
    <row r="45" spans="1:16" x14ac:dyDescent="0.35">
      <c r="A45" t="s">
        <v>238</v>
      </c>
      <c r="B45" t="s">
        <v>239</v>
      </c>
      <c r="C45" t="s">
        <v>65</v>
      </c>
      <c r="D45" t="s">
        <v>240</v>
      </c>
      <c r="E45" t="s">
        <v>241</v>
      </c>
      <c r="F45">
        <v>51</v>
      </c>
      <c r="G45">
        <v>100</v>
      </c>
      <c r="H45">
        <v>70</v>
      </c>
      <c r="I45" t="s">
        <v>3481</v>
      </c>
      <c r="J45" s="8">
        <v>45412</v>
      </c>
      <c r="K45" s="8">
        <v>45586</v>
      </c>
      <c r="L45" s="8">
        <v>45557</v>
      </c>
      <c r="M45" t="s">
        <v>242</v>
      </c>
      <c r="N45">
        <v>40</v>
      </c>
      <c r="O45">
        <v>21</v>
      </c>
      <c r="P45" t="s">
        <v>27</v>
      </c>
    </row>
    <row r="46" spans="1:16" x14ac:dyDescent="0.35">
      <c r="A46" t="s">
        <v>243</v>
      </c>
      <c r="B46" t="s">
        <v>244</v>
      </c>
      <c r="C46" t="s">
        <v>90</v>
      </c>
      <c r="D46" t="s">
        <v>245</v>
      </c>
      <c r="E46" t="s">
        <v>246</v>
      </c>
      <c r="F46">
        <v>65</v>
      </c>
      <c r="G46">
        <v>36</v>
      </c>
      <c r="H46">
        <v>37</v>
      </c>
      <c r="I46" t="s">
        <v>3490</v>
      </c>
      <c r="J46" s="8">
        <v>45403</v>
      </c>
      <c r="K46" s="8">
        <v>45455</v>
      </c>
      <c r="L46" s="8">
        <v>45681</v>
      </c>
      <c r="M46" t="s">
        <v>247</v>
      </c>
      <c r="N46">
        <v>32</v>
      </c>
      <c r="O46">
        <v>70</v>
      </c>
      <c r="P46" t="s">
        <v>39</v>
      </c>
    </row>
    <row r="47" spans="1:16" x14ac:dyDescent="0.35">
      <c r="A47" t="s">
        <v>248</v>
      </c>
      <c r="B47" t="s">
        <v>41</v>
      </c>
      <c r="C47" t="s">
        <v>23</v>
      </c>
      <c r="D47" t="s">
        <v>249</v>
      </c>
      <c r="E47" t="s">
        <v>250</v>
      </c>
      <c r="F47">
        <v>67</v>
      </c>
      <c r="G47">
        <v>88</v>
      </c>
      <c r="H47">
        <v>32</v>
      </c>
      <c r="I47" t="s">
        <v>3477</v>
      </c>
      <c r="J47" s="8">
        <v>45388</v>
      </c>
      <c r="K47" s="8">
        <v>45413</v>
      </c>
      <c r="L47" s="8">
        <v>45613</v>
      </c>
      <c r="M47" t="s">
        <v>251</v>
      </c>
      <c r="N47">
        <v>66</v>
      </c>
      <c r="O47">
        <v>42</v>
      </c>
      <c r="P47" t="s">
        <v>27</v>
      </c>
    </row>
    <row r="48" spans="1:16" x14ac:dyDescent="0.35">
      <c r="A48" t="s">
        <v>252</v>
      </c>
      <c r="B48" t="s">
        <v>109</v>
      </c>
      <c r="C48" t="s">
        <v>23</v>
      </c>
      <c r="D48" t="s">
        <v>253</v>
      </c>
      <c r="E48" t="s">
        <v>254</v>
      </c>
      <c r="F48">
        <v>14</v>
      </c>
      <c r="G48">
        <v>74</v>
      </c>
      <c r="H48">
        <v>71</v>
      </c>
      <c r="I48" t="s">
        <v>3477</v>
      </c>
      <c r="J48" s="8">
        <v>45522</v>
      </c>
      <c r="K48" s="8">
        <v>45618</v>
      </c>
      <c r="L48" s="8">
        <v>45428</v>
      </c>
      <c r="M48" t="s">
        <v>255</v>
      </c>
      <c r="N48">
        <v>37</v>
      </c>
      <c r="O48">
        <v>22</v>
      </c>
      <c r="P48" t="s">
        <v>27</v>
      </c>
    </row>
    <row r="49" spans="1:16" x14ac:dyDescent="0.35">
      <c r="A49" t="s">
        <v>256</v>
      </c>
      <c r="B49" t="s">
        <v>257</v>
      </c>
      <c r="C49" t="s">
        <v>48</v>
      </c>
      <c r="D49" t="s">
        <v>258</v>
      </c>
      <c r="E49" t="s">
        <v>259</v>
      </c>
      <c r="F49">
        <v>45</v>
      </c>
      <c r="G49">
        <v>24</v>
      </c>
      <c r="H49">
        <v>61</v>
      </c>
      <c r="I49" t="s">
        <v>3476</v>
      </c>
      <c r="J49" s="8">
        <v>45678</v>
      </c>
      <c r="K49" s="8">
        <v>45695</v>
      </c>
      <c r="L49" s="8">
        <v>45703</v>
      </c>
      <c r="M49" t="s">
        <v>260</v>
      </c>
      <c r="N49">
        <v>44</v>
      </c>
      <c r="O49">
        <v>34</v>
      </c>
      <c r="P49" t="s">
        <v>39</v>
      </c>
    </row>
    <row r="50" spans="1:16" x14ac:dyDescent="0.35">
      <c r="A50" t="s">
        <v>261</v>
      </c>
      <c r="B50" t="s">
        <v>225</v>
      </c>
      <c r="C50" t="s">
        <v>48</v>
      </c>
      <c r="D50" t="s">
        <v>262</v>
      </c>
      <c r="E50" t="s">
        <v>263</v>
      </c>
      <c r="F50">
        <v>92</v>
      </c>
      <c r="G50">
        <v>46</v>
      </c>
      <c r="H50">
        <v>13</v>
      </c>
      <c r="I50" t="s">
        <v>3489</v>
      </c>
      <c r="J50" s="8">
        <v>45501</v>
      </c>
      <c r="K50" s="8">
        <v>45583</v>
      </c>
      <c r="L50" s="8">
        <v>45377</v>
      </c>
      <c r="M50" t="s">
        <v>264</v>
      </c>
      <c r="N50">
        <v>24</v>
      </c>
      <c r="O50">
        <v>75</v>
      </c>
      <c r="P50" t="s">
        <v>27</v>
      </c>
    </row>
    <row r="51" spans="1:16" x14ac:dyDescent="0.35">
      <c r="A51" t="s">
        <v>265</v>
      </c>
      <c r="B51" t="s">
        <v>266</v>
      </c>
      <c r="C51" t="s">
        <v>90</v>
      </c>
      <c r="D51" t="s">
        <v>267</v>
      </c>
      <c r="E51" t="s">
        <v>268</v>
      </c>
      <c r="F51">
        <v>41</v>
      </c>
      <c r="G51">
        <v>84</v>
      </c>
      <c r="H51">
        <v>90</v>
      </c>
      <c r="I51" t="s">
        <v>3478</v>
      </c>
      <c r="J51" s="8">
        <v>45685</v>
      </c>
      <c r="K51" s="8">
        <v>45624</v>
      </c>
      <c r="L51" s="8">
        <v>45608</v>
      </c>
      <c r="M51" t="s">
        <v>269</v>
      </c>
      <c r="N51">
        <v>42</v>
      </c>
      <c r="O51">
        <v>65</v>
      </c>
      <c r="P51" t="s">
        <v>45</v>
      </c>
    </row>
    <row r="52" spans="1:16" x14ac:dyDescent="0.35">
      <c r="A52" t="s">
        <v>270</v>
      </c>
      <c r="B52" t="s">
        <v>220</v>
      </c>
      <c r="C52" t="s">
        <v>23</v>
      </c>
      <c r="D52" t="s">
        <v>271</v>
      </c>
      <c r="E52" t="s">
        <v>272</v>
      </c>
      <c r="F52">
        <v>41</v>
      </c>
      <c r="G52">
        <v>36</v>
      </c>
      <c r="H52">
        <v>78</v>
      </c>
      <c r="I52" t="s">
        <v>3474</v>
      </c>
      <c r="J52" s="8">
        <v>45477</v>
      </c>
      <c r="K52" s="8">
        <v>45569</v>
      </c>
      <c r="L52" s="8">
        <v>45427</v>
      </c>
      <c r="M52" t="s">
        <v>273</v>
      </c>
      <c r="N52">
        <v>38</v>
      </c>
      <c r="O52">
        <v>75</v>
      </c>
      <c r="P52" t="s">
        <v>39</v>
      </c>
    </row>
    <row r="53" spans="1:16" x14ac:dyDescent="0.35">
      <c r="A53" t="s">
        <v>274</v>
      </c>
      <c r="B53" t="s">
        <v>275</v>
      </c>
      <c r="C53" t="s">
        <v>48</v>
      </c>
      <c r="D53" t="s">
        <v>276</v>
      </c>
      <c r="E53" t="s">
        <v>129</v>
      </c>
      <c r="F53">
        <v>85</v>
      </c>
      <c r="G53">
        <v>45</v>
      </c>
      <c r="H53">
        <v>71</v>
      </c>
      <c r="I53" t="s">
        <v>3481</v>
      </c>
      <c r="J53" s="8">
        <v>45371</v>
      </c>
      <c r="K53" s="8">
        <v>45654</v>
      </c>
      <c r="L53" s="8">
        <v>45690</v>
      </c>
      <c r="M53" t="s">
        <v>277</v>
      </c>
      <c r="N53">
        <v>95</v>
      </c>
      <c r="O53">
        <v>72</v>
      </c>
      <c r="P53" t="s">
        <v>27</v>
      </c>
    </row>
    <row r="54" spans="1:16" x14ac:dyDescent="0.35">
      <c r="A54" t="s">
        <v>278</v>
      </c>
      <c r="B54" t="s">
        <v>182</v>
      </c>
      <c r="C54" t="s">
        <v>48</v>
      </c>
      <c r="D54" t="s">
        <v>279</v>
      </c>
      <c r="E54" t="s">
        <v>280</v>
      </c>
      <c r="F54">
        <v>44</v>
      </c>
      <c r="G54">
        <v>80</v>
      </c>
      <c r="H54">
        <v>84</v>
      </c>
      <c r="I54" t="s">
        <v>3496</v>
      </c>
      <c r="J54" s="8">
        <v>45534</v>
      </c>
      <c r="K54" s="8">
        <v>45582</v>
      </c>
      <c r="L54" s="8">
        <v>45356</v>
      </c>
      <c r="M54" t="s">
        <v>281</v>
      </c>
      <c r="N54">
        <v>96</v>
      </c>
      <c r="O54">
        <v>68</v>
      </c>
      <c r="P54" t="s">
        <v>27</v>
      </c>
    </row>
    <row r="55" spans="1:16" x14ac:dyDescent="0.35">
      <c r="A55" t="s">
        <v>282</v>
      </c>
      <c r="B55" t="s">
        <v>283</v>
      </c>
      <c r="C55" t="s">
        <v>90</v>
      </c>
      <c r="D55" t="s">
        <v>284</v>
      </c>
      <c r="E55" t="s">
        <v>204</v>
      </c>
      <c r="F55">
        <v>92</v>
      </c>
      <c r="G55">
        <v>87</v>
      </c>
      <c r="H55">
        <v>84</v>
      </c>
      <c r="I55" t="s">
        <v>3480</v>
      </c>
      <c r="J55" s="8">
        <v>45584</v>
      </c>
      <c r="K55" s="8">
        <v>45457</v>
      </c>
      <c r="L55" s="8">
        <v>45434</v>
      </c>
      <c r="M55" t="s">
        <v>285</v>
      </c>
      <c r="N55">
        <v>61</v>
      </c>
      <c r="O55">
        <v>31</v>
      </c>
      <c r="P55" t="s">
        <v>39</v>
      </c>
    </row>
    <row r="56" spans="1:16" x14ac:dyDescent="0.35">
      <c r="A56" t="s">
        <v>286</v>
      </c>
      <c r="B56" t="s">
        <v>287</v>
      </c>
      <c r="C56" t="s">
        <v>30</v>
      </c>
      <c r="D56" t="s">
        <v>288</v>
      </c>
      <c r="E56" t="s">
        <v>289</v>
      </c>
      <c r="F56">
        <v>62</v>
      </c>
      <c r="G56">
        <v>89</v>
      </c>
      <c r="H56">
        <v>18</v>
      </c>
      <c r="I56" t="s">
        <v>3487</v>
      </c>
      <c r="J56" s="8">
        <v>45363</v>
      </c>
      <c r="K56" s="8">
        <v>45700</v>
      </c>
      <c r="L56" s="8">
        <v>45624</v>
      </c>
      <c r="M56" t="s">
        <v>290</v>
      </c>
      <c r="N56">
        <v>35</v>
      </c>
      <c r="O56">
        <v>36</v>
      </c>
      <c r="P56" t="s">
        <v>45</v>
      </c>
    </row>
    <row r="57" spans="1:16" x14ac:dyDescent="0.35">
      <c r="A57" t="s">
        <v>291</v>
      </c>
      <c r="B57" t="s">
        <v>215</v>
      </c>
      <c r="C57" t="s">
        <v>48</v>
      </c>
      <c r="D57" t="s">
        <v>292</v>
      </c>
      <c r="E57" t="s">
        <v>179</v>
      </c>
      <c r="F57">
        <v>26</v>
      </c>
      <c r="G57">
        <v>18</v>
      </c>
      <c r="H57">
        <v>62</v>
      </c>
      <c r="I57" t="s">
        <v>3480</v>
      </c>
      <c r="J57" s="8">
        <v>45501</v>
      </c>
      <c r="K57" s="8">
        <v>45494</v>
      </c>
      <c r="L57" s="8">
        <v>45690</v>
      </c>
      <c r="M57" t="s">
        <v>293</v>
      </c>
      <c r="N57">
        <v>57</v>
      </c>
      <c r="O57">
        <v>86</v>
      </c>
      <c r="P57" t="s">
        <v>27</v>
      </c>
    </row>
    <row r="58" spans="1:16" x14ac:dyDescent="0.35">
      <c r="A58" t="s">
        <v>294</v>
      </c>
      <c r="B58" t="s">
        <v>266</v>
      </c>
      <c r="C58" t="s">
        <v>90</v>
      </c>
      <c r="D58" t="s">
        <v>295</v>
      </c>
      <c r="E58" t="s">
        <v>296</v>
      </c>
      <c r="F58">
        <v>59</v>
      </c>
      <c r="G58">
        <v>78</v>
      </c>
      <c r="H58">
        <v>6</v>
      </c>
      <c r="I58" t="s">
        <v>3474</v>
      </c>
      <c r="J58" s="8">
        <v>45599</v>
      </c>
      <c r="K58" s="8">
        <v>45453</v>
      </c>
      <c r="L58" s="8">
        <v>45622</v>
      </c>
      <c r="M58" t="s">
        <v>297</v>
      </c>
      <c r="N58">
        <v>32</v>
      </c>
      <c r="O58">
        <v>3</v>
      </c>
      <c r="P58" t="s">
        <v>45</v>
      </c>
    </row>
    <row r="59" spans="1:16" x14ac:dyDescent="0.35">
      <c r="A59" t="s">
        <v>298</v>
      </c>
      <c r="B59" t="s">
        <v>275</v>
      </c>
      <c r="C59" t="s">
        <v>48</v>
      </c>
      <c r="D59" t="s">
        <v>299</v>
      </c>
      <c r="E59" t="s">
        <v>300</v>
      </c>
      <c r="F59">
        <v>88</v>
      </c>
      <c r="G59">
        <v>37</v>
      </c>
      <c r="H59">
        <v>61</v>
      </c>
      <c r="I59" t="s">
        <v>3497</v>
      </c>
      <c r="J59" s="8">
        <v>45691</v>
      </c>
      <c r="K59" s="8">
        <v>45609</v>
      </c>
      <c r="L59" s="8">
        <v>45370</v>
      </c>
      <c r="M59" t="s">
        <v>301</v>
      </c>
      <c r="N59">
        <v>63</v>
      </c>
      <c r="O59">
        <v>35</v>
      </c>
      <c r="P59" t="s">
        <v>27</v>
      </c>
    </row>
    <row r="60" spans="1:16" x14ac:dyDescent="0.35">
      <c r="A60" t="s">
        <v>302</v>
      </c>
      <c r="B60" t="s">
        <v>303</v>
      </c>
      <c r="C60" t="s">
        <v>133</v>
      </c>
      <c r="D60" t="s">
        <v>304</v>
      </c>
      <c r="E60" t="s">
        <v>305</v>
      </c>
      <c r="F60">
        <v>91</v>
      </c>
      <c r="G60">
        <v>59</v>
      </c>
      <c r="H60">
        <v>49</v>
      </c>
      <c r="I60" t="s">
        <v>3476</v>
      </c>
      <c r="J60" s="8">
        <v>45588</v>
      </c>
      <c r="K60" s="8">
        <v>45387</v>
      </c>
      <c r="L60" s="8">
        <v>45469</v>
      </c>
      <c r="M60" t="s">
        <v>306</v>
      </c>
      <c r="N60">
        <v>30</v>
      </c>
      <c r="O60">
        <v>63</v>
      </c>
      <c r="P60" t="s">
        <v>45</v>
      </c>
    </row>
    <row r="61" spans="1:16" x14ac:dyDescent="0.35">
      <c r="A61" t="s">
        <v>307</v>
      </c>
      <c r="B61" t="s">
        <v>187</v>
      </c>
      <c r="C61" t="s">
        <v>59</v>
      </c>
      <c r="D61" t="s">
        <v>308</v>
      </c>
      <c r="E61" t="s">
        <v>309</v>
      </c>
      <c r="F61">
        <v>28</v>
      </c>
      <c r="G61">
        <v>17</v>
      </c>
      <c r="H61">
        <v>28</v>
      </c>
      <c r="I61" t="s">
        <v>3476</v>
      </c>
      <c r="J61" s="8">
        <v>45589</v>
      </c>
      <c r="K61" s="8">
        <v>45524</v>
      </c>
      <c r="L61" s="8">
        <v>45531</v>
      </c>
      <c r="M61" t="s">
        <v>310</v>
      </c>
      <c r="N61">
        <v>38</v>
      </c>
      <c r="O61">
        <v>25</v>
      </c>
      <c r="P61" t="s">
        <v>45</v>
      </c>
    </row>
    <row r="62" spans="1:16" x14ac:dyDescent="0.35">
      <c r="A62" t="s">
        <v>311</v>
      </c>
      <c r="B62" t="s">
        <v>312</v>
      </c>
      <c r="C62" t="s">
        <v>48</v>
      </c>
      <c r="D62" t="s">
        <v>313</v>
      </c>
      <c r="E62" t="s">
        <v>314</v>
      </c>
      <c r="F62">
        <v>51</v>
      </c>
      <c r="G62">
        <v>60</v>
      </c>
      <c r="H62">
        <v>98</v>
      </c>
      <c r="I62" t="s">
        <v>3477</v>
      </c>
      <c r="J62" s="8">
        <v>45413</v>
      </c>
      <c r="K62" s="8">
        <v>45638</v>
      </c>
      <c r="L62" s="8">
        <v>45561</v>
      </c>
      <c r="M62" t="s">
        <v>315</v>
      </c>
      <c r="N62">
        <v>44</v>
      </c>
      <c r="O62">
        <v>95</v>
      </c>
      <c r="P62" t="s">
        <v>27</v>
      </c>
    </row>
    <row r="63" spans="1:16" x14ac:dyDescent="0.35">
      <c r="A63" t="s">
        <v>316</v>
      </c>
      <c r="B63" t="s">
        <v>317</v>
      </c>
      <c r="C63" t="s">
        <v>30</v>
      </c>
      <c r="D63" t="s">
        <v>318</v>
      </c>
      <c r="E63" t="s">
        <v>319</v>
      </c>
      <c r="F63">
        <v>46</v>
      </c>
      <c r="G63">
        <v>27</v>
      </c>
      <c r="H63">
        <v>76</v>
      </c>
      <c r="I63" t="s">
        <v>3489</v>
      </c>
      <c r="J63" s="8">
        <v>45550</v>
      </c>
      <c r="K63" s="8">
        <v>45558</v>
      </c>
      <c r="L63" s="8">
        <v>45670</v>
      </c>
      <c r="M63" t="s">
        <v>320</v>
      </c>
      <c r="N63">
        <v>64</v>
      </c>
      <c r="O63">
        <v>96</v>
      </c>
      <c r="P63" t="s">
        <v>45</v>
      </c>
    </row>
    <row r="64" spans="1:16" x14ac:dyDescent="0.35">
      <c r="A64" t="s">
        <v>321</v>
      </c>
      <c r="B64" t="s">
        <v>172</v>
      </c>
      <c r="C64" t="s">
        <v>48</v>
      </c>
      <c r="D64" t="s">
        <v>322</v>
      </c>
      <c r="E64" t="s">
        <v>323</v>
      </c>
      <c r="F64">
        <v>82</v>
      </c>
      <c r="G64">
        <v>65</v>
      </c>
      <c r="H64">
        <v>69</v>
      </c>
      <c r="I64" t="s">
        <v>3498</v>
      </c>
      <c r="J64" s="8">
        <v>45393</v>
      </c>
      <c r="K64" s="8">
        <v>45608</v>
      </c>
      <c r="L64" s="8">
        <v>45512</v>
      </c>
      <c r="M64" t="s">
        <v>324</v>
      </c>
      <c r="N64">
        <v>30</v>
      </c>
      <c r="O64">
        <v>78</v>
      </c>
      <c r="P64" t="s">
        <v>39</v>
      </c>
    </row>
    <row r="65" spans="1:16" x14ac:dyDescent="0.35">
      <c r="A65" t="s">
        <v>325</v>
      </c>
      <c r="B65" t="s">
        <v>187</v>
      </c>
      <c r="C65" t="s">
        <v>59</v>
      </c>
      <c r="D65" t="s">
        <v>326</v>
      </c>
      <c r="E65" t="s">
        <v>199</v>
      </c>
      <c r="F65">
        <v>100</v>
      </c>
      <c r="G65">
        <v>92</v>
      </c>
      <c r="H65">
        <v>26</v>
      </c>
      <c r="I65" t="s">
        <v>3476</v>
      </c>
      <c r="J65" s="8">
        <v>45417</v>
      </c>
      <c r="K65" s="8">
        <v>45680</v>
      </c>
      <c r="L65" s="8">
        <v>45704</v>
      </c>
      <c r="M65" t="s">
        <v>327</v>
      </c>
      <c r="N65">
        <v>84</v>
      </c>
      <c r="O65">
        <v>9</v>
      </c>
      <c r="P65" t="s">
        <v>45</v>
      </c>
    </row>
    <row r="66" spans="1:16" x14ac:dyDescent="0.35">
      <c r="A66" t="s">
        <v>328</v>
      </c>
      <c r="B66" t="s">
        <v>329</v>
      </c>
      <c r="C66" t="s">
        <v>65</v>
      </c>
      <c r="D66" t="s">
        <v>330</v>
      </c>
      <c r="E66" t="s">
        <v>331</v>
      </c>
      <c r="F66">
        <v>51</v>
      </c>
      <c r="G66">
        <v>53</v>
      </c>
      <c r="H66">
        <v>88</v>
      </c>
      <c r="I66" t="s">
        <v>3476</v>
      </c>
      <c r="J66" s="8">
        <v>45688</v>
      </c>
      <c r="K66" s="8">
        <v>45473</v>
      </c>
      <c r="L66" s="8">
        <v>45559</v>
      </c>
      <c r="M66" t="s">
        <v>332</v>
      </c>
      <c r="N66">
        <v>54</v>
      </c>
      <c r="O66">
        <v>59</v>
      </c>
      <c r="P66" t="s">
        <v>27</v>
      </c>
    </row>
    <row r="67" spans="1:16" x14ac:dyDescent="0.35">
      <c r="A67" t="s">
        <v>333</v>
      </c>
      <c r="B67" t="s">
        <v>235</v>
      </c>
      <c r="C67" t="s">
        <v>30</v>
      </c>
      <c r="D67" t="s">
        <v>334</v>
      </c>
      <c r="E67" t="s">
        <v>212</v>
      </c>
      <c r="F67">
        <v>61</v>
      </c>
      <c r="G67">
        <v>43</v>
      </c>
      <c r="H67">
        <v>29</v>
      </c>
      <c r="I67" t="s">
        <v>3495</v>
      </c>
      <c r="J67" s="8">
        <v>45691</v>
      </c>
      <c r="K67" s="8">
        <v>45590</v>
      </c>
      <c r="L67" s="8">
        <v>45354</v>
      </c>
      <c r="M67" t="s">
        <v>335</v>
      </c>
      <c r="N67">
        <v>67</v>
      </c>
      <c r="O67">
        <v>6</v>
      </c>
      <c r="P67" t="s">
        <v>27</v>
      </c>
    </row>
    <row r="68" spans="1:16" x14ac:dyDescent="0.35">
      <c r="A68" t="s">
        <v>336</v>
      </c>
      <c r="B68" t="s">
        <v>337</v>
      </c>
      <c r="C68" t="s">
        <v>30</v>
      </c>
      <c r="D68" t="s">
        <v>338</v>
      </c>
      <c r="E68" t="s">
        <v>339</v>
      </c>
      <c r="F68">
        <v>99</v>
      </c>
      <c r="G68">
        <v>87</v>
      </c>
      <c r="H68">
        <v>10</v>
      </c>
      <c r="I68" t="s">
        <v>3499</v>
      </c>
      <c r="J68" s="8">
        <v>45634</v>
      </c>
      <c r="K68" s="8">
        <v>45351</v>
      </c>
      <c r="L68" s="8">
        <v>45368</v>
      </c>
      <c r="M68" t="s">
        <v>340</v>
      </c>
      <c r="N68">
        <v>93</v>
      </c>
      <c r="O68">
        <v>70</v>
      </c>
      <c r="P68" t="s">
        <v>45</v>
      </c>
    </row>
    <row r="69" spans="1:16" x14ac:dyDescent="0.35">
      <c r="A69" t="s">
        <v>341</v>
      </c>
      <c r="B69" t="s">
        <v>177</v>
      </c>
      <c r="C69" t="s">
        <v>48</v>
      </c>
      <c r="D69" t="s">
        <v>342</v>
      </c>
      <c r="E69" t="s">
        <v>140</v>
      </c>
      <c r="F69">
        <v>13</v>
      </c>
      <c r="G69">
        <v>60</v>
      </c>
      <c r="H69">
        <v>100</v>
      </c>
      <c r="I69" t="s">
        <v>3500</v>
      </c>
      <c r="J69" s="8">
        <v>45491</v>
      </c>
      <c r="K69" s="8">
        <v>45673</v>
      </c>
      <c r="L69" s="8">
        <v>45467</v>
      </c>
      <c r="M69" t="s">
        <v>343</v>
      </c>
      <c r="N69">
        <v>44</v>
      </c>
      <c r="O69">
        <v>32</v>
      </c>
      <c r="P69" t="s">
        <v>39</v>
      </c>
    </row>
    <row r="70" spans="1:16" x14ac:dyDescent="0.35">
      <c r="A70" t="s">
        <v>344</v>
      </c>
      <c r="B70" t="s">
        <v>345</v>
      </c>
      <c r="C70" t="s">
        <v>65</v>
      </c>
      <c r="D70" t="s">
        <v>346</v>
      </c>
      <c r="E70" t="s">
        <v>347</v>
      </c>
      <c r="F70">
        <v>45</v>
      </c>
      <c r="G70">
        <v>63</v>
      </c>
      <c r="H70">
        <v>75</v>
      </c>
      <c r="I70" t="s">
        <v>3485</v>
      </c>
      <c r="J70" s="8">
        <v>45685</v>
      </c>
      <c r="K70" s="8">
        <v>45616</v>
      </c>
      <c r="L70" s="8">
        <v>45697</v>
      </c>
      <c r="M70" t="s">
        <v>348</v>
      </c>
      <c r="N70">
        <v>83</v>
      </c>
      <c r="O70">
        <v>5</v>
      </c>
      <c r="P70" t="s">
        <v>27</v>
      </c>
    </row>
    <row r="71" spans="1:16" x14ac:dyDescent="0.35">
      <c r="A71" t="s">
        <v>349</v>
      </c>
      <c r="B71" t="s">
        <v>350</v>
      </c>
      <c r="C71" t="s">
        <v>48</v>
      </c>
      <c r="D71" t="s">
        <v>351</v>
      </c>
      <c r="E71" t="s">
        <v>352</v>
      </c>
      <c r="F71">
        <v>73</v>
      </c>
      <c r="G71">
        <v>87</v>
      </c>
      <c r="H71">
        <v>46</v>
      </c>
      <c r="I71" t="s">
        <v>3478</v>
      </c>
      <c r="J71" s="8">
        <v>45559</v>
      </c>
      <c r="K71" s="8">
        <v>45672</v>
      </c>
      <c r="L71" s="8">
        <v>45423</v>
      </c>
      <c r="M71" t="s">
        <v>353</v>
      </c>
      <c r="N71">
        <v>47</v>
      </c>
      <c r="O71">
        <v>67</v>
      </c>
      <c r="P71" t="s">
        <v>27</v>
      </c>
    </row>
    <row r="72" spans="1:16" x14ac:dyDescent="0.35">
      <c r="A72" t="s">
        <v>354</v>
      </c>
      <c r="B72" t="s">
        <v>355</v>
      </c>
      <c r="C72" t="s">
        <v>48</v>
      </c>
      <c r="D72" t="s">
        <v>356</v>
      </c>
      <c r="E72" t="s">
        <v>357</v>
      </c>
      <c r="F72">
        <v>39</v>
      </c>
      <c r="G72">
        <v>21</v>
      </c>
      <c r="H72">
        <v>5</v>
      </c>
      <c r="I72" t="s">
        <v>3481</v>
      </c>
      <c r="J72" s="8">
        <v>45620</v>
      </c>
      <c r="K72" s="8">
        <v>45413</v>
      </c>
      <c r="L72" s="8">
        <v>45665</v>
      </c>
      <c r="M72" t="s">
        <v>358</v>
      </c>
      <c r="N72">
        <v>51</v>
      </c>
      <c r="O72">
        <v>98</v>
      </c>
      <c r="P72" t="s">
        <v>39</v>
      </c>
    </row>
    <row r="73" spans="1:16" x14ac:dyDescent="0.35">
      <c r="A73" t="s">
        <v>359</v>
      </c>
      <c r="B73" t="s">
        <v>132</v>
      </c>
      <c r="C73" t="s">
        <v>133</v>
      </c>
      <c r="D73" t="s">
        <v>360</v>
      </c>
      <c r="E73" t="s">
        <v>361</v>
      </c>
      <c r="F73">
        <v>29</v>
      </c>
      <c r="G73">
        <v>72</v>
      </c>
      <c r="H73">
        <v>96</v>
      </c>
      <c r="I73" t="s">
        <v>3487</v>
      </c>
      <c r="J73" s="8">
        <v>45415</v>
      </c>
      <c r="K73" s="8">
        <v>45622</v>
      </c>
      <c r="L73" s="8">
        <v>45666</v>
      </c>
      <c r="M73" t="s">
        <v>362</v>
      </c>
      <c r="N73">
        <v>85</v>
      </c>
      <c r="O73">
        <v>52</v>
      </c>
      <c r="P73" t="s">
        <v>45</v>
      </c>
    </row>
    <row r="74" spans="1:16" x14ac:dyDescent="0.35">
      <c r="A74" t="s">
        <v>363</v>
      </c>
      <c r="B74" t="s">
        <v>364</v>
      </c>
      <c r="C74" t="s">
        <v>65</v>
      </c>
      <c r="D74" t="s">
        <v>365</v>
      </c>
      <c r="E74" t="s">
        <v>366</v>
      </c>
      <c r="F74">
        <v>12</v>
      </c>
      <c r="G74">
        <v>60</v>
      </c>
      <c r="H74">
        <v>73</v>
      </c>
      <c r="I74" t="s">
        <v>3478</v>
      </c>
      <c r="J74" s="8">
        <v>45691</v>
      </c>
      <c r="K74" s="8">
        <v>45367</v>
      </c>
      <c r="L74" s="8">
        <v>45536</v>
      </c>
      <c r="M74" t="s">
        <v>367</v>
      </c>
      <c r="N74">
        <v>20</v>
      </c>
      <c r="O74">
        <v>35</v>
      </c>
      <c r="P74" t="s">
        <v>27</v>
      </c>
    </row>
    <row r="75" spans="1:16" x14ac:dyDescent="0.35">
      <c r="A75" t="s">
        <v>368</v>
      </c>
      <c r="B75" t="s">
        <v>369</v>
      </c>
      <c r="C75" t="s">
        <v>48</v>
      </c>
      <c r="D75" t="s">
        <v>370</v>
      </c>
      <c r="E75" t="s">
        <v>371</v>
      </c>
      <c r="F75">
        <v>96</v>
      </c>
      <c r="G75">
        <v>33</v>
      </c>
      <c r="H75">
        <v>72</v>
      </c>
      <c r="I75" t="s">
        <v>3498</v>
      </c>
      <c r="J75" s="8">
        <v>45361</v>
      </c>
      <c r="K75" s="8">
        <v>45428</v>
      </c>
      <c r="L75" s="8">
        <v>45485</v>
      </c>
      <c r="M75" t="s">
        <v>372</v>
      </c>
      <c r="N75">
        <v>74</v>
      </c>
      <c r="O75">
        <v>100</v>
      </c>
      <c r="P75" t="s">
        <v>45</v>
      </c>
    </row>
    <row r="76" spans="1:16" x14ac:dyDescent="0.35">
      <c r="A76" t="s">
        <v>373</v>
      </c>
      <c r="B76" t="s">
        <v>202</v>
      </c>
      <c r="C76" t="s">
        <v>48</v>
      </c>
      <c r="D76" t="s">
        <v>374</v>
      </c>
      <c r="E76" t="s">
        <v>375</v>
      </c>
      <c r="F76">
        <v>35</v>
      </c>
      <c r="G76">
        <v>92</v>
      </c>
      <c r="H76">
        <v>74</v>
      </c>
      <c r="I76" t="s">
        <v>3484</v>
      </c>
      <c r="J76" s="8">
        <v>45621</v>
      </c>
      <c r="K76" s="8">
        <v>45691</v>
      </c>
      <c r="L76" s="8">
        <v>45610</v>
      </c>
      <c r="M76" t="s">
        <v>376</v>
      </c>
      <c r="N76">
        <v>76</v>
      </c>
      <c r="O76">
        <v>32</v>
      </c>
      <c r="P76" t="s">
        <v>45</v>
      </c>
    </row>
    <row r="77" spans="1:16" x14ac:dyDescent="0.35">
      <c r="A77" t="s">
        <v>377</v>
      </c>
      <c r="B77" t="s">
        <v>303</v>
      </c>
      <c r="C77" t="s">
        <v>133</v>
      </c>
      <c r="D77" t="s">
        <v>378</v>
      </c>
      <c r="E77" t="s">
        <v>379</v>
      </c>
      <c r="F77">
        <v>89</v>
      </c>
      <c r="G77">
        <v>34</v>
      </c>
      <c r="H77">
        <v>15</v>
      </c>
      <c r="I77" t="s">
        <v>3476</v>
      </c>
      <c r="J77" s="8">
        <v>45657</v>
      </c>
      <c r="K77" s="8">
        <v>45359</v>
      </c>
      <c r="L77" s="8">
        <v>45528</v>
      </c>
      <c r="M77" t="s">
        <v>380</v>
      </c>
      <c r="N77">
        <v>60</v>
      </c>
      <c r="O77">
        <v>2</v>
      </c>
      <c r="P77" t="s">
        <v>27</v>
      </c>
    </row>
    <row r="78" spans="1:16" x14ac:dyDescent="0.35">
      <c r="A78" t="s">
        <v>381</v>
      </c>
      <c r="B78" t="s">
        <v>225</v>
      </c>
      <c r="C78" t="s">
        <v>48</v>
      </c>
      <c r="D78" t="s">
        <v>382</v>
      </c>
      <c r="E78" t="s">
        <v>383</v>
      </c>
      <c r="F78">
        <v>60</v>
      </c>
      <c r="G78">
        <v>36</v>
      </c>
      <c r="H78">
        <v>28</v>
      </c>
      <c r="I78" t="s">
        <v>3474</v>
      </c>
      <c r="J78" s="8">
        <v>45473</v>
      </c>
      <c r="K78" s="8">
        <v>45553</v>
      </c>
      <c r="L78" s="8">
        <v>45646</v>
      </c>
      <c r="M78" t="s">
        <v>384</v>
      </c>
      <c r="N78">
        <v>26</v>
      </c>
      <c r="O78">
        <v>29</v>
      </c>
      <c r="P78" t="s">
        <v>45</v>
      </c>
    </row>
    <row r="79" spans="1:16" x14ac:dyDescent="0.35">
      <c r="A79" t="s">
        <v>385</v>
      </c>
      <c r="B79" t="s">
        <v>386</v>
      </c>
      <c r="C79" t="s">
        <v>23</v>
      </c>
      <c r="D79" t="s">
        <v>387</v>
      </c>
      <c r="E79" t="s">
        <v>32</v>
      </c>
      <c r="F79">
        <v>20</v>
      </c>
      <c r="G79">
        <v>34</v>
      </c>
      <c r="H79">
        <v>74</v>
      </c>
      <c r="I79" t="s">
        <v>3474</v>
      </c>
      <c r="J79" s="8">
        <v>45556</v>
      </c>
      <c r="K79" s="8">
        <v>45589</v>
      </c>
      <c r="L79" s="8">
        <v>45703</v>
      </c>
      <c r="M79" t="s">
        <v>388</v>
      </c>
      <c r="N79">
        <v>50</v>
      </c>
      <c r="O79">
        <v>83</v>
      </c>
      <c r="P79" t="s">
        <v>27</v>
      </c>
    </row>
    <row r="80" spans="1:16" x14ac:dyDescent="0.35">
      <c r="A80" t="s">
        <v>389</v>
      </c>
      <c r="B80" t="s">
        <v>390</v>
      </c>
      <c r="C80" t="s">
        <v>48</v>
      </c>
      <c r="D80" t="s">
        <v>391</v>
      </c>
      <c r="E80" t="s">
        <v>371</v>
      </c>
      <c r="F80">
        <v>28</v>
      </c>
      <c r="G80">
        <v>40</v>
      </c>
      <c r="H80">
        <v>27</v>
      </c>
      <c r="I80" t="s">
        <v>3501</v>
      </c>
      <c r="J80" s="8">
        <v>45640</v>
      </c>
      <c r="K80" s="8">
        <v>45502</v>
      </c>
      <c r="L80" s="8">
        <v>45592</v>
      </c>
      <c r="M80" t="s">
        <v>392</v>
      </c>
      <c r="N80">
        <v>30</v>
      </c>
      <c r="O80">
        <v>56</v>
      </c>
      <c r="P80" t="s">
        <v>45</v>
      </c>
    </row>
    <row r="81" spans="1:16" x14ac:dyDescent="0.35">
      <c r="A81" t="s">
        <v>393</v>
      </c>
      <c r="B81" t="s">
        <v>58</v>
      </c>
      <c r="C81" t="s">
        <v>59</v>
      </c>
      <c r="D81" t="s">
        <v>394</v>
      </c>
      <c r="E81" t="s">
        <v>395</v>
      </c>
      <c r="F81">
        <v>20</v>
      </c>
      <c r="G81">
        <v>55</v>
      </c>
      <c r="H81">
        <v>15</v>
      </c>
      <c r="I81" t="s">
        <v>3480</v>
      </c>
      <c r="J81" s="8">
        <v>45635</v>
      </c>
      <c r="K81" s="8">
        <v>45394</v>
      </c>
      <c r="L81" s="8">
        <v>45544</v>
      </c>
      <c r="M81" t="s">
        <v>396</v>
      </c>
      <c r="N81">
        <v>86</v>
      </c>
      <c r="O81">
        <v>61</v>
      </c>
      <c r="P81" t="s">
        <v>39</v>
      </c>
    </row>
    <row r="82" spans="1:16" x14ac:dyDescent="0.35">
      <c r="A82" t="s">
        <v>397</v>
      </c>
      <c r="B82" t="s">
        <v>398</v>
      </c>
      <c r="C82" t="s">
        <v>90</v>
      </c>
      <c r="D82" t="s">
        <v>399</v>
      </c>
      <c r="E82" t="s">
        <v>400</v>
      </c>
      <c r="F82">
        <v>38</v>
      </c>
      <c r="G82">
        <v>93</v>
      </c>
      <c r="H82">
        <v>61</v>
      </c>
      <c r="I82" t="s">
        <v>3476</v>
      </c>
      <c r="J82" s="8">
        <v>45636</v>
      </c>
      <c r="K82" s="8">
        <v>45488</v>
      </c>
      <c r="L82" s="8">
        <v>45534</v>
      </c>
      <c r="M82" t="s">
        <v>401</v>
      </c>
      <c r="N82">
        <v>67</v>
      </c>
      <c r="O82">
        <v>100</v>
      </c>
      <c r="P82" t="s">
        <v>45</v>
      </c>
    </row>
    <row r="83" spans="1:16" x14ac:dyDescent="0.35">
      <c r="A83" t="s">
        <v>402</v>
      </c>
      <c r="B83" t="s">
        <v>403</v>
      </c>
      <c r="C83" t="s">
        <v>48</v>
      </c>
      <c r="D83" t="s">
        <v>404</v>
      </c>
      <c r="E83" t="s">
        <v>405</v>
      </c>
      <c r="F83">
        <v>99</v>
      </c>
      <c r="G83">
        <v>1</v>
      </c>
      <c r="H83">
        <v>4</v>
      </c>
      <c r="I83" t="s">
        <v>3481</v>
      </c>
      <c r="J83" s="8">
        <v>45639</v>
      </c>
      <c r="K83" s="8">
        <v>45684</v>
      </c>
      <c r="L83" s="8">
        <v>45523</v>
      </c>
      <c r="M83" t="s">
        <v>406</v>
      </c>
      <c r="N83">
        <v>50</v>
      </c>
      <c r="O83">
        <v>53</v>
      </c>
      <c r="P83" t="s">
        <v>39</v>
      </c>
    </row>
    <row r="84" spans="1:16" x14ac:dyDescent="0.35">
      <c r="A84" t="s">
        <v>407</v>
      </c>
      <c r="B84" t="s">
        <v>408</v>
      </c>
      <c r="C84" t="s">
        <v>65</v>
      </c>
      <c r="D84" t="s">
        <v>409</v>
      </c>
      <c r="E84" t="s">
        <v>410</v>
      </c>
      <c r="F84">
        <v>92</v>
      </c>
      <c r="G84">
        <v>52</v>
      </c>
      <c r="H84">
        <v>80</v>
      </c>
      <c r="I84" t="s">
        <v>3480</v>
      </c>
      <c r="J84" s="8">
        <v>45446</v>
      </c>
      <c r="K84" s="8">
        <v>45587</v>
      </c>
      <c r="L84" s="8">
        <v>45372</v>
      </c>
      <c r="M84" t="s">
        <v>411</v>
      </c>
      <c r="N84">
        <v>72</v>
      </c>
      <c r="O84">
        <v>96</v>
      </c>
      <c r="P84" t="s">
        <v>27</v>
      </c>
    </row>
    <row r="85" spans="1:16" x14ac:dyDescent="0.35">
      <c r="A85" t="s">
        <v>412</v>
      </c>
      <c r="B85" t="s">
        <v>127</v>
      </c>
      <c r="C85" t="s">
        <v>48</v>
      </c>
      <c r="D85" t="s">
        <v>413</v>
      </c>
      <c r="E85" t="s">
        <v>414</v>
      </c>
      <c r="F85">
        <v>41</v>
      </c>
      <c r="G85">
        <v>29</v>
      </c>
      <c r="H85">
        <v>76</v>
      </c>
      <c r="I85" t="s">
        <v>3502</v>
      </c>
      <c r="J85" s="8">
        <v>45348</v>
      </c>
      <c r="K85" s="8">
        <v>45548</v>
      </c>
      <c r="L85" s="8">
        <v>45566</v>
      </c>
      <c r="M85" t="s">
        <v>415</v>
      </c>
      <c r="N85">
        <v>59</v>
      </c>
      <c r="O85">
        <v>4</v>
      </c>
      <c r="P85" t="s">
        <v>27</v>
      </c>
    </row>
    <row r="86" spans="1:16" x14ac:dyDescent="0.35">
      <c r="A86" t="s">
        <v>416</v>
      </c>
      <c r="B86" t="s">
        <v>303</v>
      </c>
      <c r="C86" t="s">
        <v>133</v>
      </c>
      <c r="D86" t="s">
        <v>417</v>
      </c>
      <c r="E86" t="s">
        <v>418</v>
      </c>
      <c r="F86">
        <v>44</v>
      </c>
      <c r="G86">
        <v>67</v>
      </c>
      <c r="H86">
        <v>48</v>
      </c>
      <c r="I86" t="s">
        <v>3476</v>
      </c>
      <c r="J86" s="8">
        <v>45540</v>
      </c>
      <c r="K86" s="8">
        <v>45556</v>
      </c>
      <c r="L86" s="8">
        <v>45375</v>
      </c>
      <c r="M86" t="s">
        <v>419</v>
      </c>
      <c r="N86">
        <v>90</v>
      </c>
      <c r="O86">
        <v>11</v>
      </c>
      <c r="P86" t="s">
        <v>45</v>
      </c>
    </row>
    <row r="87" spans="1:16" x14ac:dyDescent="0.35">
      <c r="A87" t="s">
        <v>420</v>
      </c>
      <c r="B87" t="s">
        <v>84</v>
      </c>
      <c r="C87" t="s">
        <v>23</v>
      </c>
      <c r="D87" t="s">
        <v>421</v>
      </c>
      <c r="E87" t="s">
        <v>422</v>
      </c>
      <c r="F87">
        <v>47</v>
      </c>
      <c r="G87">
        <v>7</v>
      </c>
      <c r="H87">
        <v>63</v>
      </c>
      <c r="I87" t="s">
        <v>3484</v>
      </c>
      <c r="J87" s="8">
        <v>45430</v>
      </c>
      <c r="K87" s="8">
        <v>45555</v>
      </c>
      <c r="L87" s="8">
        <v>45412</v>
      </c>
      <c r="M87" t="s">
        <v>423</v>
      </c>
      <c r="N87">
        <v>29</v>
      </c>
      <c r="O87">
        <v>20</v>
      </c>
      <c r="P87" t="s">
        <v>39</v>
      </c>
    </row>
    <row r="88" spans="1:16" x14ac:dyDescent="0.35">
      <c r="A88" t="s">
        <v>424</v>
      </c>
      <c r="B88" t="s">
        <v>109</v>
      </c>
      <c r="C88" t="s">
        <v>23</v>
      </c>
      <c r="D88" t="s">
        <v>425</v>
      </c>
      <c r="E88" t="s">
        <v>124</v>
      </c>
      <c r="F88">
        <v>21</v>
      </c>
      <c r="G88">
        <v>63</v>
      </c>
      <c r="H88">
        <v>65</v>
      </c>
      <c r="I88" t="s">
        <v>3477</v>
      </c>
      <c r="J88" s="8">
        <v>45573</v>
      </c>
      <c r="K88" s="8">
        <v>45606</v>
      </c>
      <c r="L88" s="8">
        <v>45710</v>
      </c>
      <c r="M88" t="s">
        <v>426</v>
      </c>
      <c r="N88">
        <v>38</v>
      </c>
      <c r="O88">
        <v>73</v>
      </c>
      <c r="P88" t="s">
        <v>27</v>
      </c>
    </row>
    <row r="89" spans="1:16" x14ac:dyDescent="0.35">
      <c r="A89" t="s">
        <v>427</v>
      </c>
      <c r="B89" t="s">
        <v>177</v>
      </c>
      <c r="C89" t="s">
        <v>48</v>
      </c>
      <c r="D89" t="s">
        <v>428</v>
      </c>
      <c r="E89" t="s">
        <v>429</v>
      </c>
      <c r="F89">
        <v>85</v>
      </c>
      <c r="G89">
        <v>33</v>
      </c>
      <c r="H89">
        <v>50</v>
      </c>
      <c r="I89" t="s">
        <v>3500</v>
      </c>
      <c r="J89" s="8">
        <v>45357</v>
      </c>
      <c r="K89" s="8">
        <v>45488</v>
      </c>
      <c r="L89" s="8">
        <v>45678</v>
      </c>
      <c r="M89" t="s">
        <v>430</v>
      </c>
      <c r="N89">
        <v>64</v>
      </c>
      <c r="O89">
        <v>38</v>
      </c>
      <c r="P89" t="s">
        <v>27</v>
      </c>
    </row>
    <row r="90" spans="1:16" x14ac:dyDescent="0.35">
      <c r="A90" t="s">
        <v>431</v>
      </c>
      <c r="B90" t="s">
        <v>114</v>
      </c>
      <c r="C90" t="s">
        <v>65</v>
      </c>
      <c r="D90" t="s">
        <v>432</v>
      </c>
      <c r="E90" t="s">
        <v>433</v>
      </c>
      <c r="F90">
        <v>29</v>
      </c>
      <c r="G90">
        <v>4</v>
      </c>
      <c r="H90">
        <v>17</v>
      </c>
      <c r="I90" t="s">
        <v>3486</v>
      </c>
      <c r="J90" s="8">
        <v>45676</v>
      </c>
      <c r="K90" s="8">
        <v>45609</v>
      </c>
      <c r="L90" s="8">
        <v>45460</v>
      </c>
      <c r="M90" t="s">
        <v>434</v>
      </c>
      <c r="N90">
        <v>59</v>
      </c>
      <c r="O90">
        <v>52</v>
      </c>
      <c r="P90" t="s">
        <v>45</v>
      </c>
    </row>
    <row r="91" spans="1:16" x14ac:dyDescent="0.35">
      <c r="A91" t="s">
        <v>435</v>
      </c>
      <c r="B91" t="s">
        <v>436</v>
      </c>
      <c r="C91" t="s">
        <v>59</v>
      </c>
      <c r="D91" t="s">
        <v>437</v>
      </c>
      <c r="E91" t="s">
        <v>438</v>
      </c>
      <c r="F91">
        <v>64</v>
      </c>
      <c r="G91">
        <v>21</v>
      </c>
      <c r="H91">
        <v>13</v>
      </c>
      <c r="I91" t="s">
        <v>3478</v>
      </c>
      <c r="J91" s="8">
        <v>45687</v>
      </c>
      <c r="K91" s="8">
        <v>45576</v>
      </c>
      <c r="L91" s="8">
        <v>45612</v>
      </c>
      <c r="M91" t="s">
        <v>439</v>
      </c>
      <c r="N91">
        <v>51</v>
      </c>
      <c r="O91">
        <v>26</v>
      </c>
      <c r="P91" t="s">
        <v>39</v>
      </c>
    </row>
    <row r="92" spans="1:16" x14ac:dyDescent="0.35">
      <c r="A92" t="s">
        <v>440</v>
      </c>
      <c r="B92" t="s">
        <v>441</v>
      </c>
      <c r="C92" t="s">
        <v>48</v>
      </c>
      <c r="D92" t="s">
        <v>442</v>
      </c>
      <c r="E92" t="s">
        <v>443</v>
      </c>
      <c r="F92">
        <v>66</v>
      </c>
      <c r="G92">
        <v>40</v>
      </c>
      <c r="H92">
        <v>96</v>
      </c>
      <c r="I92" t="s">
        <v>3503</v>
      </c>
      <c r="J92" s="8">
        <v>45350</v>
      </c>
      <c r="K92" s="8">
        <v>45465</v>
      </c>
      <c r="L92" s="8">
        <v>45694</v>
      </c>
      <c r="M92" t="s">
        <v>444</v>
      </c>
      <c r="N92">
        <v>24</v>
      </c>
      <c r="O92">
        <v>61</v>
      </c>
      <c r="P92" t="s">
        <v>45</v>
      </c>
    </row>
    <row r="93" spans="1:16" x14ac:dyDescent="0.35">
      <c r="A93" t="s">
        <v>445</v>
      </c>
      <c r="B93" t="s">
        <v>446</v>
      </c>
      <c r="C93" t="s">
        <v>90</v>
      </c>
      <c r="D93" t="s">
        <v>447</v>
      </c>
      <c r="E93" t="s">
        <v>448</v>
      </c>
      <c r="F93">
        <v>75</v>
      </c>
      <c r="G93">
        <v>81</v>
      </c>
      <c r="H93">
        <v>17</v>
      </c>
      <c r="I93" t="s">
        <v>3489</v>
      </c>
      <c r="J93" s="8">
        <v>45482</v>
      </c>
      <c r="K93" s="8">
        <v>45705</v>
      </c>
      <c r="L93" s="8">
        <v>45708</v>
      </c>
      <c r="M93" t="s">
        <v>449</v>
      </c>
      <c r="N93">
        <v>69</v>
      </c>
      <c r="O93">
        <v>38</v>
      </c>
      <c r="P93" t="s">
        <v>45</v>
      </c>
    </row>
    <row r="94" spans="1:16" x14ac:dyDescent="0.35">
      <c r="A94" t="s">
        <v>450</v>
      </c>
      <c r="B94" t="s">
        <v>451</v>
      </c>
      <c r="C94" t="s">
        <v>65</v>
      </c>
      <c r="D94" t="s">
        <v>452</v>
      </c>
      <c r="E94" t="s">
        <v>453</v>
      </c>
      <c r="F94">
        <v>53</v>
      </c>
      <c r="G94">
        <v>63</v>
      </c>
      <c r="H94">
        <v>2</v>
      </c>
      <c r="I94" t="s">
        <v>3492</v>
      </c>
      <c r="J94" s="8">
        <v>45506</v>
      </c>
      <c r="K94" s="8">
        <v>45577</v>
      </c>
      <c r="L94" s="8">
        <v>45371</v>
      </c>
      <c r="M94" t="s">
        <v>454</v>
      </c>
      <c r="N94">
        <v>56</v>
      </c>
      <c r="O94">
        <v>95</v>
      </c>
      <c r="P94" t="s">
        <v>45</v>
      </c>
    </row>
    <row r="95" spans="1:16" x14ac:dyDescent="0.35">
      <c r="A95" t="s">
        <v>455</v>
      </c>
      <c r="B95" t="s">
        <v>456</v>
      </c>
      <c r="C95" t="s">
        <v>59</v>
      </c>
      <c r="D95" t="s">
        <v>457</v>
      </c>
      <c r="E95" t="s">
        <v>86</v>
      </c>
      <c r="F95">
        <v>43</v>
      </c>
      <c r="G95">
        <v>63</v>
      </c>
      <c r="H95">
        <v>80</v>
      </c>
      <c r="I95" t="s">
        <v>3500</v>
      </c>
      <c r="J95" s="8">
        <v>45466</v>
      </c>
      <c r="K95" s="8">
        <v>45504</v>
      </c>
      <c r="L95" s="8">
        <v>45699</v>
      </c>
      <c r="M95" t="s">
        <v>458</v>
      </c>
      <c r="N95">
        <v>33</v>
      </c>
      <c r="O95">
        <v>96</v>
      </c>
      <c r="P95" t="s">
        <v>27</v>
      </c>
    </row>
    <row r="96" spans="1:16" x14ac:dyDescent="0.35">
      <c r="A96" t="s">
        <v>459</v>
      </c>
      <c r="B96" t="s">
        <v>355</v>
      </c>
      <c r="C96" t="s">
        <v>48</v>
      </c>
      <c r="D96" t="s">
        <v>460</v>
      </c>
      <c r="E96" t="s">
        <v>461</v>
      </c>
      <c r="F96">
        <v>74</v>
      </c>
      <c r="G96">
        <v>30</v>
      </c>
      <c r="H96">
        <v>24</v>
      </c>
      <c r="I96" t="s">
        <v>3481</v>
      </c>
      <c r="J96" s="8">
        <v>45513</v>
      </c>
      <c r="K96" s="8">
        <v>45578</v>
      </c>
      <c r="L96" s="8">
        <v>45504</v>
      </c>
      <c r="M96" t="s">
        <v>462</v>
      </c>
      <c r="N96">
        <v>82</v>
      </c>
      <c r="O96">
        <v>12</v>
      </c>
      <c r="P96" t="s">
        <v>45</v>
      </c>
    </row>
    <row r="97" spans="1:16" x14ac:dyDescent="0.35">
      <c r="A97" t="s">
        <v>463</v>
      </c>
      <c r="B97" t="s">
        <v>464</v>
      </c>
      <c r="C97" t="s">
        <v>48</v>
      </c>
      <c r="D97" t="s">
        <v>465</v>
      </c>
      <c r="E97" t="s">
        <v>272</v>
      </c>
      <c r="F97">
        <v>27</v>
      </c>
      <c r="G97">
        <v>22</v>
      </c>
      <c r="H97">
        <v>89</v>
      </c>
      <c r="I97" t="s">
        <v>3485</v>
      </c>
      <c r="J97" s="8">
        <v>45413</v>
      </c>
      <c r="K97" s="8">
        <v>45501</v>
      </c>
      <c r="L97" s="8">
        <v>45432</v>
      </c>
      <c r="M97" t="s">
        <v>466</v>
      </c>
      <c r="N97">
        <v>91</v>
      </c>
      <c r="O97">
        <v>77</v>
      </c>
      <c r="P97" t="s">
        <v>27</v>
      </c>
    </row>
    <row r="98" spans="1:16" x14ac:dyDescent="0.35">
      <c r="A98" t="s">
        <v>467</v>
      </c>
      <c r="B98" t="s">
        <v>468</v>
      </c>
      <c r="C98" t="s">
        <v>23</v>
      </c>
      <c r="D98" t="s">
        <v>469</v>
      </c>
      <c r="E98" t="s">
        <v>470</v>
      </c>
      <c r="F98">
        <v>91</v>
      </c>
      <c r="G98">
        <v>73</v>
      </c>
      <c r="H98">
        <v>77</v>
      </c>
      <c r="I98" t="s">
        <v>3504</v>
      </c>
      <c r="J98" s="8">
        <v>45689</v>
      </c>
      <c r="K98" s="8">
        <v>45528</v>
      </c>
      <c r="L98" s="8">
        <v>45633</v>
      </c>
      <c r="M98" t="s">
        <v>471</v>
      </c>
      <c r="N98">
        <v>51</v>
      </c>
      <c r="O98">
        <v>49</v>
      </c>
      <c r="P98" t="s">
        <v>27</v>
      </c>
    </row>
    <row r="99" spans="1:16" x14ac:dyDescent="0.35">
      <c r="A99" t="s">
        <v>472</v>
      </c>
      <c r="B99" t="s">
        <v>473</v>
      </c>
      <c r="C99" t="s">
        <v>23</v>
      </c>
      <c r="D99" t="s">
        <v>474</v>
      </c>
      <c r="E99" t="s">
        <v>111</v>
      </c>
      <c r="F99">
        <v>52</v>
      </c>
      <c r="G99">
        <v>81</v>
      </c>
      <c r="H99">
        <v>53</v>
      </c>
      <c r="I99" t="s">
        <v>3484</v>
      </c>
      <c r="J99" s="8">
        <v>45532</v>
      </c>
      <c r="K99" s="8">
        <v>45623</v>
      </c>
      <c r="L99" s="8">
        <v>45712</v>
      </c>
      <c r="M99" t="s">
        <v>475</v>
      </c>
      <c r="N99">
        <v>95</v>
      </c>
      <c r="O99">
        <v>88</v>
      </c>
      <c r="P99" t="s">
        <v>39</v>
      </c>
    </row>
    <row r="100" spans="1:16" x14ac:dyDescent="0.35">
      <c r="A100" t="s">
        <v>476</v>
      </c>
      <c r="B100" t="s">
        <v>215</v>
      </c>
      <c r="C100" t="s">
        <v>48</v>
      </c>
      <c r="D100" t="s">
        <v>477</v>
      </c>
      <c r="E100" t="s">
        <v>478</v>
      </c>
      <c r="F100">
        <v>43</v>
      </c>
      <c r="G100">
        <v>66</v>
      </c>
      <c r="H100">
        <v>85</v>
      </c>
      <c r="I100" t="s">
        <v>3480</v>
      </c>
      <c r="J100" s="8">
        <v>45402</v>
      </c>
      <c r="K100" s="8">
        <v>45549</v>
      </c>
      <c r="L100" s="8">
        <v>45401</v>
      </c>
      <c r="M100" t="s">
        <v>479</v>
      </c>
      <c r="N100">
        <v>66</v>
      </c>
      <c r="O100">
        <v>65</v>
      </c>
      <c r="P100" t="s">
        <v>27</v>
      </c>
    </row>
    <row r="101" spans="1:16" x14ac:dyDescent="0.35">
      <c r="A101" t="s">
        <v>480</v>
      </c>
      <c r="B101" t="s">
        <v>244</v>
      </c>
      <c r="C101" t="s">
        <v>90</v>
      </c>
      <c r="D101" t="s">
        <v>481</v>
      </c>
      <c r="E101" t="s">
        <v>482</v>
      </c>
      <c r="F101">
        <v>56</v>
      </c>
      <c r="G101">
        <v>86</v>
      </c>
      <c r="H101">
        <v>23</v>
      </c>
      <c r="I101" t="s">
        <v>3505</v>
      </c>
      <c r="J101" s="8">
        <v>45397</v>
      </c>
      <c r="K101" s="8">
        <v>45411</v>
      </c>
      <c r="L101" s="8">
        <v>45391</v>
      </c>
      <c r="M101" t="s">
        <v>483</v>
      </c>
      <c r="N101">
        <v>67</v>
      </c>
      <c r="O101">
        <v>56</v>
      </c>
      <c r="P101" t="s">
        <v>39</v>
      </c>
    </row>
    <row r="102" spans="1:16" x14ac:dyDescent="0.35">
      <c r="A102" t="s">
        <v>484</v>
      </c>
      <c r="B102" t="s">
        <v>329</v>
      </c>
      <c r="C102" t="s">
        <v>65</v>
      </c>
      <c r="D102" t="s">
        <v>485</v>
      </c>
      <c r="E102" t="s">
        <v>486</v>
      </c>
      <c r="F102">
        <v>66</v>
      </c>
      <c r="G102">
        <v>40</v>
      </c>
      <c r="H102">
        <v>8</v>
      </c>
      <c r="I102" t="s">
        <v>3476</v>
      </c>
      <c r="J102" s="8">
        <v>45623</v>
      </c>
      <c r="K102" s="8">
        <v>45675</v>
      </c>
      <c r="L102" s="8">
        <v>45663</v>
      </c>
      <c r="M102" t="s">
        <v>487</v>
      </c>
      <c r="N102">
        <v>43</v>
      </c>
      <c r="O102">
        <v>49</v>
      </c>
      <c r="P102" t="s">
        <v>45</v>
      </c>
    </row>
    <row r="103" spans="1:16" x14ac:dyDescent="0.35">
      <c r="A103" t="s">
        <v>488</v>
      </c>
      <c r="B103" t="s">
        <v>109</v>
      </c>
      <c r="C103" t="s">
        <v>23</v>
      </c>
      <c r="D103" t="s">
        <v>489</v>
      </c>
      <c r="E103" t="s">
        <v>490</v>
      </c>
      <c r="F103">
        <v>84</v>
      </c>
      <c r="G103">
        <v>92</v>
      </c>
      <c r="H103">
        <v>18</v>
      </c>
      <c r="I103" t="s">
        <v>3477</v>
      </c>
      <c r="J103" s="8">
        <v>45594</v>
      </c>
      <c r="K103" s="8">
        <v>45655</v>
      </c>
      <c r="L103" s="8">
        <v>45347</v>
      </c>
      <c r="M103" t="s">
        <v>491</v>
      </c>
      <c r="N103">
        <v>92</v>
      </c>
      <c r="O103">
        <v>69</v>
      </c>
      <c r="P103" t="s">
        <v>45</v>
      </c>
    </row>
    <row r="104" spans="1:16" x14ac:dyDescent="0.35">
      <c r="A104" t="s">
        <v>492</v>
      </c>
      <c r="B104" t="s">
        <v>493</v>
      </c>
      <c r="C104" t="s">
        <v>65</v>
      </c>
      <c r="D104" t="s">
        <v>494</v>
      </c>
      <c r="E104" t="s">
        <v>199</v>
      </c>
      <c r="F104">
        <v>37</v>
      </c>
      <c r="G104">
        <v>5</v>
      </c>
      <c r="H104">
        <v>1</v>
      </c>
      <c r="I104" t="s">
        <v>3489</v>
      </c>
      <c r="J104" s="8">
        <v>45659</v>
      </c>
      <c r="K104" s="8">
        <v>45348</v>
      </c>
      <c r="L104" s="8">
        <v>45624</v>
      </c>
      <c r="M104" t="s">
        <v>495</v>
      </c>
      <c r="N104">
        <v>68</v>
      </c>
      <c r="O104">
        <v>99</v>
      </c>
      <c r="P104" t="s">
        <v>45</v>
      </c>
    </row>
    <row r="105" spans="1:16" x14ac:dyDescent="0.35">
      <c r="A105" t="s">
        <v>496</v>
      </c>
      <c r="B105" t="s">
        <v>497</v>
      </c>
      <c r="C105" t="s">
        <v>65</v>
      </c>
      <c r="D105" t="s">
        <v>498</v>
      </c>
      <c r="E105" t="s">
        <v>499</v>
      </c>
      <c r="F105">
        <v>29</v>
      </c>
      <c r="G105">
        <v>36</v>
      </c>
      <c r="H105">
        <v>40</v>
      </c>
      <c r="I105" t="s">
        <v>3478</v>
      </c>
      <c r="J105" s="8">
        <v>45604</v>
      </c>
      <c r="K105" s="8">
        <v>45381</v>
      </c>
      <c r="L105" s="8">
        <v>45542</v>
      </c>
      <c r="M105" t="s">
        <v>500</v>
      </c>
      <c r="N105">
        <v>60</v>
      </c>
      <c r="O105">
        <v>96</v>
      </c>
      <c r="P105" t="s">
        <v>39</v>
      </c>
    </row>
    <row r="106" spans="1:16" x14ac:dyDescent="0.35">
      <c r="A106" t="s">
        <v>501</v>
      </c>
      <c r="B106" t="s">
        <v>502</v>
      </c>
      <c r="C106" t="s">
        <v>23</v>
      </c>
      <c r="D106" t="s">
        <v>503</v>
      </c>
      <c r="E106" t="s">
        <v>179</v>
      </c>
      <c r="F106">
        <v>13</v>
      </c>
      <c r="G106">
        <v>88</v>
      </c>
      <c r="H106">
        <v>7</v>
      </c>
      <c r="I106" t="s">
        <v>3506</v>
      </c>
      <c r="J106" s="8">
        <v>45501</v>
      </c>
      <c r="K106" s="8">
        <v>45427</v>
      </c>
      <c r="L106" s="8">
        <v>45476</v>
      </c>
      <c r="M106" t="s">
        <v>504</v>
      </c>
      <c r="N106">
        <v>24</v>
      </c>
      <c r="O106">
        <v>21</v>
      </c>
      <c r="P106" t="s">
        <v>39</v>
      </c>
    </row>
    <row r="107" spans="1:16" x14ac:dyDescent="0.35">
      <c r="A107" t="s">
        <v>505</v>
      </c>
      <c r="B107" t="s">
        <v>230</v>
      </c>
      <c r="C107" t="s">
        <v>48</v>
      </c>
      <c r="D107" t="s">
        <v>506</v>
      </c>
      <c r="E107" t="s">
        <v>155</v>
      </c>
      <c r="F107">
        <v>63</v>
      </c>
      <c r="G107">
        <v>81</v>
      </c>
      <c r="H107">
        <v>94</v>
      </c>
      <c r="I107" t="s">
        <v>3480</v>
      </c>
      <c r="J107" s="8">
        <v>45447</v>
      </c>
      <c r="K107" s="8">
        <v>45402</v>
      </c>
      <c r="L107" s="8">
        <v>45615</v>
      </c>
      <c r="M107" t="s">
        <v>507</v>
      </c>
      <c r="N107">
        <v>56</v>
      </c>
      <c r="O107">
        <v>2</v>
      </c>
      <c r="P107" t="s">
        <v>45</v>
      </c>
    </row>
    <row r="108" spans="1:16" x14ac:dyDescent="0.35">
      <c r="A108" t="s">
        <v>508</v>
      </c>
      <c r="B108" t="s">
        <v>509</v>
      </c>
      <c r="C108" t="s">
        <v>133</v>
      </c>
      <c r="D108" t="s">
        <v>510</v>
      </c>
      <c r="E108" t="s">
        <v>259</v>
      </c>
      <c r="F108">
        <v>95</v>
      </c>
      <c r="G108">
        <v>63</v>
      </c>
      <c r="H108">
        <v>73</v>
      </c>
      <c r="I108" t="s">
        <v>3485</v>
      </c>
      <c r="J108" s="8">
        <v>45613</v>
      </c>
      <c r="K108" s="8">
        <v>45448</v>
      </c>
      <c r="L108" s="8">
        <v>45359</v>
      </c>
      <c r="M108" t="s">
        <v>511</v>
      </c>
      <c r="N108">
        <v>61</v>
      </c>
      <c r="O108">
        <v>38</v>
      </c>
      <c r="P108" t="s">
        <v>39</v>
      </c>
    </row>
    <row r="109" spans="1:16" x14ac:dyDescent="0.35">
      <c r="A109" t="s">
        <v>512</v>
      </c>
      <c r="B109" t="s">
        <v>513</v>
      </c>
      <c r="C109" t="s">
        <v>48</v>
      </c>
      <c r="D109" t="s">
        <v>514</v>
      </c>
      <c r="E109" t="s">
        <v>515</v>
      </c>
      <c r="F109">
        <v>58</v>
      </c>
      <c r="G109">
        <v>5</v>
      </c>
      <c r="H109">
        <v>1</v>
      </c>
      <c r="I109" t="s">
        <v>3484</v>
      </c>
      <c r="J109" s="8">
        <v>45567</v>
      </c>
      <c r="K109" s="8">
        <v>45579</v>
      </c>
      <c r="L109" s="8">
        <v>45388</v>
      </c>
      <c r="M109" t="s">
        <v>516</v>
      </c>
      <c r="N109">
        <v>53</v>
      </c>
      <c r="O109">
        <v>80</v>
      </c>
      <c r="P109" t="s">
        <v>45</v>
      </c>
    </row>
    <row r="110" spans="1:16" x14ac:dyDescent="0.35">
      <c r="A110" t="s">
        <v>517</v>
      </c>
      <c r="B110" t="s">
        <v>436</v>
      </c>
      <c r="C110" t="s">
        <v>59</v>
      </c>
      <c r="D110" t="s">
        <v>518</v>
      </c>
      <c r="E110" t="s">
        <v>519</v>
      </c>
      <c r="F110">
        <v>57</v>
      </c>
      <c r="G110">
        <v>36</v>
      </c>
      <c r="H110">
        <v>53</v>
      </c>
      <c r="I110" t="s">
        <v>3478</v>
      </c>
      <c r="J110" s="8">
        <v>45447</v>
      </c>
      <c r="K110" s="8">
        <v>45459</v>
      </c>
      <c r="L110" s="8">
        <v>45379</v>
      </c>
      <c r="M110" t="s">
        <v>520</v>
      </c>
      <c r="N110">
        <v>56</v>
      </c>
      <c r="O110">
        <v>32</v>
      </c>
      <c r="P110" t="s">
        <v>39</v>
      </c>
    </row>
    <row r="111" spans="1:16" x14ac:dyDescent="0.35">
      <c r="A111" t="s">
        <v>521</v>
      </c>
      <c r="B111" t="s">
        <v>303</v>
      </c>
      <c r="C111" t="s">
        <v>133</v>
      </c>
      <c r="D111" t="s">
        <v>522</v>
      </c>
      <c r="E111" t="s">
        <v>523</v>
      </c>
      <c r="F111">
        <v>33</v>
      </c>
      <c r="G111">
        <v>18</v>
      </c>
      <c r="H111">
        <v>92</v>
      </c>
      <c r="I111" t="s">
        <v>3476</v>
      </c>
      <c r="J111" s="8">
        <v>45446</v>
      </c>
      <c r="K111" s="8">
        <v>45561</v>
      </c>
      <c r="L111" s="8">
        <v>45491</v>
      </c>
      <c r="M111" t="s">
        <v>524</v>
      </c>
      <c r="N111">
        <v>98</v>
      </c>
      <c r="O111">
        <v>56</v>
      </c>
      <c r="P111" t="s">
        <v>27</v>
      </c>
    </row>
    <row r="112" spans="1:16" x14ac:dyDescent="0.35">
      <c r="A112" t="s">
        <v>525</v>
      </c>
      <c r="B112" t="s">
        <v>29</v>
      </c>
      <c r="C112" t="s">
        <v>30</v>
      </c>
      <c r="D112" t="s">
        <v>526</v>
      </c>
      <c r="E112" t="s">
        <v>96</v>
      </c>
      <c r="F112">
        <v>62</v>
      </c>
      <c r="G112">
        <v>89</v>
      </c>
      <c r="H112">
        <v>6</v>
      </c>
      <c r="I112" t="s">
        <v>3475</v>
      </c>
      <c r="J112" s="8">
        <v>45543</v>
      </c>
      <c r="K112" s="8">
        <v>45449</v>
      </c>
      <c r="L112" s="8">
        <v>45672</v>
      </c>
      <c r="M112" t="s">
        <v>527</v>
      </c>
      <c r="N112">
        <v>23</v>
      </c>
      <c r="O112">
        <v>11</v>
      </c>
      <c r="P112" t="s">
        <v>27</v>
      </c>
    </row>
    <row r="113" spans="1:16" x14ac:dyDescent="0.35">
      <c r="A113" t="s">
        <v>528</v>
      </c>
      <c r="B113" t="s">
        <v>529</v>
      </c>
      <c r="C113" t="s">
        <v>48</v>
      </c>
      <c r="D113" t="s">
        <v>530</v>
      </c>
      <c r="E113" t="s">
        <v>155</v>
      </c>
      <c r="F113">
        <v>89</v>
      </c>
      <c r="G113">
        <v>57</v>
      </c>
      <c r="H113">
        <v>92</v>
      </c>
      <c r="I113" t="s">
        <v>3489</v>
      </c>
      <c r="J113" s="8">
        <v>45519</v>
      </c>
      <c r="K113" s="8">
        <v>45457</v>
      </c>
      <c r="L113" s="8">
        <v>45649</v>
      </c>
      <c r="M113" t="s">
        <v>531</v>
      </c>
      <c r="N113">
        <v>38</v>
      </c>
      <c r="O113">
        <v>16</v>
      </c>
      <c r="P113" t="s">
        <v>45</v>
      </c>
    </row>
    <row r="114" spans="1:16" x14ac:dyDescent="0.35">
      <c r="A114" t="s">
        <v>532</v>
      </c>
      <c r="B114" t="s">
        <v>533</v>
      </c>
      <c r="C114" t="s">
        <v>133</v>
      </c>
      <c r="D114" t="s">
        <v>534</v>
      </c>
      <c r="E114" t="s">
        <v>535</v>
      </c>
      <c r="F114">
        <v>23</v>
      </c>
      <c r="G114">
        <v>42</v>
      </c>
      <c r="H114">
        <v>87</v>
      </c>
      <c r="I114" t="s">
        <v>3486</v>
      </c>
      <c r="J114" s="8">
        <v>45689</v>
      </c>
      <c r="K114" s="8">
        <v>45488</v>
      </c>
      <c r="L114" s="8">
        <v>45375</v>
      </c>
      <c r="M114" t="s">
        <v>536</v>
      </c>
      <c r="N114">
        <v>63</v>
      </c>
      <c r="O114">
        <v>5</v>
      </c>
      <c r="P114" t="s">
        <v>39</v>
      </c>
    </row>
    <row r="115" spans="1:16" x14ac:dyDescent="0.35">
      <c r="A115" t="s">
        <v>537</v>
      </c>
      <c r="B115" t="s">
        <v>538</v>
      </c>
      <c r="C115" t="s">
        <v>48</v>
      </c>
      <c r="D115" t="s">
        <v>539</v>
      </c>
      <c r="E115" t="s">
        <v>37</v>
      </c>
      <c r="F115">
        <v>56</v>
      </c>
      <c r="G115">
        <v>12</v>
      </c>
      <c r="H115">
        <v>59</v>
      </c>
      <c r="I115" t="s">
        <v>3507</v>
      </c>
      <c r="J115" s="8">
        <v>45552</v>
      </c>
      <c r="K115" s="8">
        <v>45531</v>
      </c>
      <c r="L115" s="8">
        <v>45690</v>
      </c>
      <c r="M115" t="s">
        <v>540</v>
      </c>
      <c r="N115">
        <v>35</v>
      </c>
      <c r="O115">
        <v>16</v>
      </c>
      <c r="P115" t="s">
        <v>45</v>
      </c>
    </row>
    <row r="116" spans="1:16" x14ac:dyDescent="0.35">
      <c r="A116" t="s">
        <v>541</v>
      </c>
      <c r="B116" t="s">
        <v>35</v>
      </c>
      <c r="C116" t="s">
        <v>23</v>
      </c>
      <c r="D116" t="s">
        <v>542</v>
      </c>
      <c r="E116" t="s">
        <v>543</v>
      </c>
      <c r="F116">
        <v>86</v>
      </c>
      <c r="G116">
        <v>100</v>
      </c>
      <c r="H116">
        <v>74</v>
      </c>
      <c r="I116" t="s">
        <v>3508</v>
      </c>
      <c r="J116" s="8">
        <v>45376</v>
      </c>
      <c r="K116" s="8">
        <v>45674</v>
      </c>
      <c r="L116" s="8">
        <v>45442</v>
      </c>
      <c r="M116" t="s">
        <v>544</v>
      </c>
      <c r="N116">
        <v>80</v>
      </c>
      <c r="O116">
        <v>94</v>
      </c>
      <c r="P116" t="s">
        <v>45</v>
      </c>
    </row>
    <row r="117" spans="1:16" x14ac:dyDescent="0.35">
      <c r="A117" t="s">
        <v>545</v>
      </c>
      <c r="B117" t="s">
        <v>546</v>
      </c>
      <c r="C117" t="s">
        <v>48</v>
      </c>
      <c r="D117" t="s">
        <v>547</v>
      </c>
      <c r="E117" t="s">
        <v>548</v>
      </c>
      <c r="F117">
        <v>60</v>
      </c>
      <c r="G117">
        <v>61</v>
      </c>
      <c r="H117">
        <v>2</v>
      </c>
      <c r="I117" t="s">
        <v>3476</v>
      </c>
      <c r="J117" s="8">
        <v>45425</v>
      </c>
      <c r="K117" s="8">
        <v>45516</v>
      </c>
      <c r="L117" s="8">
        <v>45531</v>
      </c>
      <c r="M117" t="s">
        <v>549</v>
      </c>
      <c r="N117">
        <v>96</v>
      </c>
      <c r="O117">
        <v>50</v>
      </c>
      <c r="P117" t="s">
        <v>45</v>
      </c>
    </row>
    <row r="118" spans="1:16" x14ac:dyDescent="0.35">
      <c r="A118" t="s">
        <v>550</v>
      </c>
      <c r="B118" t="s">
        <v>182</v>
      </c>
      <c r="C118" t="s">
        <v>48</v>
      </c>
      <c r="D118" t="s">
        <v>551</v>
      </c>
      <c r="E118" t="s">
        <v>552</v>
      </c>
      <c r="F118">
        <v>70</v>
      </c>
      <c r="G118">
        <v>30</v>
      </c>
      <c r="H118">
        <v>69</v>
      </c>
      <c r="I118" t="s">
        <v>3490</v>
      </c>
      <c r="J118" s="8">
        <v>45517</v>
      </c>
      <c r="K118" s="8">
        <v>45691</v>
      </c>
      <c r="L118" s="8">
        <v>45487</v>
      </c>
      <c r="M118" t="s">
        <v>553</v>
      </c>
      <c r="N118">
        <v>44</v>
      </c>
      <c r="O118">
        <v>42</v>
      </c>
      <c r="P118" t="s">
        <v>27</v>
      </c>
    </row>
    <row r="119" spans="1:16" x14ac:dyDescent="0.35">
      <c r="A119" t="s">
        <v>554</v>
      </c>
      <c r="B119" t="s">
        <v>555</v>
      </c>
      <c r="C119" t="s">
        <v>48</v>
      </c>
      <c r="D119" t="s">
        <v>556</v>
      </c>
      <c r="E119" t="s">
        <v>557</v>
      </c>
      <c r="F119">
        <v>47</v>
      </c>
      <c r="G119">
        <v>72</v>
      </c>
      <c r="H119">
        <v>73</v>
      </c>
      <c r="I119" t="s">
        <v>3478</v>
      </c>
      <c r="J119" s="8">
        <v>45433</v>
      </c>
      <c r="K119" s="8">
        <v>45381</v>
      </c>
      <c r="L119" s="8">
        <v>45412</v>
      </c>
      <c r="M119" t="s">
        <v>558</v>
      </c>
      <c r="N119">
        <v>93</v>
      </c>
      <c r="O119">
        <v>27</v>
      </c>
      <c r="P119" t="s">
        <v>39</v>
      </c>
    </row>
    <row r="120" spans="1:16" x14ac:dyDescent="0.35">
      <c r="A120" t="s">
        <v>559</v>
      </c>
      <c r="B120" t="s">
        <v>386</v>
      </c>
      <c r="C120" t="s">
        <v>23</v>
      </c>
      <c r="D120" t="s">
        <v>560</v>
      </c>
      <c r="E120" t="s">
        <v>561</v>
      </c>
      <c r="F120">
        <v>95</v>
      </c>
      <c r="G120">
        <v>93</v>
      </c>
      <c r="H120">
        <v>16</v>
      </c>
      <c r="I120" t="s">
        <v>3474</v>
      </c>
      <c r="J120" s="8">
        <v>45622</v>
      </c>
      <c r="K120" s="8">
        <v>45541</v>
      </c>
      <c r="L120" s="8">
        <v>45556</v>
      </c>
      <c r="M120" t="s">
        <v>562</v>
      </c>
      <c r="N120">
        <v>60</v>
      </c>
      <c r="O120">
        <v>19</v>
      </c>
      <c r="P120" t="s">
        <v>45</v>
      </c>
    </row>
    <row r="121" spans="1:16" x14ac:dyDescent="0.35">
      <c r="A121" t="s">
        <v>563</v>
      </c>
      <c r="B121" t="s">
        <v>47</v>
      </c>
      <c r="C121" t="s">
        <v>48</v>
      </c>
      <c r="D121" t="s">
        <v>564</v>
      </c>
      <c r="E121" t="s">
        <v>565</v>
      </c>
      <c r="F121">
        <v>20</v>
      </c>
      <c r="G121">
        <v>42</v>
      </c>
      <c r="H121">
        <v>21</v>
      </c>
      <c r="I121" t="s">
        <v>3509</v>
      </c>
      <c r="J121" s="8">
        <v>45624</v>
      </c>
      <c r="K121" s="8">
        <v>45684</v>
      </c>
      <c r="L121" s="8">
        <v>45708</v>
      </c>
      <c r="M121" t="s">
        <v>566</v>
      </c>
      <c r="N121">
        <v>61</v>
      </c>
      <c r="O121">
        <v>25</v>
      </c>
      <c r="P121" t="s">
        <v>27</v>
      </c>
    </row>
    <row r="122" spans="1:16" x14ac:dyDescent="0.35">
      <c r="A122" t="s">
        <v>567</v>
      </c>
      <c r="B122" t="s">
        <v>22</v>
      </c>
      <c r="C122" t="s">
        <v>23</v>
      </c>
      <c r="D122" t="s">
        <v>568</v>
      </c>
      <c r="E122" t="s">
        <v>569</v>
      </c>
      <c r="F122">
        <v>19</v>
      </c>
      <c r="G122">
        <v>17</v>
      </c>
      <c r="H122">
        <v>14</v>
      </c>
      <c r="I122" t="s">
        <v>3510</v>
      </c>
      <c r="J122" s="8">
        <v>45534</v>
      </c>
      <c r="K122" s="8">
        <v>45472</v>
      </c>
      <c r="L122" s="8">
        <v>45361</v>
      </c>
      <c r="M122" t="s">
        <v>570</v>
      </c>
      <c r="N122">
        <v>58</v>
      </c>
      <c r="O122">
        <v>23</v>
      </c>
      <c r="P122" t="s">
        <v>45</v>
      </c>
    </row>
    <row r="123" spans="1:16" x14ac:dyDescent="0.35">
      <c r="A123" t="s">
        <v>571</v>
      </c>
      <c r="B123" t="s">
        <v>29</v>
      </c>
      <c r="C123" t="s">
        <v>30</v>
      </c>
      <c r="D123" t="s">
        <v>572</v>
      </c>
      <c r="E123" t="s">
        <v>470</v>
      </c>
      <c r="F123">
        <v>74</v>
      </c>
      <c r="G123">
        <v>72</v>
      </c>
      <c r="H123">
        <v>18</v>
      </c>
      <c r="I123" t="s">
        <v>3511</v>
      </c>
      <c r="J123" s="8">
        <v>45611</v>
      </c>
      <c r="K123" s="8">
        <v>45349</v>
      </c>
      <c r="L123" s="8">
        <v>45693</v>
      </c>
      <c r="M123" t="s">
        <v>573</v>
      </c>
      <c r="N123">
        <v>83</v>
      </c>
      <c r="O123">
        <v>54</v>
      </c>
      <c r="P123" t="s">
        <v>45</v>
      </c>
    </row>
    <row r="124" spans="1:16" x14ac:dyDescent="0.35">
      <c r="A124" t="s">
        <v>574</v>
      </c>
      <c r="B124" t="s">
        <v>172</v>
      </c>
      <c r="C124" t="s">
        <v>48</v>
      </c>
      <c r="D124" t="s">
        <v>575</v>
      </c>
      <c r="E124" t="s">
        <v>576</v>
      </c>
      <c r="F124">
        <v>61</v>
      </c>
      <c r="G124">
        <v>50</v>
      </c>
      <c r="H124">
        <v>9</v>
      </c>
      <c r="I124" t="s">
        <v>3474</v>
      </c>
      <c r="J124" s="8">
        <v>45573</v>
      </c>
      <c r="K124" s="8">
        <v>45348</v>
      </c>
      <c r="L124" s="8">
        <v>45676</v>
      </c>
      <c r="M124" t="s">
        <v>577</v>
      </c>
      <c r="N124">
        <v>24</v>
      </c>
      <c r="O124">
        <v>92</v>
      </c>
      <c r="P124" t="s">
        <v>45</v>
      </c>
    </row>
    <row r="125" spans="1:16" x14ac:dyDescent="0.35">
      <c r="A125" t="s">
        <v>578</v>
      </c>
      <c r="B125" t="s">
        <v>266</v>
      </c>
      <c r="C125" t="s">
        <v>90</v>
      </c>
      <c r="D125" t="s">
        <v>579</v>
      </c>
      <c r="E125" t="s">
        <v>580</v>
      </c>
      <c r="F125">
        <v>34</v>
      </c>
      <c r="G125">
        <v>42</v>
      </c>
      <c r="H125">
        <v>86</v>
      </c>
      <c r="I125" t="s">
        <v>3478</v>
      </c>
      <c r="J125" s="8">
        <v>45428</v>
      </c>
      <c r="K125" s="8">
        <v>45572</v>
      </c>
      <c r="L125" s="8">
        <v>45383</v>
      </c>
      <c r="M125" t="s">
        <v>581</v>
      </c>
      <c r="N125">
        <v>28</v>
      </c>
      <c r="O125">
        <v>23</v>
      </c>
      <c r="P125" t="s">
        <v>27</v>
      </c>
    </row>
    <row r="126" spans="1:16" x14ac:dyDescent="0.35">
      <c r="A126" t="s">
        <v>582</v>
      </c>
      <c r="B126" t="s">
        <v>172</v>
      </c>
      <c r="C126" t="s">
        <v>48</v>
      </c>
      <c r="D126" t="s">
        <v>583</v>
      </c>
      <c r="E126" t="s">
        <v>584</v>
      </c>
      <c r="F126">
        <v>29</v>
      </c>
      <c r="G126">
        <v>20</v>
      </c>
      <c r="H126">
        <v>85</v>
      </c>
      <c r="I126" t="s">
        <v>3474</v>
      </c>
      <c r="J126" s="8">
        <v>45592</v>
      </c>
      <c r="K126" s="8">
        <v>45708</v>
      </c>
      <c r="L126" s="8">
        <v>45353</v>
      </c>
      <c r="M126" t="s">
        <v>585</v>
      </c>
      <c r="N126">
        <v>31</v>
      </c>
      <c r="O126">
        <v>31</v>
      </c>
      <c r="P126" t="s">
        <v>45</v>
      </c>
    </row>
    <row r="127" spans="1:16" x14ac:dyDescent="0.35">
      <c r="A127" t="s">
        <v>586</v>
      </c>
      <c r="B127" t="s">
        <v>364</v>
      </c>
      <c r="C127" t="s">
        <v>65</v>
      </c>
      <c r="D127" t="s">
        <v>587</v>
      </c>
      <c r="E127" t="s">
        <v>490</v>
      </c>
      <c r="F127">
        <v>14</v>
      </c>
      <c r="G127">
        <v>99</v>
      </c>
      <c r="H127">
        <v>97</v>
      </c>
      <c r="I127" t="s">
        <v>3512</v>
      </c>
      <c r="J127" s="8">
        <v>45403</v>
      </c>
      <c r="K127" s="8">
        <v>45663</v>
      </c>
      <c r="L127" s="8">
        <v>45469</v>
      </c>
      <c r="M127" t="s">
        <v>588</v>
      </c>
      <c r="N127">
        <v>28</v>
      </c>
      <c r="O127">
        <v>45</v>
      </c>
      <c r="P127" t="s">
        <v>27</v>
      </c>
    </row>
    <row r="128" spans="1:16" x14ac:dyDescent="0.35">
      <c r="A128" t="s">
        <v>589</v>
      </c>
      <c r="B128" t="s">
        <v>590</v>
      </c>
      <c r="C128" t="s">
        <v>23</v>
      </c>
      <c r="D128" t="s">
        <v>591</v>
      </c>
      <c r="E128" t="s">
        <v>592</v>
      </c>
      <c r="F128">
        <v>20</v>
      </c>
      <c r="G128">
        <v>20</v>
      </c>
      <c r="H128">
        <v>56</v>
      </c>
      <c r="I128" t="s">
        <v>3500</v>
      </c>
      <c r="J128" s="8">
        <v>45663</v>
      </c>
      <c r="K128" s="8">
        <v>45444</v>
      </c>
      <c r="L128" s="8">
        <v>45418</v>
      </c>
      <c r="M128" t="s">
        <v>593</v>
      </c>
      <c r="N128">
        <v>62</v>
      </c>
      <c r="O128">
        <v>69</v>
      </c>
      <c r="P128" t="s">
        <v>39</v>
      </c>
    </row>
    <row r="129" spans="1:16" x14ac:dyDescent="0.35">
      <c r="A129" t="s">
        <v>594</v>
      </c>
      <c r="B129" t="s">
        <v>595</v>
      </c>
      <c r="C129" t="s">
        <v>23</v>
      </c>
      <c r="D129" t="s">
        <v>596</v>
      </c>
      <c r="E129" t="s">
        <v>597</v>
      </c>
      <c r="F129">
        <v>40</v>
      </c>
      <c r="G129">
        <v>38</v>
      </c>
      <c r="H129">
        <v>32</v>
      </c>
      <c r="I129" t="s">
        <v>3505</v>
      </c>
      <c r="J129" s="8">
        <v>45590</v>
      </c>
      <c r="K129" s="8">
        <v>45451</v>
      </c>
      <c r="L129" s="8">
        <v>45660</v>
      </c>
      <c r="M129" t="s">
        <v>598</v>
      </c>
      <c r="N129">
        <v>21</v>
      </c>
      <c r="O129">
        <v>45</v>
      </c>
      <c r="P129" t="s">
        <v>39</v>
      </c>
    </row>
    <row r="130" spans="1:16" x14ac:dyDescent="0.35">
      <c r="A130" t="s">
        <v>599</v>
      </c>
      <c r="B130" t="s">
        <v>600</v>
      </c>
      <c r="C130" t="s">
        <v>59</v>
      </c>
      <c r="D130" t="s">
        <v>601</v>
      </c>
      <c r="E130" t="s">
        <v>124</v>
      </c>
      <c r="F130">
        <v>91</v>
      </c>
      <c r="G130">
        <v>82</v>
      </c>
      <c r="H130">
        <v>58</v>
      </c>
      <c r="I130" t="s">
        <v>3494</v>
      </c>
      <c r="J130" s="8">
        <v>45409</v>
      </c>
      <c r="K130" s="8">
        <v>45586</v>
      </c>
      <c r="L130" s="8">
        <v>45710</v>
      </c>
      <c r="M130" t="s">
        <v>602</v>
      </c>
      <c r="N130">
        <v>43</v>
      </c>
      <c r="O130">
        <v>45</v>
      </c>
      <c r="P130" t="s">
        <v>27</v>
      </c>
    </row>
    <row r="131" spans="1:16" x14ac:dyDescent="0.35">
      <c r="A131" t="s">
        <v>603</v>
      </c>
      <c r="B131" t="s">
        <v>604</v>
      </c>
      <c r="C131" t="s">
        <v>59</v>
      </c>
      <c r="D131" t="s">
        <v>605</v>
      </c>
      <c r="E131" t="s">
        <v>606</v>
      </c>
      <c r="F131">
        <v>99</v>
      </c>
      <c r="G131">
        <v>96</v>
      </c>
      <c r="H131">
        <v>39</v>
      </c>
      <c r="I131" t="s">
        <v>3503</v>
      </c>
      <c r="J131" s="8">
        <v>45465</v>
      </c>
      <c r="K131" s="8">
        <v>45462</v>
      </c>
      <c r="L131" s="8">
        <v>45563</v>
      </c>
      <c r="M131" t="s">
        <v>607</v>
      </c>
      <c r="N131">
        <v>94</v>
      </c>
      <c r="O131">
        <v>89</v>
      </c>
      <c r="P131" t="s">
        <v>39</v>
      </c>
    </row>
    <row r="132" spans="1:16" x14ac:dyDescent="0.35">
      <c r="A132" t="s">
        <v>608</v>
      </c>
      <c r="B132" t="s">
        <v>109</v>
      </c>
      <c r="C132" t="s">
        <v>23</v>
      </c>
      <c r="D132" t="s">
        <v>609</v>
      </c>
      <c r="E132" t="s">
        <v>610</v>
      </c>
      <c r="F132">
        <v>34</v>
      </c>
      <c r="G132">
        <v>46</v>
      </c>
      <c r="H132">
        <v>45</v>
      </c>
      <c r="I132" t="s">
        <v>3477</v>
      </c>
      <c r="J132" s="8">
        <v>45574</v>
      </c>
      <c r="K132" s="8">
        <v>45637</v>
      </c>
      <c r="L132" s="8">
        <v>45648</v>
      </c>
      <c r="M132" t="s">
        <v>611</v>
      </c>
      <c r="N132">
        <v>49</v>
      </c>
      <c r="O132">
        <v>25</v>
      </c>
      <c r="P132" t="s">
        <v>39</v>
      </c>
    </row>
    <row r="133" spans="1:16" x14ac:dyDescent="0.35">
      <c r="A133" t="s">
        <v>612</v>
      </c>
      <c r="B133" t="s">
        <v>613</v>
      </c>
      <c r="C133" t="s">
        <v>65</v>
      </c>
      <c r="D133" t="s">
        <v>614</v>
      </c>
      <c r="E133" t="s">
        <v>615</v>
      </c>
      <c r="F133">
        <v>100</v>
      </c>
      <c r="G133">
        <v>21</v>
      </c>
      <c r="H133">
        <v>64</v>
      </c>
      <c r="I133" t="s">
        <v>3485</v>
      </c>
      <c r="J133" s="8">
        <v>45462</v>
      </c>
      <c r="K133" s="8">
        <v>45362</v>
      </c>
      <c r="L133" s="8">
        <v>45533</v>
      </c>
      <c r="M133" t="s">
        <v>616</v>
      </c>
      <c r="N133">
        <v>20</v>
      </c>
      <c r="O133">
        <v>13</v>
      </c>
      <c r="P133" t="s">
        <v>39</v>
      </c>
    </row>
    <row r="134" spans="1:16" x14ac:dyDescent="0.35">
      <c r="A134" t="s">
        <v>617</v>
      </c>
      <c r="B134" t="s">
        <v>35</v>
      </c>
      <c r="C134" t="s">
        <v>23</v>
      </c>
      <c r="D134" t="s">
        <v>618</v>
      </c>
      <c r="E134" t="s">
        <v>619</v>
      </c>
      <c r="F134">
        <v>79</v>
      </c>
      <c r="G134">
        <v>98</v>
      </c>
      <c r="H134">
        <v>97</v>
      </c>
      <c r="I134" t="s">
        <v>3476</v>
      </c>
      <c r="J134" s="8">
        <v>45636</v>
      </c>
      <c r="K134" s="8">
        <v>45674</v>
      </c>
      <c r="L134" s="8">
        <v>45429</v>
      </c>
      <c r="M134" t="s">
        <v>620</v>
      </c>
      <c r="N134">
        <v>26</v>
      </c>
      <c r="O134">
        <v>21</v>
      </c>
      <c r="P134" t="s">
        <v>39</v>
      </c>
    </row>
    <row r="135" spans="1:16" x14ac:dyDescent="0.35">
      <c r="A135" t="s">
        <v>621</v>
      </c>
      <c r="B135" t="s">
        <v>70</v>
      </c>
      <c r="C135" t="s">
        <v>65</v>
      </c>
      <c r="D135" t="s">
        <v>622</v>
      </c>
      <c r="E135" t="s">
        <v>615</v>
      </c>
      <c r="F135">
        <v>62</v>
      </c>
      <c r="G135">
        <v>2</v>
      </c>
      <c r="H135">
        <v>98</v>
      </c>
      <c r="I135" t="s">
        <v>3481</v>
      </c>
      <c r="J135" s="8">
        <v>45435</v>
      </c>
      <c r="K135" s="8">
        <v>45583</v>
      </c>
      <c r="L135" s="8">
        <v>45540</v>
      </c>
      <c r="M135" t="s">
        <v>623</v>
      </c>
      <c r="N135">
        <v>50</v>
      </c>
      <c r="O135">
        <v>11</v>
      </c>
      <c r="P135" t="s">
        <v>27</v>
      </c>
    </row>
    <row r="136" spans="1:16" x14ac:dyDescent="0.35">
      <c r="A136" t="s">
        <v>624</v>
      </c>
      <c r="B136" t="s">
        <v>625</v>
      </c>
      <c r="C136" t="s">
        <v>133</v>
      </c>
      <c r="D136" t="s">
        <v>626</v>
      </c>
      <c r="E136" t="s">
        <v>627</v>
      </c>
      <c r="F136">
        <v>25</v>
      </c>
      <c r="G136">
        <v>44</v>
      </c>
      <c r="H136">
        <v>96</v>
      </c>
      <c r="I136" t="s">
        <v>3513</v>
      </c>
      <c r="J136" s="8">
        <v>45477</v>
      </c>
      <c r="K136" s="8">
        <v>45360</v>
      </c>
      <c r="L136" s="8">
        <v>45536</v>
      </c>
      <c r="M136" t="s">
        <v>628</v>
      </c>
      <c r="N136">
        <v>36</v>
      </c>
      <c r="O136">
        <v>16</v>
      </c>
      <c r="P136" t="s">
        <v>45</v>
      </c>
    </row>
    <row r="137" spans="1:16" x14ac:dyDescent="0.35">
      <c r="A137" t="s">
        <v>629</v>
      </c>
      <c r="B137" t="s">
        <v>630</v>
      </c>
      <c r="C137" t="s">
        <v>65</v>
      </c>
      <c r="D137" t="s">
        <v>631</v>
      </c>
      <c r="E137" t="s">
        <v>37</v>
      </c>
      <c r="F137">
        <v>47</v>
      </c>
      <c r="G137">
        <v>2</v>
      </c>
      <c r="H137">
        <v>76</v>
      </c>
      <c r="I137" t="s">
        <v>3480</v>
      </c>
      <c r="J137" s="8">
        <v>45425</v>
      </c>
      <c r="K137" s="8">
        <v>45472</v>
      </c>
      <c r="L137" s="8">
        <v>45357</v>
      </c>
      <c r="M137" t="s">
        <v>632</v>
      </c>
      <c r="N137">
        <v>48</v>
      </c>
      <c r="O137">
        <v>36</v>
      </c>
      <c r="P137" t="s">
        <v>27</v>
      </c>
    </row>
    <row r="138" spans="1:16" x14ac:dyDescent="0.35">
      <c r="A138" t="s">
        <v>633</v>
      </c>
      <c r="B138" t="s">
        <v>275</v>
      </c>
      <c r="C138" t="s">
        <v>48</v>
      </c>
      <c r="D138" t="s">
        <v>634</v>
      </c>
      <c r="E138" t="s">
        <v>635</v>
      </c>
      <c r="F138">
        <v>15</v>
      </c>
      <c r="G138">
        <v>44</v>
      </c>
      <c r="H138">
        <v>88</v>
      </c>
      <c r="I138" t="s">
        <v>3481</v>
      </c>
      <c r="J138" s="8">
        <v>45535</v>
      </c>
      <c r="K138" s="8">
        <v>45701</v>
      </c>
      <c r="L138" s="8">
        <v>45410</v>
      </c>
      <c r="M138" t="s">
        <v>636</v>
      </c>
      <c r="N138">
        <v>56</v>
      </c>
      <c r="O138">
        <v>12</v>
      </c>
      <c r="P138" t="s">
        <v>27</v>
      </c>
    </row>
    <row r="139" spans="1:16" x14ac:dyDescent="0.35">
      <c r="A139" t="s">
        <v>637</v>
      </c>
      <c r="B139" t="s">
        <v>546</v>
      </c>
      <c r="C139" t="s">
        <v>48</v>
      </c>
      <c r="D139" t="s">
        <v>638</v>
      </c>
      <c r="E139" t="s">
        <v>639</v>
      </c>
      <c r="F139">
        <v>19</v>
      </c>
      <c r="G139">
        <v>65</v>
      </c>
      <c r="H139">
        <v>48</v>
      </c>
      <c r="I139" t="s">
        <v>3476</v>
      </c>
      <c r="J139" s="8">
        <v>45544</v>
      </c>
      <c r="K139" s="8">
        <v>45702</v>
      </c>
      <c r="L139" s="8">
        <v>45547</v>
      </c>
      <c r="M139" t="s">
        <v>640</v>
      </c>
      <c r="N139">
        <v>59</v>
      </c>
      <c r="O139">
        <v>53</v>
      </c>
      <c r="P139" t="s">
        <v>27</v>
      </c>
    </row>
    <row r="140" spans="1:16" x14ac:dyDescent="0.35">
      <c r="A140" t="s">
        <v>641</v>
      </c>
      <c r="B140" t="s">
        <v>625</v>
      </c>
      <c r="C140" t="s">
        <v>133</v>
      </c>
      <c r="D140" t="s">
        <v>642</v>
      </c>
      <c r="E140" t="s">
        <v>643</v>
      </c>
      <c r="F140">
        <v>58</v>
      </c>
      <c r="G140">
        <v>77</v>
      </c>
      <c r="H140">
        <v>96</v>
      </c>
      <c r="I140" t="s">
        <v>3513</v>
      </c>
      <c r="J140" s="8">
        <v>45546</v>
      </c>
      <c r="K140" s="8">
        <v>45399</v>
      </c>
      <c r="L140" s="8">
        <v>45381</v>
      </c>
      <c r="M140" t="s">
        <v>644</v>
      </c>
      <c r="N140">
        <v>25</v>
      </c>
      <c r="O140">
        <v>17</v>
      </c>
      <c r="P140" t="s">
        <v>27</v>
      </c>
    </row>
    <row r="141" spans="1:16" x14ac:dyDescent="0.35">
      <c r="A141" t="s">
        <v>645</v>
      </c>
      <c r="B141" t="s">
        <v>646</v>
      </c>
      <c r="C141" t="s">
        <v>65</v>
      </c>
      <c r="D141" t="s">
        <v>647</v>
      </c>
      <c r="E141" t="s">
        <v>648</v>
      </c>
      <c r="F141">
        <v>11</v>
      </c>
      <c r="G141">
        <v>30</v>
      </c>
      <c r="H141">
        <v>4</v>
      </c>
      <c r="I141" t="s">
        <v>3478</v>
      </c>
      <c r="J141" s="8">
        <v>45506</v>
      </c>
      <c r="K141" s="8">
        <v>45564</v>
      </c>
      <c r="L141" s="8">
        <v>45640</v>
      </c>
      <c r="M141" t="s">
        <v>649</v>
      </c>
      <c r="N141">
        <v>84</v>
      </c>
      <c r="O141">
        <v>4</v>
      </c>
      <c r="P141" t="s">
        <v>45</v>
      </c>
    </row>
    <row r="142" spans="1:16" x14ac:dyDescent="0.35">
      <c r="A142" t="s">
        <v>650</v>
      </c>
      <c r="B142" t="s">
        <v>473</v>
      </c>
      <c r="C142" t="s">
        <v>23</v>
      </c>
      <c r="D142" t="s">
        <v>651</v>
      </c>
      <c r="E142" t="s">
        <v>652</v>
      </c>
      <c r="F142">
        <v>99</v>
      </c>
      <c r="G142">
        <v>44</v>
      </c>
      <c r="H142">
        <v>52</v>
      </c>
      <c r="I142" t="s">
        <v>3484</v>
      </c>
      <c r="J142" s="8">
        <v>45590</v>
      </c>
      <c r="K142" s="8">
        <v>45433</v>
      </c>
      <c r="L142" s="8">
        <v>45463</v>
      </c>
      <c r="M142" t="s">
        <v>653</v>
      </c>
      <c r="N142">
        <v>36</v>
      </c>
      <c r="O142">
        <v>2</v>
      </c>
      <c r="P142" t="s">
        <v>27</v>
      </c>
    </row>
    <row r="143" spans="1:16" x14ac:dyDescent="0.35">
      <c r="A143" t="s">
        <v>654</v>
      </c>
      <c r="B143" t="s">
        <v>41</v>
      </c>
      <c r="C143" t="s">
        <v>23</v>
      </c>
      <c r="D143" t="s">
        <v>655</v>
      </c>
      <c r="E143" t="s">
        <v>656</v>
      </c>
      <c r="F143">
        <v>26</v>
      </c>
      <c r="G143">
        <v>82</v>
      </c>
      <c r="H143">
        <v>19</v>
      </c>
      <c r="I143" t="s">
        <v>3477</v>
      </c>
      <c r="J143" s="8">
        <v>45558</v>
      </c>
      <c r="K143" s="8">
        <v>45483</v>
      </c>
      <c r="L143" s="8">
        <v>45381</v>
      </c>
      <c r="M143" t="s">
        <v>657</v>
      </c>
      <c r="N143">
        <v>76</v>
      </c>
      <c r="O143">
        <v>88</v>
      </c>
      <c r="P143" t="s">
        <v>45</v>
      </c>
    </row>
    <row r="144" spans="1:16" x14ac:dyDescent="0.35">
      <c r="A144" t="s">
        <v>658</v>
      </c>
      <c r="B144" t="s">
        <v>369</v>
      </c>
      <c r="C144" t="s">
        <v>48</v>
      </c>
      <c r="D144" t="s">
        <v>659</v>
      </c>
      <c r="E144" t="s">
        <v>208</v>
      </c>
      <c r="F144">
        <v>70</v>
      </c>
      <c r="G144">
        <v>31</v>
      </c>
      <c r="H144">
        <v>55</v>
      </c>
      <c r="I144" t="s">
        <v>3474</v>
      </c>
      <c r="J144" s="8">
        <v>45504</v>
      </c>
      <c r="K144" s="8">
        <v>45500</v>
      </c>
      <c r="L144" s="8">
        <v>45480</v>
      </c>
      <c r="M144" t="s">
        <v>660</v>
      </c>
      <c r="N144">
        <v>23</v>
      </c>
      <c r="O144">
        <v>80</v>
      </c>
      <c r="P144" t="s">
        <v>27</v>
      </c>
    </row>
    <row r="145" spans="1:16" x14ac:dyDescent="0.35">
      <c r="A145" t="s">
        <v>661</v>
      </c>
      <c r="B145" t="s">
        <v>369</v>
      </c>
      <c r="C145" t="s">
        <v>48</v>
      </c>
      <c r="D145" t="s">
        <v>662</v>
      </c>
      <c r="E145" t="s">
        <v>663</v>
      </c>
      <c r="F145">
        <v>50</v>
      </c>
      <c r="G145">
        <v>3</v>
      </c>
      <c r="H145">
        <v>88</v>
      </c>
      <c r="I145" t="s">
        <v>3474</v>
      </c>
      <c r="J145" s="8">
        <v>45494</v>
      </c>
      <c r="K145" s="8">
        <v>45473</v>
      </c>
      <c r="L145" s="8">
        <v>45557</v>
      </c>
      <c r="M145" t="s">
        <v>664</v>
      </c>
      <c r="N145">
        <v>69</v>
      </c>
      <c r="O145">
        <v>73</v>
      </c>
      <c r="P145" t="s">
        <v>27</v>
      </c>
    </row>
    <row r="146" spans="1:16" x14ac:dyDescent="0.35">
      <c r="A146" t="s">
        <v>665</v>
      </c>
      <c r="B146" t="s">
        <v>182</v>
      </c>
      <c r="C146" t="s">
        <v>48</v>
      </c>
      <c r="D146" t="s">
        <v>666</v>
      </c>
      <c r="E146" t="s">
        <v>619</v>
      </c>
      <c r="F146">
        <v>55</v>
      </c>
      <c r="G146">
        <v>91</v>
      </c>
      <c r="H146">
        <v>35</v>
      </c>
      <c r="I146" t="s">
        <v>3490</v>
      </c>
      <c r="J146" s="8">
        <v>45420</v>
      </c>
      <c r="K146" s="8">
        <v>45434</v>
      </c>
      <c r="L146" s="8">
        <v>45705</v>
      </c>
      <c r="M146" t="s">
        <v>667</v>
      </c>
      <c r="N146">
        <v>81</v>
      </c>
      <c r="O146">
        <v>19</v>
      </c>
      <c r="P146" t="s">
        <v>45</v>
      </c>
    </row>
    <row r="147" spans="1:16" x14ac:dyDescent="0.35">
      <c r="A147" t="s">
        <v>668</v>
      </c>
      <c r="B147" t="s">
        <v>533</v>
      </c>
      <c r="C147" t="s">
        <v>133</v>
      </c>
      <c r="D147" t="s">
        <v>669</v>
      </c>
      <c r="E147" t="s">
        <v>670</v>
      </c>
      <c r="F147">
        <v>31</v>
      </c>
      <c r="G147">
        <v>87</v>
      </c>
      <c r="H147">
        <v>19</v>
      </c>
      <c r="I147" t="s">
        <v>3486</v>
      </c>
      <c r="J147" s="8">
        <v>45435</v>
      </c>
      <c r="K147" s="8">
        <v>45486</v>
      </c>
      <c r="L147" s="8">
        <v>45413</v>
      </c>
      <c r="M147" t="s">
        <v>671</v>
      </c>
      <c r="N147">
        <v>41</v>
      </c>
      <c r="O147">
        <v>10</v>
      </c>
      <c r="P147" t="s">
        <v>45</v>
      </c>
    </row>
    <row r="148" spans="1:16" x14ac:dyDescent="0.35">
      <c r="A148" t="s">
        <v>672</v>
      </c>
      <c r="B148" t="s">
        <v>673</v>
      </c>
      <c r="C148" t="s">
        <v>30</v>
      </c>
      <c r="D148" t="s">
        <v>674</v>
      </c>
      <c r="E148" t="s">
        <v>675</v>
      </c>
      <c r="F148">
        <v>63</v>
      </c>
      <c r="G148">
        <v>92</v>
      </c>
      <c r="H148">
        <v>26</v>
      </c>
      <c r="I148" t="s">
        <v>3486</v>
      </c>
      <c r="J148" s="8">
        <v>45522</v>
      </c>
      <c r="K148" s="8">
        <v>45700</v>
      </c>
      <c r="L148" s="8">
        <v>45411</v>
      </c>
      <c r="M148" t="s">
        <v>676</v>
      </c>
      <c r="N148">
        <v>93</v>
      </c>
      <c r="O148">
        <v>99</v>
      </c>
      <c r="P148" t="s">
        <v>45</v>
      </c>
    </row>
    <row r="149" spans="1:16" x14ac:dyDescent="0.35">
      <c r="A149" t="s">
        <v>677</v>
      </c>
      <c r="B149" t="s">
        <v>303</v>
      </c>
      <c r="C149" t="s">
        <v>133</v>
      </c>
      <c r="D149" t="s">
        <v>678</v>
      </c>
      <c r="E149" t="s">
        <v>597</v>
      </c>
      <c r="F149">
        <v>73</v>
      </c>
      <c r="G149">
        <v>31</v>
      </c>
      <c r="H149">
        <v>49</v>
      </c>
      <c r="I149" t="s">
        <v>3476</v>
      </c>
      <c r="J149" s="8">
        <v>45683</v>
      </c>
      <c r="K149" s="8">
        <v>45353</v>
      </c>
      <c r="L149" s="8">
        <v>45357</v>
      </c>
      <c r="M149" t="s">
        <v>679</v>
      </c>
      <c r="N149">
        <v>22</v>
      </c>
      <c r="O149">
        <v>47</v>
      </c>
      <c r="P149" t="s">
        <v>27</v>
      </c>
    </row>
    <row r="150" spans="1:16" x14ac:dyDescent="0.35">
      <c r="A150" t="s">
        <v>680</v>
      </c>
      <c r="B150" t="s">
        <v>266</v>
      </c>
      <c r="C150" t="s">
        <v>90</v>
      </c>
      <c r="D150" t="s">
        <v>681</v>
      </c>
      <c r="E150" t="s">
        <v>523</v>
      </c>
      <c r="F150">
        <v>12</v>
      </c>
      <c r="G150">
        <v>86</v>
      </c>
      <c r="H150">
        <v>98</v>
      </c>
      <c r="I150" t="s">
        <v>3478</v>
      </c>
      <c r="J150" s="8">
        <v>45575</v>
      </c>
      <c r="K150" s="8">
        <v>45472</v>
      </c>
      <c r="L150" s="8">
        <v>45564</v>
      </c>
      <c r="M150" t="s">
        <v>682</v>
      </c>
      <c r="N150">
        <v>75</v>
      </c>
      <c r="O150">
        <v>86</v>
      </c>
      <c r="P150" t="s">
        <v>27</v>
      </c>
    </row>
    <row r="151" spans="1:16" x14ac:dyDescent="0.35">
      <c r="A151" t="s">
        <v>683</v>
      </c>
      <c r="B151" t="s">
        <v>220</v>
      </c>
      <c r="C151" t="s">
        <v>23</v>
      </c>
      <c r="D151" t="s">
        <v>684</v>
      </c>
      <c r="E151" t="s">
        <v>685</v>
      </c>
      <c r="F151">
        <v>53</v>
      </c>
      <c r="G151">
        <v>86</v>
      </c>
      <c r="H151">
        <v>54</v>
      </c>
      <c r="I151" t="s">
        <v>3481</v>
      </c>
      <c r="J151" s="8">
        <v>45518</v>
      </c>
      <c r="K151" s="8">
        <v>45692</v>
      </c>
      <c r="L151" s="8">
        <v>45602</v>
      </c>
      <c r="M151" t="s">
        <v>686</v>
      </c>
      <c r="N151">
        <v>44</v>
      </c>
      <c r="O151">
        <v>3</v>
      </c>
      <c r="P151" t="s">
        <v>27</v>
      </c>
    </row>
    <row r="152" spans="1:16" x14ac:dyDescent="0.35">
      <c r="A152" t="s">
        <v>687</v>
      </c>
      <c r="B152" t="s">
        <v>688</v>
      </c>
      <c r="C152" t="s">
        <v>23</v>
      </c>
      <c r="D152" t="s">
        <v>689</v>
      </c>
      <c r="E152" t="s">
        <v>690</v>
      </c>
      <c r="F152">
        <v>68</v>
      </c>
      <c r="G152">
        <v>7</v>
      </c>
      <c r="H152">
        <v>37</v>
      </c>
      <c r="I152" t="s">
        <v>3480</v>
      </c>
      <c r="J152" s="8">
        <v>45512</v>
      </c>
      <c r="K152" s="8">
        <v>45393</v>
      </c>
      <c r="L152" s="8">
        <v>45654</v>
      </c>
      <c r="M152" t="s">
        <v>691</v>
      </c>
      <c r="N152">
        <v>69</v>
      </c>
      <c r="O152">
        <v>1</v>
      </c>
      <c r="P152" t="s">
        <v>27</v>
      </c>
    </row>
    <row r="153" spans="1:16" x14ac:dyDescent="0.35">
      <c r="A153" t="s">
        <v>692</v>
      </c>
      <c r="B153" t="s">
        <v>114</v>
      </c>
      <c r="C153" t="s">
        <v>65</v>
      </c>
      <c r="D153" t="s">
        <v>693</v>
      </c>
      <c r="E153" t="s">
        <v>694</v>
      </c>
      <c r="F153">
        <v>80</v>
      </c>
      <c r="G153">
        <v>9</v>
      </c>
      <c r="H153">
        <v>29</v>
      </c>
      <c r="I153" t="s">
        <v>3514</v>
      </c>
      <c r="J153" s="8">
        <v>45530</v>
      </c>
      <c r="K153" s="8">
        <v>45616</v>
      </c>
      <c r="L153" s="8">
        <v>45574</v>
      </c>
      <c r="M153" t="s">
        <v>695</v>
      </c>
      <c r="N153">
        <v>54</v>
      </c>
      <c r="O153">
        <v>62</v>
      </c>
      <c r="P153" t="s">
        <v>45</v>
      </c>
    </row>
    <row r="154" spans="1:16" x14ac:dyDescent="0.35">
      <c r="A154" t="s">
        <v>696</v>
      </c>
      <c r="B154" t="s">
        <v>625</v>
      </c>
      <c r="C154" t="s">
        <v>133</v>
      </c>
      <c r="D154" t="s">
        <v>697</v>
      </c>
      <c r="E154" t="s">
        <v>698</v>
      </c>
      <c r="F154">
        <v>92</v>
      </c>
      <c r="G154">
        <v>68</v>
      </c>
      <c r="H154">
        <v>79</v>
      </c>
      <c r="I154" t="s">
        <v>3513</v>
      </c>
      <c r="J154" s="8">
        <v>45650</v>
      </c>
      <c r="K154" s="8">
        <v>45522</v>
      </c>
      <c r="L154" s="8">
        <v>45386</v>
      </c>
      <c r="M154" t="s">
        <v>699</v>
      </c>
      <c r="N154">
        <v>40</v>
      </c>
      <c r="O154">
        <v>57</v>
      </c>
      <c r="P154" t="s">
        <v>27</v>
      </c>
    </row>
    <row r="155" spans="1:16" x14ac:dyDescent="0.35">
      <c r="A155" t="s">
        <v>700</v>
      </c>
      <c r="B155" t="s">
        <v>177</v>
      </c>
      <c r="C155" t="s">
        <v>48</v>
      </c>
      <c r="D155" t="s">
        <v>701</v>
      </c>
      <c r="E155" t="s">
        <v>357</v>
      </c>
      <c r="F155">
        <v>31</v>
      </c>
      <c r="G155">
        <v>98</v>
      </c>
      <c r="H155">
        <v>72</v>
      </c>
      <c r="I155" t="s">
        <v>3500</v>
      </c>
      <c r="J155" s="8">
        <v>45530</v>
      </c>
      <c r="K155" s="8">
        <v>45572</v>
      </c>
      <c r="L155" s="8">
        <v>45630</v>
      </c>
      <c r="M155" t="s">
        <v>702</v>
      </c>
      <c r="N155">
        <v>91</v>
      </c>
      <c r="O155">
        <v>29</v>
      </c>
      <c r="P155" t="s">
        <v>45</v>
      </c>
    </row>
    <row r="156" spans="1:16" x14ac:dyDescent="0.35">
      <c r="A156" t="s">
        <v>703</v>
      </c>
      <c r="B156" t="s">
        <v>355</v>
      </c>
      <c r="C156" t="s">
        <v>48</v>
      </c>
      <c r="D156" t="s">
        <v>704</v>
      </c>
      <c r="E156" t="s">
        <v>50</v>
      </c>
      <c r="F156">
        <v>31</v>
      </c>
      <c r="G156">
        <v>44</v>
      </c>
      <c r="H156">
        <v>9</v>
      </c>
      <c r="I156" t="s">
        <v>3481</v>
      </c>
      <c r="J156" s="8">
        <v>45442</v>
      </c>
      <c r="K156" s="8">
        <v>45428</v>
      </c>
      <c r="L156" s="8">
        <v>45509</v>
      </c>
      <c r="M156" t="s">
        <v>705</v>
      </c>
      <c r="N156">
        <v>46</v>
      </c>
      <c r="O156">
        <v>9</v>
      </c>
      <c r="P156" t="s">
        <v>27</v>
      </c>
    </row>
    <row r="157" spans="1:16" x14ac:dyDescent="0.35">
      <c r="A157" t="s">
        <v>706</v>
      </c>
      <c r="B157" t="s">
        <v>464</v>
      </c>
      <c r="C157" t="s">
        <v>48</v>
      </c>
      <c r="D157" t="s">
        <v>707</v>
      </c>
      <c r="E157" t="s">
        <v>708</v>
      </c>
      <c r="F157">
        <v>76</v>
      </c>
      <c r="G157">
        <v>97</v>
      </c>
      <c r="H157">
        <v>20</v>
      </c>
      <c r="I157" t="s">
        <v>3485</v>
      </c>
      <c r="J157" s="8">
        <v>45378</v>
      </c>
      <c r="K157" s="8">
        <v>45528</v>
      </c>
      <c r="L157" s="8">
        <v>45423</v>
      </c>
      <c r="M157" t="s">
        <v>709</v>
      </c>
      <c r="N157">
        <v>52</v>
      </c>
      <c r="O157">
        <v>82</v>
      </c>
      <c r="P157" t="s">
        <v>27</v>
      </c>
    </row>
    <row r="158" spans="1:16" x14ac:dyDescent="0.35">
      <c r="A158" t="s">
        <v>710</v>
      </c>
      <c r="B158" t="s">
        <v>711</v>
      </c>
      <c r="C158" t="s">
        <v>59</v>
      </c>
      <c r="D158" t="s">
        <v>712</v>
      </c>
      <c r="E158" t="s">
        <v>713</v>
      </c>
      <c r="F158">
        <v>57</v>
      </c>
      <c r="G158">
        <v>99</v>
      </c>
      <c r="H158">
        <v>23</v>
      </c>
      <c r="I158" t="s">
        <v>3484</v>
      </c>
      <c r="J158" s="8">
        <v>45498</v>
      </c>
      <c r="K158" s="8">
        <v>45437</v>
      </c>
      <c r="L158" s="8">
        <v>45401</v>
      </c>
      <c r="M158" t="s">
        <v>714</v>
      </c>
      <c r="N158">
        <v>89</v>
      </c>
      <c r="O158">
        <v>21</v>
      </c>
      <c r="P158" t="s">
        <v>39</v>
      </c>
    </row>
    <row r="159" spans="1:16" x14ac:dyDescent="0.35">
      <c r="A159" t="s">
        <v>715</v>
      </c>
      <c r="B159" t="s">
        <v>497</v>
      </c>
      <c r="C159" t="s">
        <v>65</v>
      </c>
      <c r="D159" t="s">
        <v>716</v>
      </c>
      <c r="E159" t="s">
        <v>717</v>
      </c>
      <c r="F159">
        <v>92</v>
      </c>
      <c r="G159">
        <v>99</v>
      </c>
      <c r="H159">
        <v>93</v>
      </c>
      <c r="I159" t="s">
        <v>3478</v>
      </c>
      <c r="J159" s="8">
        <v>45707</v>
      </c>
      <c r="K159" s="8">
        <v>45486</v>
      </c>
      <c r="L159" s="8">
        <v>45377</v>
      </c>
      <c r="M159" t="s">
        <v>718</v>
      </c>
      <c r="N159">
        <v>43</v>
      </c>
      <c r="O159">
        <v>90</v>
      </c>
      <c r="P159" t="s">
        <v>27</v>
      </c>
    </row>
    <row r="160" spans="1:16" x14ac:dyDescent="0.35">
      <c r="A160" t="s">
        <v>719</v>
      </c>
      <c r="B160" t="s">
        <v>720</v>
      </c>
      <c r="C160" t="s">
        <v>65</v>
      </c>
      <c r="D160" t="s">
        <v>721</v>
      </c>
      <c r="E160" t="s">
        <v>722</v>
      </c>
      <c r="F160">
        <v>88</v>
      </c>
      <c r="G160">
        <v>74</v>
      </c>
      <c r="H160">
        <v>97</v>
      </c>
      <c r="I160" t="s">
        <v>3492</v>
      </c>
      <c r="J160" s="8">
        <v>45440</v>
      </c>
      <c r="K160" s="8">
        <v>45443</v>
      </c>
      <c r="L160" s="8">
        <v>45528</v>
      </c>
      <c r="M160" t="s">
        <v>723</v>
      </c>
      <c r="N160">
        <v>79</v>
      </c>
      <c r="O160">
        <v>5</v>
      </c>
      <c r="P160" t="s">
        <v>45</v>
      </c>
    </row>
    <row r="161" spans="1:16" x14ac:dyDescent="0.35">
      <c r="A161" t="s">
        <v>724</v>
      </c>
      <c r="B161" t="s">
        <v>529</v>
      </c>
      <c r="C161" t="s">
        <v>48</v>
      </c>
      <c r="D161" t="s">
        <v>725</v>
      </c>
      <c r="E161" t="s">
        <v>726</v>
      </c>
      <c r="F161">
        <v>99</v>
      </c>
      <c r="G161">
        <v>8</v>
      </c>
      <c r="H161">
        <v>27</v>
      </c>
      <c r="I161" t="s">
        <v>3489</v>
      </c>
      <c r="J161" s="8">
        <v>45489</v>
      </c>
      <c r="K161" s="8">
        <v>45486</v>
      </c>
      <c r="L161" s="8">
        <v>45514</v>
      </c>
      <c r="M161" t="s">
        <v>727</v>
      </c>
      <c r="N161">
        <v>41</v>
      </c>
      <c r="O161">
        <v>50</v>
      </c>
      <c r="P161" t="s">
        <v>27</v>
      </c>
    </row>
    <row r="162" spans="1:16" x14ac:dyDescent="0.35">
      <c r="A162" t="s">
        <v>728</v>
      </c>
      <c r="B162" t="s">
        <v>729</v>
      </c>
      <c r="C162" t="s">
        <v>65</v>
      </c>
      <c r="D162" t="s">
        <v>730</v>
      </c>
      <c r="E162" t="s">
        <v>731</v>
      </c>
      <c r="F162">
        <v>44</v>
      </c>
      <c r="G162">
        <v>84</v>
      </c>
      <c r="H162">
        <v>63</v>
      </c>
      <c r="I162" t="s">
        <v>3480</v>
      </c>
      <c r="J162" s="8">
        <v>45502</v>
      </c>
      <c r="K162" s="8">
        <v>45393</v>
      </c>
      <c r="L162" s="8">
        <v>45560</v>
      </c>
      <c r="M162" t="s">
        <v>732</v>
      </c>
      <c r="N162">
        <v>51</v>
      </c>
      <c r="O162">
        <v>67</v>
      </c>
      <c r="P162" t="s">
        <v>27</v>
      </c>
    </row>
    <row r="163" spans="1:16" x14ac:dyDescent="0.35">
      <c r="A163" t="s">
        <v>733</v>
      </c>
      <c r="B163" t="s">
        <v>192</v>
      </c>
      <c r="C163" t="s">
        <v>30</v>
      </c>
      <c r="D163" t="s">
        <v>734</v>
      </c>
      <c r="E163" t="s">
        <v>735</v>
      </c>
      <c r="F163">
        <v>48</v>
      </c>
      <c r="G163">
        <v>77</v>
      </c>
      <c r="H163">
        <v>81</v>
      </c>
      <c r="I163" t="s">
        <v>3515</v>
      </c>
      <c r="J163" s="8">
        <v>45685</v>
      </c>
      <c r="K163" s="8">
        <v>45570</v>
      </c>
      <c r="L163" s="8">
        <v>45633</v>
      </c>
      <c r="M163" t="s">
        <v>736</v>
      </c>
      <c r="N163">
        <v>70</v>
      </c>
      <c r="O163">
        <v>74</v>
      </c>
      <c r="P163" t="s">
        <v>39</v>
      </c>
    </row>
    <row r="164" spans="1:16" x14ac:dyDescent="0.35">
      <c r="A164" t="s">
        <v>737</v>
      </c>
      <c r="B164" t="s">
        <v>738</v>
      </c>
      <c r="C164" t="s">
        <v>59</v>
      </c>
      <c r="D164" t="s">
        <v>739</v>
      </c>
      <c r="E164" t="s">
        <v>499</v>
      </c>
      <c r="F164">
        <v>27</v>
      </c>
      <c r="G164">
        <v>92</v>
      </c>
      <c r="H164">
        <v>56</v>
      </c>
      <c r="I164" t="s">
        <v>3516</v>
      </c>
      <c r="J164" s="8">
        <v>45400</v>
      </c>
      <c r="K164" s="8">
        <v>45584</v>
      </c>
      <c r="L164" s="8">
        <v>45644</v>
      </c>
      <c r="M164" t="s">
        <v>740</v>
      </c>
      <c r="N164">
        <v>29</v>
      </c>
      <c r="O164">
        <v>32</v>
      </c>
      <c r="P164" t="s">
        <v>27</v>
      </c>
    </row>
    <row r="165" spans="1:16" x14ac:dyDescent="0.35">
      <c r="A165" t="s">
        <v>741</v>
      </c>
      <c r="B165" t="s">
        <v>35</v>
      </c>
      <c r="C165" t="s">
        <v>23</v>
      </c>
      <c r="D165" t="s">
        <v>742</v>
      </c>
      <c r="E165" t="s">
        <v>743</v>
      </c>
      <c r="F165">
        <v>34</v>
      </c>
      <c r="G165">
        <v>96</v>
      </c>
      <c r="H165">
        <v>76</v>
      </c>
      <c r="I165" t="s">
        <v>3517</v>
      </c>
      <c r="J165" s="8">
        <v>45568</v>
      </c>
      <c r="K165" s="8">
        <v>45632</v>
      </c>
      <c r="L165" s="8">
        <v>45672</v>
      </c>
      <c r="M165" t="s">
        <v>744</v>
      </c>
      <c r="N165">
        <v>90</v>
      </c>
      <c r="O165">
        <v>34</v>
      </c>
      <c r="P165" t="s">
        <v>27</v>
      </c>
    </row>
    <row r="166" spans="1:16" x14ac:dyDescent="0.35">
      <c r="A166" t="s">
        <v>745</v>
      </c>
      <c r="B166" t="s">
        <v>275</v>
      </c>
      <c r="C166" t="s">
        <v>48</v>
      </c>
      <c r="D166" t="s">
        <v>746</v>
      </c>
      <c r="E166" t="s">
        <v>263</v>
      </c>
      <c r="F166">
        <v>41</v>
      </c>
      <c r="G166">
        <v>94</v>
      </c>
      <c r="H166">
        <v>4</v>
      </c>
      <c r="I166" t="s">
        <v>3481</v>
      </c>
      <c r="J166" s="8">
        <v>45692</v>
      </c>
      <c r="K166" s="8">
        <v>45499</v>
      </c>
      <c r="L166" s="8">
        <v>45405</v>
      </c>
      <c r="M166" t="s">
        <v>747</v>
      </c>
      <c r="N166">
        <v>88</v>
      </c>
      <c r="O166">
        <v>92</v>
      </c>
      <c r="P166" t="s">
        <v>27</v>
      </c>
    </row>
    <row r="167" spans="1:16" x14ac:dyDescent="0.35">
      <c r="A167" t="s">
        <v>748</v>
      </c>
      <c r="B167" t="s">
        <v>317</v>
      </c>
      <c r="C167" t="s">
        <v>30</v>
      </c>
      <c r="D167" t="s">
        <v>749</v>
      </c>
      <c r="E167" t="s">
        <v>50</v>
      </c>
      <c r="F167">
        <v>56</v>
      </c>
      <c r="G167">
        <v>12</v>
      </c>
      <c r="H167">
        <v>85</v>
      </c>
      <c r="I167" t="s">
        <v>3489</v>
      </c>
      <c r="J167" s="8">
        <v>45636</v>
      </c>
      <c r="K167" s="8">
        <v>45371</v>
      </c>
      <c r="L167" s="8">
        <v>45401</v>
      </c>
      <c r="M167" t="s">
        <v>750</v>
      </c>
      <c r="N167">
        <v>52</v>
      </c>
      <c r="O167">
        <v>46</v>
      </c>
      <c r="P167" t="s">
        <v>45</v>
      </c>
    </row>
    <row r="168" spans="1:16" x14ac:dyDescent="0.35">
      <c r="A168" t="s">
        <v>751</v>
      </c>
      <c r="B168" t="s">
        <v>752</v>
      </c>
      <c r="C168" t="s">
        <v>48</v>
      </c>
      <c r="D168" t="s">
        <v>753</v>
      </c>
      <c r="E168" t="s">
        <v>754</v>
      </c>
      <c r="F168">
        <v>22</v>
      </c>
      <c r="G168">
        <v>40</v>
      </c>
      <c r="H168">
        <v>7</v>
      </c>
      <c r="I168" t="s">
        <v>3489</v>
      </c>
      <c r="J168" s="8">
        <v>45547</v>
      </c>
      <c r="K168" s="8">
        <v>45657</v>
      </c>
      <c r="L168" s="8">
        <v>45683</v>
      </c>
      <c r="M168" t="s">
        <v>755</v>
      </c>
      <c r="N168">
        <v>98</v>
      </c>
      <c r="O168">
        <v>60</v>
      </c>
      <c r="P168" t="s">
        <v>45</v>
      </c>
    </row>
    <row r="169" spans="1:16" x14ac:dyDescent="0.35">
      <c r="A169" t="s">
        <v>756</v>
      </c>
      <c r="B169" t="s">
        <v>456</v>
      </c>
      <c r="C169" t="s">
        <v>59</v>
      </c>
      <c r="D169" t="s">
        <v>757</v>
      </c>
      <c r="E169" t="s">
        <v>758</v>
      </c>
      <c r="F169">
        <v>40</v>
      </c>
      <c r="G169">
        <v>2</v>
      </c>
      <c r="H169">
        <v>58</v>
      </c>
      <c r="I169" t="s">
        <v>3500</v>
      </c>
      <c r="J169" s="8">
        <v>45596</v>
      </c>
      <c r="K169" s="8">
        <v>45517</v>
      </c>
      <c r="L169" s="8">
        <v>45604</v>
      </c>
      <c r="M169" t="s">
        <v>759</v>
      </c>
      <c r="N169">
        <v>71</v>
      </c>
      <c r="O169">
        <v>10</v>
      </c>
      <c r="P169" t="s">
        <v>45</v>
      </c>
    </row>
    <row r="170" spans="1:16" x14ac:dyDescent="0.35">
      <c r="A170" t="s">
        <v>760</v>
      </c>
      <c r="B170" t="s">
        <v>114</v>
      </c>
      <c r="C170" t="s">
        <v>65</v>
      </c>
      <c r="D170" t="s">
        <v>761</v>
      </c>
      <c r="E170" t="s">
        <v>762</v>
      </c>
      <c r="F170">
        <v>50</v>
      </c>
      <c r="G170">
        <v>99</v>
      </c>
      <c r="H170">
        <v>73</v>
      </c>
      <c r="I170" t="s">
        <v>3486</v>
      </c>
      <c r="J170" s="8">
        <v>45424</v>
      </c>
      <c r="K170" s="8">
        <v>45527</v>
      </c>
      <c r="L170" s="8">
        <v>45429</v>
      </c>
      <c r="M170" t="s">
        <v>763</v>
      </c>
      <c r="N170">
        <v>42</v>
      </c>
      <c r="O170">
        <v>1</v>
      </c>
      <c r="P170" t="s">
        <v>39</v>
      </c>
    </row>
    <row r="171" spans="1:16" x14ac:dyDescent="0.35">
      <c r="A171" t="s">
        <v>764</v>
      </c>
      <c r="B171" t="s">
        <v>225</v>
      </c>
      <c r="C171" t="s">
        <v>48</v>
      </c>
      <c r="D171" t="s">
        <v>765</v>
      </c>
      <c r="E171" t="s">
        <v>766</v>
      </c>
      <c r="F171">
        <v>89</v>
      </c>
      <c r="G171">
        <v>92</v>
      </c>
      <c r="H171">
        <v>62</v>
      </c>
      <c r="I171" t="s">
        <v>3518</v>
      </c>
      <c r="J171" s="8">
        <v>45353</v>
      </c>
      <c r="K171" s="8">
        <v>45481</v>
      </c>
      <c r="L171" s="8">
        <v>45607</v>
      </c>
      <c r="M171" t="s">
        <v>767</v>
      </c>
      <c r="N171">
        <v>46</v>
      </c>
      <c r="O171">
        <v>11</v>
      </c>
      <c r="P171" t="s">
        <v>39</v>
      </c>
    </row>
    <row r="172" spans="1:16" x14ac:dyDescent="0.35">
      <c r="A172" t="s">
        <v>768</v>
      </c>
      <c r="B172" t="s">
        <v>729</v>
      </c>
      <c r="C172" t="s">
        <v>65</v>
      </c>
      <c r="D172" t="s">
        <v>769</v>
      </c>
      <c r="E172" t="s">
        <v>438</v>
      </c>
      <c r="F172">
        <v>76</v>
      </c>
      <c r="G172">
        <v>54</v>
      </c>
      <c r="H172">
        <v>76</v>
      </c>
      <c r="I172" t="s">
        <v>3480</v>
      </c>
      <c r="J172" s="8">
        <v>45566</v>
      </c>
      <c r="K172" s="8">
        <v>45521</v>
      </c>
      <c r="L172" s="8">
        <v>45438</v>
      </c>
      <c r="M172" t="s">
        <v>770</v>
      </c>
      <c r="N172">
        <v>69</v>
      </c>
      <c r="O172">
        <v>27</v>
      </c>
      <c r="P172" t="s">
        <v>39</v>
      </c>
    </row>
    <row r="173" spans="1:16" x14ac:dyDescent="0.35">
      <c r="A173" t="s">
        <v>771</v>
      </c>
      <c r="B173" t="s">
        <v>772</v>
      </c>
      <c r="C173" t="s">
        <v>23</v>
      </c>
      <c r="D173" t="s">
        <v>773</v>
      </c>
      <c r="E173" t="s">
        <v>584</v>
      </c>
      <c r="F173">
        <v>67</v>
      </c>
      <c r="G173">
        <v>60</v>
      </c>
      <c r="H173">
        <v>21</v>
      </c>
      <c r="I173" t="s">
        <v>3519</v>
      </c>
      <c r="J173" s="8">
        <v>45385</v>
      </c>
      <c r="K173" s="8">
        <v>45432</v>
      </c>
      <c r="L173" s="8">
        <v>45541</v>
      </c>
      <c r="M173" t="s">
        <v>774</v>
      </c>
      <c r="N173">
        <v>30</v>
      </c>
      <c r="O173">
        <v>6</v>
      </c>
      <c r="P173" t="s">
        <v>45</v>
      </c>
    </row>
    <row r="174" spans="1:16" x14ac:dyDescent="0.35">
      <c r="A174" t="s">
        <v>775</v>
      </c>
      <c r="B174" t="s">
        <v>776</v>
      </c>
      <c r="C174" t="s">
        <v>30</v>
      </c>
      <c r="D174" t="s">
        <v>777</v>
      </c>
      <c r="E174" t="s">
        <v>778</v>
      </c>
      <c r="F174">
        <v>62</v>
      </c>
      <c r="G174">
        <v>78</v>
      </c>
      <c r="H174">
        <v>97</v>
      </c>
      <c r="I174" t="s">
        <v>3503</v>
      </c>
      <c r="J174" s="8">
        <v>45390</v>
      </c>
      <c r="K174" s="8">
        <v>45533</v>
      </c>
      <c r="L174" s="8">
        <v>45377</v>
      </c>
      <c r="M174" t="s">
        <v>779</v>
      </c>
      <c r="N174">
        <v>62</v>
      </c>
      <c r="O174">
        <v>97</v>
      </c>
      <c r="P174" t="s">
        <v>27</v>
      </c>
    </row>
    <row r="175" spans="1:16" x14ac:dyDescent="0.35">
      <c r="A175" t="s">
        <v>780</v>
      </c>
      <c r="B175" t="s">
        <v>781</v>
      </c>
      <c r="C175" t="s">
        <v>48</v>
      </c>
      <c r="D175" t="s">
        <v>782</v>
      </c>
      <c r="E175" t="s">
        <v>783</v>
      </c>
      <c r="F175">
        <v>75</v>
      </c>
      <c r="G175">
        <v>10</v>
      </c>
      <c r="H175">
        <v>68</v>
      </c>
      <c r="I175" t="s">
        <v>3481</v>
      </c>
      <c r="J175" s="8">
        <v>45546</v>
      </c>
      <c r="K175" s="8">
        <v>45667</v>
      </c>
      <c r="L175" s="8">
        <v>45629</v>
      </c>
      <c r="M175" t="s">
        <v>784</v>
      </c>
      <c r="N175">
        <v>90</v>
      </c>
      <c r="O175">
        <v>42</v>
      </c>
      <c r="P175" t="s">
        <v>45</v>
      </c>
    </row>
    <row r="176" spans="1:16" x14ac:dyDescent="0.35">
      <c r="A176" t="s">
        <v>785</v>
      </c>
      <c r="B176" t="s">
        <v>287</v>
      </c>
      <c r="C176" t="s">
        <v>30</v>
      </c>
      <c r="D176" t="s">
        <v>786</v>
      </c>
      <c r="E176" t="s">
        <v>787</v>
      </c>
      <c r="F176">
        <v>75</v>
      </c>
      <c r="G176">
        <v>47</v>
      </c>
      <c r="H176">
        <v>33</v>
      </c>
      <c r="I176" t="s">
        <v>3520</v>
      </c>
      <c r="J176" s="8">
        <v>45469</v>
      </c>
      <c r="K176" s="8">
        <v>45635</v>
      </c>
      <c r="L176" s="8">
        <v>45435</v>
      </c>
      <c r="M176" t="s">
        <v>788</v>
      </c>
      <c r="N176">
        <v>33</v>
      </c>
      <c r="O176">
        <v>12</v>
      </c>
      <c r="P176" t="s">
        <v>27</v>
      </c>
    </row>
    <row r="177" spans="1:16" x14ac:dyDescent="0.35">
      <c r="A177" t="s">
        <v>789</v>
      </c>
      <c r="B177" t="s">
        <v>408</v>
      </c>
      <c r="C177" t="s">
        <v>65</v>
      </c>
      <c r="D177" t="s">
        <v>790</v>
      </c>
      <c r="E177" t="s">
        <v>766</v>
      </c>
      <c r="F177">
        <v>29</v>
      </c>
      <c r="G177">
        <v>32</v>
      </c>
      <c r="H177">
        <v>26</v>
      </c>
      <c r="I177" t="s">
        <v>3480</v>
      </c>
      <c r="J177" s="8">
        <v>45556</v>
      </c>
      <c r="K177" s="8">
        <v>45458</v>
      </c>
      <c r="L177" s="8">
        <v>45550</v>
      </c>
      <c r="M177" t="s">
        <v>791</v>
      </c>
      <c r="N177">
        <v>64</v>
      </c>
      <c r="O177">
        <v>85</v>
      </c>
      <c r="P177" t="s">
        <v>27</v>
      </c>
    </row>
    <row r="178" spans="1:16" x14ac:dyDescent="0.35">
      <c r="A178" t="s">
        <v>792</v>
      </c>
      <c r="B178" t="s">
        <v>168</v>
      </c>
      <c r="C178" t="s">
        <v>90</v>
      </c>
      <c r="D178" t="s">
        <v>793</v>
      </c>
      <c r="E178" t="s">
        <v>794</v>
      </c>
      <c r="F178">
        <v>34</v>
      </c>
      <c r="G178">
        <v>55</v>
      </c>
      <c r="H178">
        <v>22</v>
      </c>
      <c r="I178" t="s">
        <v>3489</v>
      </c>
      <c r="J178" s="8">
        <v>45576</v>
      </c>
      <c r="K178" s="8">
        <v>45472</v>
      </c>
      <c r="L178" s="8">
        <v>45611</v>
      </c>
      <c r="M178" t="s">
        <v>795</v>
      </c>
      <c r="N178">
        <v>77</v>
      </c>
      <c r="O178">
        <v>85</v>
      </c>
      <c r="P178" t="s">
        <v>45</v>
      </c>
    </row>
    <row r="179" spans="1:16" x14ac:dyDescent="0.35">
      <c r="A179" t="s">
        <v>796</v>
      </c>
      <c r="B179" t="s">
        <v>673</v>
      </c>
      <c r="C179" t="s">
        <v>30</v>
      </c>
      <c r="D179" t="s">
        <v>797</v>
      </c>
      <c r="E179" t="s">
        <v>798</v>
      </c>
      <c r="F179">
        <v>15</v>
      </c>
      <c r="G179">
        <v>66</v>
      </c>
      <c r="H179">
        <v>85</v>
      </c>
      <c r="I179" t="s">
        <v>3486</v>
      </c>
      <c r="J179" s="8">
        <v>45583</v>
      </c>
      <c r="K179" s="8">
        <v>45476</v>
      </c>
      <c r="L179" s="8">
        <v>45366</v>
      </c>
      <c r="M179" t="s">
        <v>799</v>
      </c>
      <c r="N179">
        <v>60</v>
      </c>
      <c r="O179">
        <v>40</v>
      </c>
      <c r="P179" t="s">
        <v>39</v>
      </c>
    </row>
    <row r="180" spans="1:16" x14ac:dyDescent="0.35">
      <c r="A180" t="s">
        <v>800</v>
      </c>
      <c r="B180" t="s">
        <v>801</v>
      </c>
      <c r="C180" t="s">
        <v>133</v>
      </c>
      <c r="D180" t="s">
        <v>802</v>
      </c>
      <c r="E180" t="s">
        <v>803</v>
      </c>
      <c r="F180">
        <v>88</v>
      </c>
      <c r="G180">
        <v>56</v>
      </c>
      <c r="H180">
        <v>81</v>
      </c>
      <c r="I180" t="s">
        <v>3503</v>
      </c>
      <c r="J180" s="8">
        <v>45422</v>
      </c>
      <c r="K180" s="8">
        <v>45361</v>
      </c>
      <c r="L180" s="8">
        <v>45549</v>
      </c>
      <c r="M180" t="s">
        <v>804</v>
      </c>
      <c r="N180">
        <v>98</v>
      </c>
      <c r="O180">
        <v>86</v>
      </c>
      <c r="P180" t="s">
        <v>27</v>
      </c>
    </row>
    <row r="181" spans="1:16" x14ac:dyDescent="0.35">
      <c r="A181" t="s">
        <v>805</v>
      </c>
      <c r="B181" t="s">
        <v>720</v>
      </c>
      <c r="C181" t="s">
        <v>65</v>
      </c>
      <c r="D181" t="s">
        <v>806</v>
      </c>
      <c r="E181" t="s">
        <v>807</v>
      </c>
      <c r="F181">
        <v>40</v>
      </c>
      <c r="G181">
        <v>81</v>
      </c>
      <c r="H181">
        <v>40</v>
      </c>
      <c r="I181" t="s">
        <v>3492</v>
      </c>
      <c r="J181" s="8">
        <v>45574</v>
      </c>
      <c r="K181" s="8">
        <v>45410</v>
      </c>
      <c r="L181" s="8">
        <v>45595</v>
      </c>
      <c r="M181" t="s">
        <v>808</v>
      </c>
      <c r="N181">
        <v>40</v>
      </c>
      <c r="O181">
        <v>48</v>
      </c>
      <c r="P181" t="s">
        <v>39</v>
      </c>
    </row>
    <row r="182" spans="1:16" x14ac:dyDescent="0.35">
      <c r="A182" t="s">
        <v>809</v>
      </c>
      <c r="B182" t="s">
        <v>604</v>
      </c>
      <c r="C182" t="s">
        <v>59</v>
      </c>
      <c r="D182" t="s">
        <v>810</v>
      </c>
      <c r="E182" t="s">
        <v>811</v>
      </c>
      <c r="F182">
        <v>10</v>
      </c>
      <c r="G182">
        <v>86</v>
      </c>
      <c r="H182">
        <v>23</v>
      </c>
      <c r="I182" t="s">
        <v>3503</v>
      </c>
      <c r="J182" s="8">
        <v>45472</v>
      </c>
      <c r="K182" s="8">
        <v>45622</v>
      </c>
      <c r="L182" s="8">
        <v>45639</v>
      </c>
      <c r="M182" t="s">
        <v>812</v>
      </c>
      <c r="N182">
        <v>24</v>
      </c>
      <c r="O182">
        <v>52</v>
      </c>
      <c r="P182" t="s">
        <v>39</v>
      </c>
    </row>
    <row r="183" spans="1:16" x14ac:dyDescent="0.35">
      <c r="A183" t="s">
        <v>813</v>
      </c>
      <c r="B183" t="s">
        <v>29</v>
      </c>
      <c r="C183" t="s">
        <v>30</v>
      </c>
      <c r="D183" t="s">
        <v>814</v>
      </c>
      <c r="E183" t="s">
        <v>32</v>
      </c>
      <c r="F183">
        <v>21</v>
      </c>
      <c r="G183">
        <v>87</v>
      </c>
      <c r="H183">
        <v>12</v>
      </c>
      <c r="I183" t="s">
        <v>3511</v>
      </c>
      <c r="J183" s="8">
        <v>45613</v>
      </c>
      <c r="K183" s="8">
        <v>45537</v>
      </c>
      <c r="L183" s="8">
        <v>45542</v>
      </c>
      <c r="M183" t="s">
        <v>815</v>
      </c>
      <c r="N183">
        <v>20</v>
      </c>
      <c r="O183">
        <v>38</v>
      </c>
      <c r="P183" t="s">
        <v>27</v>
      </c>
    </row>
    <row r="184" spans="1:16" x14ac:dyDescent="0.35">
      <c r="A184" t="s">
        <v>816</v>
      </c>
      <c r="B184" t="s">
        <v>132</v>
      </c>
      <c r="C184" t="s">
        <v>133</v>
      </c>
      <c r="D184" t="s">
        <v>817</v>
      </c>
      <c r="E184" t="s">
        <v>818</v>
      </c>
      <c r="F184">
        <v>75</v>
      </c>
      <c r="G184">
        <v>25</v>
      </c>
      <c r="H184">
        <v>99</v>
      </c>
      <c r="I184" t="s">
        <v>3487</v>
      </c>
      <c r="J184" s="8">
        <v>45585</v>
      </c>
      <c r="K184" s="8">
        <v>45441</v>
      </c>
      <c r="L184" s="8">
        <v>45486</v>
      </c>
      <c r="M184" t="s">
        <v>819</v>
      </c>
      <c r="N184">
        <v>89</v>
      </c>
      <c r="O184">
        <v>42</v>
      </c>
      <c r="P184" t="s">
        <v>45</v>
      </c>
    </row>
    <row r="185" spans="1:16" x14ac:dyDescent="0.35">
      <c r="A185" t="s">
        <v>820</v>
      </c>
      <c r="B185" t="s">
        <v>533</v>
      </c>
      <c r="C185" t="s">
        <v>133</v>
      </c>
      <c r="D185" t="s">
        <v>821</v>
      </c>
      <c r="E185" t="s">
        <v>822</v>
      </c>
      <c r="F185">
        <v>56</v>
      </c>
      <c r="G185">
        <v>50</v>
      </c>
      <c r="H185">
        <v>80</v>
      </c>
      <c r="I185" t="s">
        <v>3486</v>
      </c>
      <c r="J185" s="8">
        <v>45712</v>
      </c>
      <c r="K185" s="8">
        <v>45363</v>
      </c>
      <c r="L185" s="8">
        <v>45587</v>
      </c>
      <c r="M185" t="s">
        <v>823</v>
      </c>
      <c r="N185">
        <v>99</v>
      </c>
      <c r="O185">
        <v>5</v>
      </c>
      <c r="P185" t="s">
        <v>27</v>
      </c>
    </row>
    <row r="186" spans="1:16" x14ac:dyDescent="0.35">
      <c r="A186" t="s">
        <v>824</v>
      </c>
      <c r="B186" t="s">
        <v>89</v>
      </c>
      <c r="C186" t="s">
        <v>90</v>
      </c>
      <c r="D186" t="s">
        <v>825</v>
      </c>
      <c r="E186" t="s">
        <v>826</v>
      </c>
      <c r="F186">
        <v>69</v>
      </c>
      <c r="G186">
        <v>65</v>
      </c>
      <c r="H186">
        <v>91</v>
      </c>
      <c r="I186" t="s">
        <v>3481</v>
      </c>
      <c r="J186" s="8">
        <v>45478</v>
      </c>
      <c r="K186" s="8">
        <v>45499</v>
      </c>
      <c r="L186" s="8">
        <v>45390</v>
      </c>
      <c r="M186" t="s">
        <v>827</v>
      </c>
      <c r="N186">
        <v>98</v>
      </c>
      <c r="O186">
        <v>50</v>
      </c>
      <c r="P186" t="s">
        <v>39</v>
      </c>
    </row>
    <row r="187" spans="1:16" x14ac:dyDescent="0.35">
      <c r="A187" t="s">
        <v>828</v>
      </c>
      <c r="B187" t="s">
        <v>829</v>
      </c>
      <c r="C187" t="s">
        <v>23</v>
      </c>
      <c r="D187" t="s">
        <v>830</v>
      </c>
      <c r="E187" t="s">
        <v>831</v>
      </c>
      <c r="F187">
        <v>56</v>
      </c>
      <c r="G187">
        <v>53</v>
      </c>
      <c r="H187">
        <v>77</v>
      </c>
      <c r="I187" t="s">
        <v>3474</v>
      </c>
      <c r="J187" s="8">
        <v>45485</v>
      </c>
      <c r="K187" s="8">
        <v>45497</v>
      </c>
      <c r="L187" s="8">
        <v>45685</v>
      </c>
      <c r="M187" t="s">
        <v>832</v>
      </c>
      <c r="N187">
        <v>69</v>
      </c>
      <c r="O187">
        <v>69</v>
      </c>
      <c r="P187" t="s">
        <v>45</v>
      </c>
    </row>
    <row r="188" spans="1:16" x14ac:dyDescent="0.35">
      <c r="A188" t="s">
        <v>833</v>
      </c>
      <c r="B188" t="s">
        <v>84</v>
      </c>
      <c r="C188" t="s">
        <v>23</v>
      </c>
      <c r="D188" t="s">
        <v>834</v>
      </c>
      <c r="E188" t="s">
        <v>347</v>
      </c>
      <c r="F188">
        <v>24</v>
      </c>
      <c r="G188">
        <v>69</v>
      </c>
      <c r="H188">
        <v>2</v>
      </c>
      <c r="I188" t="s">
        <v>3484</v>
      </c>
      <c r="J188" s="8">
        <v>45570</v>
      </c>
      <c r="K188" s="8">
        <v>45395</v>
      </c>
      <c r="L188" s="8">
        <v>45649</v>
      </c>
      <c r="M188" t="s">
        <v>835</v>
      </c>
      <c r="N188">
        <v>20</v>
      </c>
      <c r="O188">
        <v>20</v>
      </c>
      <c r="P188" t="s">
        <v>39</v>
      </c>
    </row>
    <row r="189" spans="1:16" x14ac:dyDescent="0.35">
      <c r="A189" t="s">
        <v>836</v>
      </c>
      <c r="B189" t="s">
        <v>266</v>
      </c>
      <c r="C189" t="s">
        <v>90</v>
      </c>
      <c r="D189" t="s">
        <v>837</v>
      </c>
      <c r="E189" t="s">
        <v>72</v>
      </c>
      <c r="F189">
        <v>30</v>
      </c>
      <c r="G189">
        <v>85</v>
      </c>
      <c r="H189">
        <v>21</v>
      </c>
      <c r="I189" t="s">
        <v>3474</v>
      </c>
      <c r="J189" s="8">
        <v>45645</v>
      </c>
      <c r="K189" s="8">
        <v>45559</v>
      </c>
      <c r="L189" s="8">
        <v>45616</v>
      </c>
      <c r="M189" t="s">
        <v>838</v>
      </c>
      <c r="N189">
        <v>32</v>
      </c>
      <c r="O189">
        <v>83</v>
      </c>
      <c r="P189" t="s">
        <v>27</v>
      </c>
    </row>
    <row r="190" spans="1:16" x14ac:dyDescent="0.35">
      <c r="A190" t="s">
        <v>839</v>
      </c>
      <c r="B190" t="s">
        <v>337</v>
      </c>
      <c r="C190" t="s">
        <v>30</v>
      </c>
      <c r="D190" t="s">
        <v>840</v>
      </c>
      <c r="E190" t="s">
        <v>841</v>
      </c>
      <c r="F190">
        <v>36</v>
      </c>
      <c r="G190">
        <v>90</v>
      </c>
      <c r="H190">
        <v>57</v>
      </c>
      <c r="I190" t="s">
        <v>3499</v>
      </c>
      <c r="J190" s="8">
        <v>45637</v>
      </c>
      <c r="K190" s="8">
        <v>45511</v>
      </c>
      <c r="L190" s="8">
        <v>45430</v>
      </c>
      <c r="M190" t="s">
        <v>842</v>
      </c>
      <c r="N190">
        <v>35</v>
      </c>
      <c r="O190">
        <v>68</v>
      </c>
      <c r="P190" t="s">
        <v>39</v>
      </c>
    </row>
    <row r="191" spans="1:16" x14ac:dyDescent="0.35">
      <c r="A191" t="s">
        <v>843</v>
      </c>
      <c r="B191" t="s">
        <v>283</v>
      </c>
      <c r="C191" t="s">
        <v>90</v>
      </c>
      <c r="D191" t="s">
        <v>844</v>
      </c>
      <c r="E191" t="s">
        <v>845</v>
      </c>
      <c r="F191">
        <v>93</v>
      </c>
      <c r="G191">
        <v>76</v>
      </c>
      <c r="H191">
        <v>82</v>
      </c>
      <c r="I191" t="s">
        <v>3480</v>
      </c>
      <c r="J191" s="8">
        <v>45437</v>
      </c>
      <c r="K191" s="8">
        <v>45501</v>
      </c>
      <c r="L191" s="8">
        <v>45676</v>
      </c>
      <c r="M191" t="s">
        <v>846</v>
      </c>
      <c r="N191">
        <v>76</v>
      </c>
      <c r="O191">
        <v>51</v>
      </c>
      <c r="P191" t="s">
        <v>39</v>
      </c>
    </row>
    <row r="192" spans="1:16" x14ac:dyDescent="0.35">
      <c r="A192" t="s">
        <v>847</v>
      </c>
      <c r="B192" t="s">
        <v>345</v>
      </c>
      <c r="C192" t="s">
        <v>65</v>
      </c>
      <c r="D192" t="s">
        <v>848</v>
      </c>
      <c r="E192" t="s">
        <v>849</v>
      </c>
      <c r="F192">
        <v>96</v>
      </c>
      <c r="G192">
        <v>38</v>
      </c>
      <c r="H192">
        <v>17</v>
      </c>
      <c r="I192" t="s">
        <v>3485</v>
      </c>
      <c r="J192" s="8">
        <v>45401</v>
      </c>
      <c r="K192" s="8">
        <v>45566</v>
      </c>
      <c r="L192" s="8">
        <v>45607</v>
      </c>
      <c r="M192" t="s">
        <v>850</v>
      </c>
      <c r="N192">
        <v>72</v>
      </c>
      <c r="O192">
        <v>84</v>
      </c>
      <c r="P192" t="s">
        <v>45</v>
      </c>
    </row>
    <row r="193" spans="1:16" x14ac:dyDescent="0.35">
      <c r="A193" t="s">
        <v>851</v>
      </c>
      <c r="B193" t="s">
        <v>436</v>
      </c>
      <c r="C193" t="s">
        <v>59</v>
      </c>
      <c r="D193" t="s">
        <v>852</v>
      </c>
      <c r="E193" t="s">
        <v>610</v>
      </c>
      <c r="F193">
        <v>60</v>
      </c>
      <c r="G193">
        <v>88</v>
      </c>
      <c r="H193">
        <v>65</v>
      </c>
      <c r="I193" t="s">
        <v>3478</v>
      </c>
      <c r="J193" s="8">
        <v>45533</v>
      </c>
      <c r="K193" s="8">
        <v>45673</v>
      </c>
      <c r="L193" s="8">
        <v>45458</v>
      </c>
      <c r="M193" t="s">
        <v>853</v>
      </c>
      <c r="N193">
        <v>94</v>
      </c>
      <c r="O193">
        <v>15</v>
      </c>
      <c r="P193" t="s">
        <v>45</v>
      </c>
    </row>
    <row r="194" spans="1:16" x14ac:dyDescent="0.35">
      <c r="A194" t="s">
        <v>854</v>
      </c>
      <c r="B194" t="s">
        <v>613</v>
      </c>
      <c r="C194" t="s">
        <v>65</v>
      </c>
      <c r="D194" t="s">
        <v>855</v>
      </c>
      <c r="E194" t="s">
        <v>663</v>
      </c>
      <c r="F194">
        <v>97</v>
      </c>
      <c r="G194">
        <v>77</v>
      </c>
      <c r="H194">
        <v>13</v>
      </c>
      <c r="I194" t="s">
        <v>3485</v>
      </c>
      <c r="J194" s="8">
        <v>45607</v>
      </c>
      <c r="K194" s="8">
        <v>45550</v>
      </c>
      <c r="L194" s="8">
        <v>45475</v>
      </c>
      <c r="M194" t="s">
        <v>856</v>
      </c>
      <c r="N194">
        <v>43</v>
      </c>
      <c r="O194">
        <v>40</v>
      </c>
      <c r="P194" t="s">
        <v>39</v>
      </c>
    </row>
    <row r="195" spans="1:16" x14ac:dyDescent="0.35">
      <c r="A195" t="s">
        <v>857</v>
      </c>
      <c r="B195" t="s">
        <v>446</v>
      </c>
      <c r="C195" t="s">
        <v>90</v>
      </c>
      <c r="D195" t="s">
        <v>858</v>
      </c>
      <c r="E195" t="s">
        <v>859</v>
      </c>
      <c r="F195">
        <v>11</v>
      </c>
      <c r="G195">
        <v>6</v>
      </c>
      <c r="H195">
        <v>100</v>
      </c>
      <c r="I195" t="s">
        <v>3489</v>
      </c>
      <c r="J195" s="8">
        <v>45356</v>
      </c>
      <c r="K195" s="8">
        <v>45551</v>
      </c>
      <c r="L195" s="8">
        <v>45347</v>
      </c>
      <c r="M195" t="s">
        <v>860</v>
      </c>
      <c r="N195">
        <v>88</v>
      </c>
      <c r="O195">
        <v>24</v>
      </c>
      <c r="P195" t="s">
        <v>27</v>
      </c>
    </row>
    <row r="196" spans="1:16" x14ac:dyDescent="0.35">
      <c r="A196" t="s">
        <v>861</v>
      </c>
      <c r="B196" t="s">
        <v>546</v>
      </c>
      <c r="C196" t="s">
        <v>48</v>
      </c>
      <c r="D196" t="s">
        <v>862</v>
      </c>
      <c r="E196" t="s">
        <v>189</v>
      </c>
      <c r="F196">
        <v>14</v>
      </c>
      <c r="G196">
        <v>66</v>
      </c>
      <c r="H196">
        <v>1</v>
      </c>
      <c r="I196" t="s">
        <v>3476</v>
      </c>
      <c r="J196" s="8">
        <v>45517</v>
      </c>
      <c r="K196" s="8">
        <v>45639</v>
      </c>
      <c r="L196" s="8">
        <v>45349</v>
      </c>
      <c r="M196" t="s">
        <v>863</v>
      </c>
      <c r="N196">
        <v>86</v>
      </c>
      <c r="O196">
        <v>15</v>
      </c>
      <c r="P196" t="s">
        <v>39</v>
      </c>
    </row>
    <row r="197" spans="1:16" x14ac:dyDescent="0.35">
      <c r="A197" t="s">
        <v>864</v>
      </c>
      <c r="B197" t="s">
        <v>865</v>
      </c>
      <c r="C197" t="s">
        <v>59</v>
      </c>
      <c r="D197" t="s">
        <v>866</v>
      </c>
      <c r="E197" t="s">
        <v>694</v>
      </c>
      <c r="F197">
        <v>88</v>
      </c>
      <c r="G197">
        <v>100</v>
      </c>
      <c r="H197">
        <v>17</v>
      </c>
      <c r="I197" t="s">
        <v>3480</v>
      </c>
      <c r="J197" s="8">
        <v>45637</v>
      </c>
      <c r="K197" s="8">
        <v>45593</v>
      </c>
      <c r="L197" s="8">
        <v>45635</v>
      </c>
      <c r="M197" t="s">
        <v>867</v>
      </c>
      <c r="N197">
        <v>25</v>
      </c>
      <c r="O197">
        <v>28</v>
      </c>
      <c r="P197" t="s">
        <v>27</v>
      </c>
    </row>
    <row r="198" spans="1:16" x14ac:dyDescent="0.35">
      <c r="A198" t="s">
        <v>868</v>
      </c>
      <c r="B198" t="s">
        <v>468</v>
      </c>
      <c r="C198" t="s">
        <v>23</v>
      </c>
      <c r="D198" t="s">
        <v>869</v>
      </c>
      <c r="E198" t="s">
        <v>135</v>
      </c>
      <c r="F198">
        <v>24</v>
      </c>
      <c r="G198">
        <v>15</v>
      </c>
      <c r="H198">
        <v>6</v>
      </c>
      <c r="I198" t="s">
        <v>3504</v>
      </c>
      <c r="J198" s="8">
        <v>45710</v>
      </c>
      <c r="K198" s="8">
        <v>45459</v>
      </c>
      <c r="L198" s="8">
        <v>45419</v>
      </c>
      <c r="M198" t="s">
        <v>870</v>
      </c>
      <c r="N198">
        <v>35</v>
      </c>
      <c r="O198">
        <v>4</v>
      </c>
      <c r="P198" t="s">
        <v>27</v>
      </c>
    </row>
    <row r="199" spans="1:16" x14ac:dyDescent="0.35">
      <c r="A199" t="s">
        <v>871</v>
      </c>
      <c r="B199" t="s">
        <v>197</v>
      </c>
      <c r="C199" t="s">
        <v>133</v>
      </c>
      <c r="D199" t="s">
        <v>872</v>
      </c>
      <c r="E199" t="s">
        <v>873</v>
      </c>
      <c r="F199">
        <v>93</v>
      </c>
      <c r="G199">
        <v>62</v>
      </c>
      <c r="H199">
        <v>65</v>
      </c>
      <c r="I199" t="s">
        <v>3492</v>
      </c>
      <c r="J199" s="8">
        <v>45452</v>
      </c>
      <c r="K199" s="8">
        <v>45465</v>
      </c>
      <c r="L199" s="8">
        <v>45399</v>
      </c>
      <c r="M199" t="s">
        <v>874</v>
      </c>
      <c r="N199">
        <v>78</v>
      </c>
      <c r="O199">
        <v>87</v>
      </c>
      <c r="P199" t="s">
        <v>45</v>
      </c>
    </row>
    <row r="200" spans="1:16" x14ac:dyDescent="0.35">
      <c r="A200" t="s">
        <v>875</v>
      </c>
      <c r="B200" t="s">
        <v>35</v>
      </c>
      <c r="C200" t="s">
        <v>23</v>
      </c>
      <c r="D200" t="s">
        <v>876</v>
      </c>
      <c r="E200" t="s">
        <v>116</v>
      </c>
      <c r="F200">
        <v>68</v>
      </c>
      <c r="G200">
        <v>68</v>
      </c>
      <c r="H200">
        <v>97</v>
      </c>
      <c r="I200" t="s">
        <v>3476</v>
      </c>
      <c r="J200" s="8">
        <v>45481</v>
      </c>
      <c r="K200" s="8">
        <v>45488</v>
      </c>
      <c r="L200" s="8">
        <v>45466</v>
      </c>
      <c r="M200" t="s">
        <v>877</v>
      </c>
      <c r="N200">
        <v>37</v>
      </c>
      <c r="O200">
        <v>31</v>
      </c>
      <c r="P200" t="s">
        <v>27</v>
      </c>
    </row>
    <row r="201" spans="1:16" x14ac:dyDescent="0.35">
      <c r="A201" t="s">
        <v>878</v>
      </c>
      <c r="B201" t="s">
        <v>89</v>
      </c>
      <c r="C201" t="s">
        <v>90</v>
      </c>
      <c r="D201" t="s">
        <v>879</v>
      </c>
      <c r="E201" t="s">
        <v>798</v>
      </c>
      <c r="F201">
        <v>28</v>
      </c>
      <c r="G201">
        <v>94</v>
      </c>
      <c r="H201">
        <v>80</v>
      </c>
      <c r="I201" t="s">
        <v>3521</v>
      </c>
      <c r="J201" s="8">
        <v>45435</v>
      </c>
      <c r="K201" s="8">
        <v>45680</v>
      </c>
      <c r="L201" s="8">
        <v>45462</v>
      </c>
      <c r="M201" t="s">
        <v>880</v>
      </c>
      <c r="N201">
        <v>31</v>
      </c>
      <c r="O201">
        <v>1</v>
      </c>
      <c r="P201" t="s">
        <v>39</v>
      </c>
    </row>
    <row r="202" spans="1:16" x14ac:dyDescent="0.35">
      <c r="A202" t="s">
        <v>881</v>
      </c>
      <c r="B202" t="s">
        <v>882</v>
      </c>
      <c r="C202" t="s">
        <v>48</v>
      </c>
      <c r="D202" t="s">
        <v>883</v>
      </c>
      <c r="E202" t="s">
        <v>37</v>
      </c>
      <c r="F202">
        <v>21</v>
      </c>
      <c r="G202">
        <v>30</v>
      </c>
      <c r="H202">
        <v>32</v>
      </c>
      <c r="I202" t="s">
        <v>3484</v>
      </c>
      <c r="J202" s="8">
        <v>45679</v>
      </c>
      <c r="K202" s="8">
        <v>45695</v>
      </c>
      <c r="L202" s="8">
        <v>45361</v>
      </c>
      <c r="M202" t="s">
        <v>884</v>
      </c>
      <c r="N202">
        <v>43</v>
      </c>
      <c r="O202">
        <v>54</v>
      </c>
      <c r="P202" t="s">
        <v>39</v>
      </c>
    </row>
    <row r="203" spans="1:16" x14ac:dyDescent="0.35">
      <c r="A203" t="s">
        <v>885</v>
      </c>
      <c r="B203" t="s">
        <v>546</v>
      </c>
      <c r="C203" t="s">
        <v>48</v>
      </c>
      <c r="D203" t="s">
        <v>886</v>
      </c>
      <c r="E203" t="s">
        <v>453</v>
      </c>
      <c r="F203">
        <v>92</v>
      </c>
      <c r="G203">
        <v>96</v>
      </c>
      <c r="H203">
        <v>56</v>
      </c>
      <c r="I203" t="s">
        <v>3476</v>
      </c>
      <c r="J203" s="8">
        <v>45614</v>
      </c>
      <c r="K203" s="8">
        <v>45468</v>
      </c>
      <c r="L203" s="8">
        <v>45493</v>
      </c>
      <c r="M203" t="s">
        <v>887</v>
      </c>
      <c r="N203">
        <v>32</v>
      </c>
      <c r="O203">
        <v>22</v>
      </c>
      <c r="P203" t="s">
        <v>27</v>
      </c>
    </row>
    <row r="204" spans="1:16" x14ac:dyDescent="0.35">
      <c r="A204" t="s">
        <v>888</v>
      </c>
      <c r="B204" t="s">
        <v>776</v>
      </c>
      <c r="C204" t="s">
        <v>30</v>
      </c>
      <c r="D204" t="s">
        <v>889</v>
      </c>
      <c r="E204" t="s">
        <v>890</v>
      </c>
      <c r="F204">
        <v>68</v>
      </c>
      <c r="G204">
        <v>12</v>
      </c>
      <c r="H204">
        <v>42</v>
      </c>
      <c r="I204" t="s">
        <v>3503</v>
      </c>
      <c r="J204" s="8">
        <v>45631</v>
      </c>
      <c r="K204" s="8">
        <v>45709</v>
      </c>
      <c r="L204" s="8">
        <v>45648</v>
      </c>
      <c r="M204" t="s">
        <v>891</v>
      </c>
      <c r="N204">
        <v>39</v>
      </c>
      <c r="O204">
        <v>6</v>
      </c>
      <c r="P204" t="s">
        <v>39</v>
      </c>
    </row>
    <row r="205" spans="1:16" x14ac:dyDescent="0.35">
      <c r="A205" t="s">
        <v>892</v>
      </c>
      <c r="B205" t="s">
        <v>244</v>
      </c>
      <c r="C205" t="s">
        <v>90</v>
      </c>
      <c r="D205" t="s">
        <v>893</v>
      </c>
      <c r="E205" t="s">
        <v>894</v>
      </c>
      <c r="F205">
        <v>46</v>
      </c>
      <c r="G205">
        <v>43</v>
      </c>
      <c r="H205">
        <v>46</v>
      </c>
      <c r="I205" t="s">
        <v>3490</v>
      </c>
      <c r="J205" s="8">
        <v>45667</v>
      </c>
      <c r="K205" s="8">
        <v>45570</v>
      </c>
      <c r="L205" s="8">
        <v>45552</v>
      </c>
      <c r="M205" t="s">
        <v>895</v>
      </c>
      <c r="N205">
        <v>68</v>
      </c>
      <c r="O205">
        <v>59</v>
      </c>
      <c r="P205" t="s">
        <v>39</v>
      </c>
    </row>
    <row r="206" spans="1:16" x14ac:dyDescent="0.35">
      <c r="A206" t="s">
        <v>896</v>
      </c>
      <c r="B206" t="s">
        <v>177</v>
      </c>
      <c r="C206" t="s">
        <v>48</v>
      </c>
      <c r="D206" t="s">
        <v>897</v>
      </c>
      <c r="E206" t="s">
        <v>898</v>
      </c>
      <c r="F206">
        <v>47</v>
      </c>
      <c r="G206">
        <v>20</v>
      </c>
      <c r="H206">
        <v>65</v>
      </c>
      <c r="I206" t="s">
        <v>3479</v>
      </c>
      <c r="J206" s="8">
        <v>45676</v>
      </c>
      <c r="K206" s="8">
        <v>45669</v>
      </c>
      <c r="L206" s="8">
        <v>45382</v>
      </c>
      <c r="M206" t="s">
        <v>899</v>
      </c>
      <c r="N206">
        <v>49</v>
      </c>
      <c r="O206">
        <v>19</v>
      </c>
      <c r="P206" t="s">
        <v>39</v>
      </c>
    </row>
    <row r="207" spans="1:16" x14ac:dyDescent="0.35">
      <c r="A207" t="s">
        <v>900</v>
      </c>
      <c r="B207" t="s">
        <v>187</v>
      </c>
      <c r="C207" t="s">
        <v>59</v>
      </c>
      <c r="D207" t="s">
        <v>901</v>
      </c>
      <c r="E207" t="s">
        <v>232</v>
      </c>
      <c r="F207">
        <v>52</v>
      </c>
      <c r="G207">
        <v>88</v>
      </c>
      <c r="H207">
        <v>55</v>
      </c>
      <c r="I207" t="s">
        <v>3476</v>
      </c>
      <c r="J207" s="8">
        <v>45439</v>
      </c>
      <c r="K207" s="8">
        <v>45417</v>
      </c>
      <c r="L207" s="8">
        <v>45609</v>
      </c>
      <c r="M207" t="s">
        <v>902</v>
      </c>
      <c r="N207">
        <v>100</v>
      </c>
      <c r="O207">
        <v>46</v>
      </c>
      <c r="P207" t="s">
        <v>27</v>
      </c>
    </row>
    <row r="208" spans="1:16" x14ac:dyDescent="0.35">
      <c r="A208" t="s">
        <v>903</v>
      </c>
      <c r="B208" t="s">
        <v>163</v>
      </c>
      <c r="C208" t="s">
        <v>48</v>
      </c>
      <c r="D208" t="s">
        <v>904</v>
      </c>
      <c r="E208" t="s">
        <v>106</v>
      </c>
      <c r="F208">
        <v>51</v>
      </c>
      <c r="G208">
        <v>62</v>
      </c>
      <c r="H208">
        <v>95</v>
      </c>
      <c r="I208" t="s">
        <v>3476</v>
      </c>
      <c r="J208" s="8">
        <v>45389</v>
      </c>
      <c r="K208" s="8">
        <v>45379</v>
      </c>
      <c r="L208" s="8">
        <v>45672</v>
      </c>
      <c r="M208" t="s">
        <v>905</v>
      </c>
      <c r="N208">
        <v>52</v>
      </c>
      <c r="O208">
        <v>21</v>
      </c>
      <c r="P208" t="s">
        <v>45</v>
      </c>
    </row>
    <row r="209" spans="1:16" x14ac:dyDescent="0.35">
      <c r="A209" t="s">
        <v>906</v>
      </c>
      <c r="B209" t="s">
        <v>64</v>
      </c>
      <c r="C209" t="s">
        <v>65</v>
      </c>
      <c r="D209" t="s">
        <v>907</v>
      </c>
      <c r="E209" t="s">
        <v>908</v>
      </c>
      <c r="F209">
        <v>14</v>
      </c>
      <c r="G209">
        <v>63</v>
      </c>
      <c r="H209">
        <v>74</v>
      </c>
      <c r="I209" t="s">
        <v>3480</v>
      </c>
      <c r="J209" s="8">
        <v>45410</v>
      </c>
      <c r="K209" s="8">
        <v>45707</v>
      </c>
      <c r="L209" s="8">
        <v>45624</v>
      </c>
      <c r="M209" t="s">
        <v>909</v>
      </c>
      <c r="N209">
        <v>59</v>
      </c>
      <c r="O209">
        <v>63</v>
      </c>
      <c r="P209" t="s">
        <v>39</v>
      </c>
    </row>
    <row r="210" spans="1:16" x14ac:dyDescent="0.35">
      <c r="A210" t="s">
        <v>910</v>
      </c>
      <c r="B210" t="s">
        <v>70</v>
      </c>
      <c r="C210" t="s">
        <v>48</v>
      </c>
      <c r="D210" t="s">
        <v>911</v>
      </c>
      <c r="E210" t="s">
        <v>690</v>
      </c>
      <c r="F210">
        <v>62</v>
      </c>
      <c r="G210">
        <v>44</v>
      </c>
      <c r="H210">
        <v>11</v>
      </c>
      <c r="I210" t="s">
        <v>3522</v>
      </c>
      <c r="J210" s="8">
        <v>45665</v>
      </c>
      <c r="K210" s="8">
        <v>45398</v>
      </c>
      <c r="L210" s="8">
        <v>45486</v>
      </c>
      <c r="M210" t="s">
        <v>912</v>
      </c>
      <c r="N210">
        <v>92</v>
      </c>
      <c r="O210">
        <v>37</v>
      </c>
      <c r="P210" t="s">
        <v>27</v>
      </c>
    </row>
    <row r="211" spans="1:16" x14ac:dyDescent="0.35">
      <c r="A211" t="s">
        <v>913</v>
      </c>
      <c r="B211" t="s">
        <v>555</v>
      </c>
      <c r="C211" t="s">
        <v>48</v>
      </c>
      <c r="D211" t="s">
        <v>914</v>
      </c>
      <c r="E211" t="s">
        <v>915</v>
      </c>
      <c r="F211">
        <v>40</v>
      </c>
      <c r="G211">
        <v>53</v>
      </c>
      <c r="H211">
        <v>7</v>
      </c>
      <c r="I211" t="s">
        <v>3478</v>
      </c>
      <c r="J211" s="8">
        <v>45709</v>
      </c>
      <c r="K211" s="8">
        <v>45357</v>
      </c>
      <c r="L211" s="8">
        <v>45464</v>
      </c>
      <c r="M211" t="s">
        <v>916</v>
      </c>
      <c r="N211">
        <v>70</v>
      </c>
      <c r="O211">
        <v>20</v>
      </c>
      <c r="P211" t="s">
        <v>39</v>
      </c>
    </row>
    <row r="212" spans="1:16" x14ac:dyDescent="0.35">
      <c r="A212" t="s">
        <v>917</v>
      </c>
      <c r="B212" t="s">
        <v>337</v>
      </c>
      <c r="C212" t="s">
        <v>30</v>
      </c>
      <c r="D212" t="s">
        <v>918</v>
      </c>
      <c r="E212" t="s">
        <v>499</v>
      </c>
      <c r="F212">
        <v>50</v>
      </c>
      <c r="G212">
        <v>100</v>
      </c>
      <c r="H212">
        <v>91</v>
      </c>
      <c r="I212" t="s">
        <v>3523</v>
      </c>
      <c r="J212" s="8">
        <v>45654</v>
      </c>
      <c r="K212" s="8">
        <v>45490</v>
      </c>
      <c r="L212" s="8">
        <v>45631</v>
      </c>
      <c r="M212" t="s">
        <v>919</v>
      </c>
      <c r="N212">
        <v>29</v>
      </c>
      <c r="O212">
        <v>31</v>
      </c>
      <c r="P212" t="s">
        <v>45</v>
      </c>
    </row>
    <row r="213" spans="1:16" x14ac:dyDescent="0.35">
      <c r="A213" t="s">
        <v>920</v>
      </c>
      <c r="B213" t="s">
        <v>22</v>
      </c>
      <c r="C213" t="s">
        <v>23</v>
      </c>
      <c r="D213" t="s">
        <v>921</v>
      </c>
      <c r="E213" t="s">
        <v>272</v>
      </c>
      <c r="F213">
        <v>77</v>
      </c>
      <c r="G213">
        <v>20</v>
      </c>
      <c r="H213">
        <v>37</v>
      </c>
      <c r="I213" t="s">
        <v>3524</v>
      </c>
      <c r="J213" s="8">
        <v>45476</v>
      </c>
      <c r="K213" s="8">
        <v>45357</v>
      </c>
      <c r="L213" s="8">
        <v>45601</v>
      </c>
      <c r="M213" t="s">
        <v>922</v>
      </c>
      <c r="N213">
        <v>42</v>
      </c>
      <c r="O213">
        <v>19</v>
      </c>
      <c r="P213" t="s">
        <v>39</v>
      </c>
    </row>
    <row r="214" spans="1:16" x14ac:dyDescent="0.35">
      <c r="A214" t="s">
        <v>923</v>
      </c>
      <c r="B214" t="s">
        <v>99</v>
      </c>
      <c r="C214" t="s">
        <v>48</v>
      </c>
      <c r="D214" t="s">
        <v>924</v>
      </c>
      <c r="E214" t="s">
        <v>925</v>
      </c>
      <c r="F214">
        <v>31</v>
      </c>
      <c r="G214">
        <v>89</v>
      </c>
      <c r="H214">
        <v>7</v>
      </c>
      <c r="I214" t="s">
        <v>3525</v>
      </c>
      <c r="J214" s="8">
        <v>45530</v>
      </c>
      <c r="K214" s="8">
        <v>45633</v>
      </c>
      <c r="L214" s="8">
        <v>45433</v>
      </c>
      <c r="M214" t="s">
        <v>926</v>
      </c>
      <c r="N214">
        <v>46</v>
      </c>
      <c r="O214">
        <v>54</v>
      </c>
      <c r="P214" t="s">
        <v>27</v>
      </c>
    </row>
    <row r="215" spans="1:16" x14ac:dyDescent="0.35">
      <c r="A215" t="s">
        <v>927</v>
      </c>
      <c r="B215" t="s">
        <v>163</v>
      </c>
      <c r="C215" t="s">
        <v>48</v>
      </c>
      <c r="D215" t="s">
        <v>928</v>
      </c>
      <c r="E215" t="s">
        <v>929</v>
      </c>
      <c r="F215">
        <v>35</v>
      </c>
      <c r="G215">
        <v>19</v>
      </c>
      <c r="H215">
        <v>30</v>
      </c>
      <c r="I215" t="s">
        <v>3516</v>
      </c>
      <c r="J215" s="8">
        <v>45663</v>
      </c>
      <c r="K215" s="8">
        <v>45626</v>
      </c>
      <c r="L215" s="8">
        <v>45605</v>
      </c>
      <c r="M215" t="s">
        <v>930</v>
      </c>
      <c r="N215">
        <v>88</v>
      </c>
      <c r="O215">
        <v>6</v>
      </c>
      <c r="P215" t="s">
        <v>39</v>
      </c>
    </row>
    <row r="216" spans="1:16" x14ac:dyDescent="0.35">
      <c r="A216" t="s">
        <v>931</v>
      </c>
      <c r="B216" t="s">
        <v>350</v>
      </c>
      <c r="C216" t="s">
        <v>48</v>
      </c>
      <c r="D216" t="s">
        <v>932</v>
      </c>
      <c r="E216" t="s">
        <v>933</v>
      </c>
      <c r="F216">
        <v>31</v>
      </c>
      <c r="G216">
        <v>54</v>
      </c>
      <c r="H216">
        <v>52</v>
      </c>
      <c r="I216" t="s">
        <v>3478</v>
      </c>
      <c r="J216" s="8">
        <v>45708</v>
      </c>
      <c r="K216" s="8">
        <v>45634</v>
      </c>
      <c r="L216" s="8">
        <v>45639</v>
      </c>
      <c r="M216" t="s">
        <v>934</v>
      </c>
      <c r="N216">
        <v>69</v>
      </c>
      <c r="O216">
        <v>77</v>
      </c>
      <c r="P216" t="s">
        <v>45</v>
      </c>
    </row>
    <row r="217" spans="1:16" x14ac:dyDescent="0.35">
      <c r="A217" t="s">
        <v>935</v>
      </c>
      <c r="B217" t="s">
        <v>283</v>
      </c>
      <c r="C217" t="s">
        <v>90</v>
      </c>
      <c r="D217" t="s">
        <v>936</v>
      </c>
      <c r="E217" t="s">
        <v>400</v>
      </c>
      <c r="F217">
        <v>56</v>
      </c>
      <c r="G217">
        <v>62</v>
      </c>
      <c r="H217">
        <v>64</v>
      </c>
      <c r="I217" t="s">
        <v>3480</v>
      </c>
      <c r="J217" s="8">
        <v>45526</v>
      </c>
      <c r="K217" s="8">
        <v>45538</v>
      </c>
      <c r="L217" s="8">
        <v>45677</v>
      </c>
      <c r="M217" t="s">
        <v>937</v>
      </c>
      <c r="N217">
        <v>56</v>
      </c>
      <c r="O217">
        <v>73</v>
      </c>
      <c r="P217" t="s">
        <v>39</v>
      </c>
    </row>
    <row r="218" spans="1:16" x14ac:dyDescent="0.35">
      <c r="A218" t="s">
        <v>938</v>
      </c>
      <c r="B218" t="s">
        <v>70</v>
      </c>
      <c r="C218" t="s">
        <v>65</v>
      </c>
      <c r="D218" t="s">
        <v>939</v>
      </c>
      <c r="E218" t="s">
        <v>940</v>
      </c>
      <c r="F218">
        <v>90</v>
      </c>
      <c r="G218">
        <v>62</v>
      </c>
      <c r="H218">
        <v>54</v>
      </c>
      <c r="I218" t="s">
        <v>3481</v>
      </c>
      <c r="J218" s="8">
        <v>45677</v>
      </c>
      <c r="K218" s="8">
        <v>45542</v>
      </c>
      <c r="L218" s="8">
        <v>45641</v>
      </c>
      <c r="M218" t="s">
        <v>941</v>
      </c>
      <c r="N218">
        <v>70</v>
      </c>
      <c r="O218">
        <v>83</v>
      </c>
      <c r="P218" t="s">
        <v>27</v>
      </c>
    </row>
    <row r="219" spans="1:16" x14ac:dyDescent="0.35">
      <c r="A219" t="s">
        <v>942</v>
      </c>
      <c r="B219" t="s">
        <v>600</v>
      </c>
      <c r="C219" t="s">
        <v>59</v>
      </c>
      <c r="D219" t="s">
        <v>943</v>
      </c>
      <c r="E219" t="s">
        <v>944</v>
      </c>
      <c r="F219">
        <v>79</v>
      </c>
      <c r="G219">
        <v>31</v>
      </c>
      <c r="H219">
        <v>66</v>
      </c>
      <c r="I219" t="s">
        <v>3494</v>
      </c>
      <c r="J219" s="8">
        <v>45392</v>
      </c>
      <c r="K219" s="8">
        <v>45578</v>
      </c>
      <c r="L219" s="8">
        <v>45524</v>
      </c>
      <c r="M219" t="s">
        <v>945</v>
      </c>
      <c r="N219">
        <v>92</v>
      </c>
      <c r="O219">
        <v>13</v>
      </c>
      <c r="P219" t="s">
        <v>27</v>
      </c>
    </row>
    <row r="220" spans="1:16" x14ac:dyDescent="0.35">
      <c r="A220" t="s">
        <v>946</v>
      </c>
      <c r="B220" t="s">
        <v>882</v>
      </c>
      <c r="C220" t="s">
        <v>48</v>
      </c>
      <c r="D220" t="s">
        <v>947</v>
      </c>
      <c r="E220" t="s">
        <v>948</v>
      </c>
      <c r="F220">
        <v>29</v>
      </c>
      <c r="G220">
        <v>83</v>
      </c>
      <c r="H220">
        <v>91</v>
      </c>
      <c r="I220" t="s">
        <v>3484</v>
      </c>
      <c r="J220" s="8">
        <v>45625</v>
      </c>
      <c r="K220" s="8">
        <v>45695</v>
      </c>
      <c r="L220" s="8">
        <v>45661</v>
      </c>
      <c r="M220" t="s">
        <v>949</v>
      </c>
      <c r="N220">
        <v>81</v>
      </c>
      <c r="O220">
        <v>53</v>
      </c>
      <c r="P220" t="s">
        <v>39</v>
      </c>
    </row>
    <row r="221" spans="1:16" x14ac:dyDescent="0.35">
      <c r="A221" t="s">
        <v>950</v>
      </c>
      <c r="B221" t="s">
        <v>600</v>
      </c>
      <c r="C221" t="s">
        <v>59</v>
      </c>
      <c r="D221" t="s">
        <v>951</v>
      </c>
      <c r="E221" t="s">
        <v>952</v>
      </c>
      <c r="F221">
        <v>46</v>
      </c>
      <c r="G221">
        <v>51</v>
      </c>
      <c r="H221">
        <v>92</v>
      </c>
      <c r="I221" t="s">
        <v>3494</v>
      </c>
      <c r="J221" s="8">
        <v>45419</v>
      </c>
      <c r="K221" s="8">
        <v>45650</v>
      </c>
      <c r="L221" s="8">
        <v>45452</v>
      </c>
      <c r="M221" t="s">
        <v>953</v>
      </c>
      <c r="N221">
        <v>47</v>
      </c>
      <c r="O221">
        <v>25</v>
      </c>
      <c r="P221" t="s">
        <v>27</v>
      </c>
    </row>
    <row r="222" spans="1:16" x14ac:dyDescent="0.35">
      <c r="A222" t="s">
        <v>954</v>
      </c>
      <c r="B222" t="s">
        <v>441</v>
      </c>
      <c r="C222" t="s">
        <v>48</v>
      </c>
      <c r="D222" t="s">
        <v>955</v>
      </c>
      <c r="E222" t="s">
        <v>956</v>
      </c>
      <c r="F222">
        <v>42</v>
      </c>
      <c r="G222">
        <v>4</v>
      </c>
      <c r="H222">
        <v>53</v>
      </c>
      <c r="I222" t="s">
        <v>3503</v>
      </c>
      <c r="J222" s="8">
        <v>45667</v>
      </c>
      <c r="K222" s="8">
        <v>45478</v>
      </c>
      <c r="L222" s="8">
        <v>45394</v>
      </c>
      <c r="M222" t="s">
        <v>957</v>
      </c>
      <c r="N222">
        <v>37</v>
      </c>
      <c r="O222">
        <v>53</v>
      </c>
      <c r="P222" t="s">
        <v>45</v>
      </c>
    </row>
    <row r="223" spans="1:16" x14ac:dyDescent="0.35">
      <c r="A223" t="s">
        <v>958</v>
      </c>
      <c r="B223" t="s">
        <v>345</v>
      </c>
      <c r="C223" t="s">
        <v>65</v>
      </c>
      <c r="D223" t="s">
        <v>959</v>
      </c>
      <c r="E223" t="s">
        <v>754</v>
      </c>
      <c r="F223">
        <v>16</v>
      </c>
      <c r="G223">
        <v>56</v>
      </c>
      <c r="H223">
        <v>13</v>
      </c>
      <c r="I223" t="s">
        <v>3526</v>
      </c>
      <c r="J223" s="8">
        <v>45698</v>
      </c>
      <c r="K223" s="8">
        <v>45361</v>
      </c>
      <c r="L223" s="8">
        <v>45567</v>
      </c>
      <c r="M223" t="s">
        <v>960</v>
      </c>
      <c r="N223">
        <v>56</v>
      </c>
      <c r="O223">
        <v>28</v>
      </c>
      <c r="P223" t="s">
        <v>27</v>
      </c>
    </row>
    <row r="224" spans="1:16" x14ac:dyDescent="0.35">
      <c r="A224" t="s">
        <v>961</v>
      </c>
      <c r="B224" t="s">
        <v>625</v>
      </c>
      <c r="C224" t="s">
        <v>133</v>
      </c>
      <c r="D224" t="s">
        <v>962</v>
      </c>
      <c r="E224" t="s">
        <v>963</v>
      </c>
      <c r="F224">
        <v>89</v>
      </c>
      <c r="G224">
        <v>95</v>
      </c>
      <c r="H224">
        <v>41</v>
      </c>
      <c r="I224" t="s">
        <v>3513</v>
      </c>
      <c r="J224" s="8">
        <v>45559</v>
      </c>
      <c r="K224" s="8">
        <v>45479</v>
      </c>
      <c r="L224" s="8">
        <v>45580</v>
      </c>
      <c r="M224" t="s">
        <v>964</v>
      </c>
      <c r="N224">
        <v>76</v>
      </c>
      <c r="O224">
        <v>96</v>
      </c>
      <c r="P224" t="s">
        <v>27</v>
      </c>
    </row>
    <row r="225" spans="1:16" x14ac:dyDescent="0.35">
      <c r="A225" t="s">
        <v>965</v>
      </c>
      <c r="B225" t="s">
        <v>337</v>
      </c>
      <c r="C225" t="s">
        <v>30</v>
      </c>
      <c r="D225" t="s">
        <v>966</v>
      </c>
      <c r="E225" t="s">
        <v>145</v>
      </c>
      <c r="F225">
        <v>20</v>
      </c>
      <c r="G225">
        <v>43</v>
      </c>
      <c r="H225">
        <v>43</v>
      </c>
      <c r="I225" t="s">
        <v>3499</v>
      </c>
      <c r="J225" s="8">
        <v>45664</v>
      </c>
      <c r="K225" s="8">
        <v>45349</v>
      </c>
      <c r="L225" s="8">
        <v>45380</v>
      </c>
      <c r="M225" t="s">
        <v>967</v>
      </c>
      <c r="N225">
        <v>73</v>
      </c>
      <c r="O225">
        <v>6</v>
      </c>
      <c r="P225" t="s">
        <v>45</v>
      </c>
    </row>
    <row r="226" spans="1:16" x14ac:dyDescent="0.35">
      <c r="A226" t="s">
        <v>968</v>
      </c>
      <c r="B226" t="s">
        <v>235</v>
      </c>
      <c r="C226" t="s">
        <v>30</v>
      </c>
      <c r="D226" t="s">
        <v>969</v>
      </c>
      <c r="E226" t="s">
        <v>811</v>
      </c>
      <c r="F226">
        <v>37</v>
      </c>
      <c r="G226">
        <v>94</v>
      </c>
      <c r="H226">
        <v>76</v>
      </c>
      <c r="I226" t="s">
        <v>3495</v>
      </c>
      <c r="J226" s="8">
        <v>45460</v>
      </c>
      <c r="K226" s="8">
        <v>45676</v>
      </c>
      <c r="L226" s="8">
        <v>45692</v>
      </c>
      <c r="M226" t="s">
        <v>970</v>
      </c>
      <c r="N226">
        <v>94</v>
      </c>
      <c r="O226">
        <v>66</v>
      </c>
      <c r="P226" t="s">
        <v>39</v>
      </c>
    </row>
    <row r="227" spans="1:16" x14ac:dyDescent="0.35">
      <c r="A227" t="s">
        <v>971</v>
      </c>
      <c r="B227" t="s">
        <v>109</v>
      </c>
      <c r="C227" t="s">
        <v>23</v>
      </c>
      <c r="D227" t="s">
        <v>972</v>
      </c>
      <c r="E227" t="s">
        <v>973</v>
      </c>
      <c r="F227">
        <v>97</v>
      </c>
      <c r="G227">
        <v>41</v>
      </c>
      <c r="H227">
        <v>68</v>
      </c>
      <c r="I227" t="s">
        <v>3477</v>
      </c>
      <c r="J227" s="8">
        <v>45671</v>
      </c>
      <c r="K227" s="8">
        <v>45569</v>
      </c>
      <c r="L227" s="8">
        <v>45664</v>
      </c>
      <c r="M227" t="s">
        <v>974</v>
      </c>
      <c r="N227">
        <v>35</v>
      </c>
      <c r="O227">
        <v>16</v>
      </c>
      <c r="P227" t="s">
        <v>27</v>
      </c>
    </row>
    <row r="228" spans="1:16" x14ac:dyDescent="0.35">
      <c r="A228" t="s">
        <v>975</v>
      </c>
      <c r="B228" t="s">
        <v>104</v>
      </c>
      <c r="C228" t="s">
        <v>65</v>
      </c>
      <c r="D228" t="s">
        <v>976</v>
      </c>
      <c r="E228" t="s">
        <v>977</v>
      </c>
      <c r="F228">
        <v>98</v>
      </c>
      <c r="G228">
        <v>77</v>
      </c>
      <c r="H228">
        <v>7</v>
      </c>
      <c r="I228" t="s">
        <v>3485</v>
      </c>
      <c r="J228" s="8">
        <v>45567</v>
      </c>
      <c r="K228" s="8">
        <v>45615</v>
      </c>
      <c r="L228" s="8">
        <v>45509</v>
      </c>
      <c r="M228" t="s">
        <v>978</v>
      </c>
      <c r="N228">
        <v>92</v>
      </c>
      <c r="O228">
        <v>29</v>
      </c>
      <c r="P228" t="s">
        <v>27</v>
      </c>
    </row>
    <row r="229" spans="1:16" x14ac:dyDescent="0.35">
      <c r="A229" t="s">
        <v>979</v>
      </c>
      <c r="B229" t="s">
        <v>257</v>
      </c>
      <c r="C229" t="s">
        <v>48</v>
      </c>
      <c r="D229" t="s">
        <v>980</v>
      </c>
      <c r="E229" t="s">
        <v>981</v>
      </c>
      <c r="F229">
        <v>37</v>
      </c>
      <c r="G229">
        <v>8</v>
      </c>
      <c r="H229">
        <v>50</v>
      </c>
      <c r="I229" t="s">
        <v>3476</v>
      </c>
      <c r="J229" s="8">
        <v>45479</v>
      </c>
      <c r="K229" s="8">
        <v>45429</v>
      </c>
      <c r="L229" s="8">
        <v>45680</v>
      </c>
      <c r="M229" t="s">
        <v>982</v>
      </c>
      <c r="N229">
        <v>47</v>
      </c>
      <c r="O229">
        <v>62</v>
      </c>
      <c r="P229" t="s">
        <v>27</v>
      </c>
    </row>
    <row r="230" spans="1:16" x14ac:dyDescent="0.35">
      <c r="A230" t="s">
        <v>983</v>
      </c>
      <c r="B230" t="s">
        <v>984</v>
      </c>
      <c r="C230" t="s">
        <v>90</v>
      </c>
      <c r="D230" t="s">
        <v>985</v>
      </c>
      <c r="E230" t="s">
        <v>986</v>
      </c>
      <c r="F230">
        <v>97</v>
      </c>
      <c r="G230">
        <v>99</v>
      </c>
      <c r="H230">
        <v>96</v>
      </c>
      <c r="I230" t="s">
        <v>3478</v>
      </c>
      <c r="J230" s="8">
        <v>45407</v>
      </c>
      <c r="K230" s="8">
        <v>45679</v>
      </c>
      <c r="L230" s="8">
        <v>45623</v>
      </c>
      <c r="M230" t="s">
        <v>987</v>
      </c>
      <c r="N230">
        <v>57</v>
      </c>
      <c r="O230">
        <v>42</v>
      </c>
      <c r="P230" t="s">
        <v>39</v>
      </c>
    </row>
    <row r="231" spans="1:16" x14ac:dyDescent="0.35">
      <c r="A231" t="s">
        <v>988</v>
      </c>
      <c r="B231" t="s">
        <v>29</v>
      </c>
      <c r="C231" t="s">
        <v>30</v>
      </c>
      <c r="D231" t="s">
        <v>989</v>
      </c>
      <c r="E231" t="s">
        <v>111</v>
      </c>
      <c r="F231">
        <v>97</v>
      </c>
      <c r="G231">
        <v>77</v>
      </c>
      <c r="H231">
        <v>99</v>
      </c>
      <c r="I231" t="s">
        <v>3475</v>
      </c>
      <c r="J231" s="8">
        <v>45618</v>
      </c>
      <c r="K231" s="8">
        <v>45406</v>
      </c>
      <c r="L231" s="8">
        <v>45369</v>
      </c>
      <c r="M231" t="s">
        <v>990</v>
      </c>
      <c r="N231">
        <v>74</v>
      </c>
      <c r="O231">
        <v>98</v>
      </c>
      <c r="P231" t="s">
        <v>39</v>
      </c>
    </row>
    <row r="232" spans="1:16" x14ac:dyDescent="0.35">
      <c r="A232" t="s">
        <v>991</v>
      </c>
      <c r="B232" t="s">
        <v>230</v>
      </c>
      <c r="C232" t="s">
        <v>48</v>
      </c>
      <c r="D232" t="s">
        <v>992</v>
      </c>
      <c r="E232" t="s">
        <v>268</v>
      </c>
      <c r="F232">
        <v>90</v>
      </c>
      <c r="G232">
        <v>92</v>
      </c>
      <c r="H232">
        <v>56</v>
      </c>
      <c r="I232" t="s">
        <v>3480</v>
      </c>
      <c r="J232" s="8">
        <v>45501</v>
      </c>
      <c r="K232" s="8">
        <v>45409</v>
      </c>
      <c r="L232" s="8">
        <v>45365</v>
      </c>
      <c r="M232" t="s">
        <v>993</v>
      </c>
      <c r="N232">
        <v>71</v>
      </c>
      <c r="O232">
        <v>13</v>
      </c>
      <c r="P232" t="s">
        <v>45</v>
      </c>
    </row>
    <row r="233" spans="1:16" x14ac:dyDescent="0.35">
      <c r="A233" t="s">
        <v>994</v>
      </c>
      <c r="B233" t="s">
        <v>29</v>
      </c>
      <c r="C233" t="s">
        <v>30</v>
      </c>
      <c r="D233" t="s">
        <v>995</v>
      </c>
      <c r="E233" t="s">
        <v>996</v>
      </c>
      <c r="F233">
        <v>46</v>
      </c>
      <c r="G233">
        <v>31</v>
      </c>
      <c r="H233">
        <v>89</v>
      </c>
      <c r="I233" t="s">
        <v>3475</v>
      </c>
      <c r="J233" s="8">
        <v>45661</v>
      </c>
      <c r="K233" s="8">
        <v>45372</v>
      </c>
      <c r="L233" s="8">
        <v>45357</v>
      </c>
      <c r="M233" t="s">
        <v>997</v>
      </c>
      <c r="N233">
        <v>59</v>
      </c>
      <c r="O233">
        <v>65</v>
      </c>
      <c r="P233" t="s">
        <v>39</v>
      </c>
    </row>
    <row r="234" spans="1:16" x14ac:dyDescent="0.35">
      <c r="A234" t="s">
        <v>998</v>
      </c>
      <c r="B234" t="s">
        <v>350</v>
      </c>
      <c r="C234" t="s">
        <v>48</v>
      </c>
      <c r="D234" t="s">
        <v>999</v>
      </c>
      <c r="E234" t="s">
        <v>1000</v>
      </c>
      <c r="F234">
        <v>40</v>
      </c>
      <c r="G234">
        <v>8</v>
      </c>
      <c r="H234">
        <v>98</v>
      </c>
      <c r="I234" t="s">
        <v>3478</v>
      </c>
      <c r="J234" s="8">
        <v>45499</v>
      </c>
      <c r="K234" s="8">
        <v>45694</v>
      </c>
      <c r="L234" s="8">
        <v>45452</v>
      </c>
      <c r="M234" t="s">
        <v>1001</v>
      </c>
      <c r="N234">
        <v>86</v>
      </c>
      <c r="O234">
        <v>12</v>
      </c>
      <c r="P234" t="s">
        <v>27</v>
      </c>
    </row>
    <row r="235" spans="1:16" x14ac:dyDescent="0.35">
      <c r="A235" t="s">
        <v>1002</v>
      </c>
      <c r="B235" t="s">
        <v>1003</v>
      </c>
      <c r="C235" t="s">
        <v>48</v>
      </c>
      <c r="D235" t="s">
        <v>1004</v>
      </c>
      <c r="E235" t="s">
        <v>1005</v>
      </c>
      <c r="F235">
        <v>77</v>
      </c>
      <c r="G235">
        <v>52</v>
      </c>
      <c r="H235">
        <v>28</v>
      </c>
      <c r="I235" t="s">
        <v>3478</v>
      </c>
      <c r="J235" s="8">
        <v>45645</v>
      </c>
      <c r="K235" s="8">
        <v>45615</v>
      </c>
      <c r="L235" s="8">
        <v>45413</v>
      </c>
      <c r="M235" t="s">
        <v>1006</v>
      </c>
      <c r="N235">
        <v>48</v>
      </c>
      <c r="O235">
        <v>43</v>
      </c>
      <c r="P235" t="s">
        <v>45</v>
      </c>
    </row>
    <row r="236" spans="1:16" x14ac:dyDescent="0.35">
      <c r="A236" t="s">
        <v>1007</v>
      </c>
      <c r="B236" t="s">
        <v>109</v>
      </c>
      <c r="C236" t="s">
        <v>23</v>
      </c>
      <c r="D236" t="s">
        <v>1008</v>
      </c>
      <c r="E236" t="s">
        <v>940</v>
      </c>
      <c r="F236">
        <v>62</v>
      </c>
      <c r="G236">
        <v>79</v>
      </c>
      <c r="H236">
        <v>23</v>
      </c>
      <c r="I236" t="s">
        <v>3477</v>
      </c>
      <c r="J236" s="8">
        <v>45495</v>
      </c>
      <c r="K236" s="8">
        <v>45350</v>
      </c>
      <c r="L236" s="8">
        <v>45583</v>
      </c>
      <c r="M236" t="s">
        <v>1009</v>
      </c>
      <c r="N236">
        <v>32</v>
      </c>
      <c r="O236">
        <v>80</v>
      </c>
      <c r="P236" t="s">
        <v>45</v>
      </c>
    </row>
    <row r="237" spans="1:16" x14ac:dyDescent="0.35">
      <c r="A237" t="s">
        <v>1010</v>
      </c>
      <c r="B237" t="s">
        <v>192</v>
      </c>
      <c r="C237" t="s">
        <v>30</v>
      </c>
      <c r="D237" t="s">
        <v>1011</v>
      </c>
      <c r="E237" t="s">
        <v>1012</v>
      </c>
      <c r="F237">
        <v>59</v>
      </c>
      <c r="G237">
        <v>17</v>
      </c>
      <c r="H237">
        <v>1</v>
      </c>
      <c r="I237" t="s">
        <v>3491</v>
      </c>
      <c r="J237" s="8">
        <v>45494</v>
      </c>
      <c r="K237" s="8">
        <v>45530</v>
      </c>
      <c r="L237" s="8">
        <v>45629</v>
      </c>
      <c r="M237" t="s">
        <v>1013</v>
      </c>
      <c r="N237">
        <v>69</v>
      </c>
      <c r="O237">
        <v>82</v>
      </c>
      <c r="P237" t="s">
        <v>45</v>
      </c>
    </row>
    <row r="238" spans="1:16" x14ac:dyDescent="0.35">
      <c r="A238" t="s">
        <v>1014</v>
      </c>
      <c r="B238" t="s">
        <v>441</v>
      </c>
      <c r="C238" t="s">
        <v>48</v>
      </c>
      <c r="D238" t="s">
        <v>1015</v>
      </c>
      <c r="E238" t="s">
        <v>208</v>
      </c>
      <c r="F238">
        <v>23</v>
      </c>
      <c r="G238">
        <v>38</v>
      </c>
      <c r="H238">
        <v>54</v>
      </c>
      <c r="I238" t="s">
        <v>3503</v>
      </c>
      <c r="J238" s="8">
        <v>45674</v>
      </c>
      <c r="K238" s="8">
        <v>45487</v>
      </c>
      <c r="L238" s="8">
        <v>45397</v>
      </c>
      <c r="M238" t="s">
        <v>1016</v>
      </c>
      <c r="N238">
        <v>40</v>
      </c>
      <c r="O238">
        <v>15</v>
      </c>
      <c r="P238" t="s">
        <v>45</v>
      </c>
    </row>
    <row r="239" spans="1:16" x14ac:dyDescent="0.35">
      <c r="A239" t="s">
        <v>1017</v>
      </c>
      <c r="B239" t="s">
        <v>984</v>
      </c>
      <c r="C239" t="s">
        <v>90</v>
      </c>
      <c r="D239" t="s">
        <v>1018</v>
      </c>
      <c r="E239" t="s">
        <v>548</v>
      </c>
      <c r="F239">
        <v>39</v>
      </c>
      <c r="G239">
        <v>16</v>
      </c>
      <c r="H239">
        <v>57</v>
      </c>
      <c r="I239" t="s">
        <v>3478</v>
      </c>
      <c r="J239" s="8">
        <v>45647</v>
      </c>
      <c r="K239" s="8">
        <v>45391</v>
      </c>
      <c r="L239" s="8">
        <v>45465</v>
      </c>
      <c r="M239" t="s">
        <v>1019</v>
      </c>
      <c r="N239">
        <v>98</v>
      </c>
      <c r="O239">
        <v>12</v>
      </c>
      <c r="P239" t="s">
        <v>45</v>
      </c>
    </row>
    <row r="240" spans="1:16" x14ac:dyDescent="0.35">
      <c r="A240" t="s">
        <v>1020</v>
      </c>
      <c r="B240" t="s">
        <v>613</v>
      </c>
      <c r="C240" t="s">
        <v>65</v>
      </c>
      <c r="D240" t="s">
        <v>1021</v>
      </c>
      <c r="E240" t="s">
        <v>189</v>
      </c>
      <c r="F240">
        <v>68</v>
      </c>
      <c r="G240">
        <v>29</v>
      </c>
      <c r="H240">
        <v>31</v>
      </c>
      <c r="I240" t="s">
        <v>3485</v>
      </c>
      <c r="J240" s="8">
        <v>45510</v>
      </c>
      <c r="K240" s="8">
        <v>45446</v>
      </c>
      <c r="L240" s="8">
        <v>45544</v>
      </c>
      <c r="M240" t="s">
        <v>1022</v>
      </c>
      <c r="N240">
        <v>53</v>
      </c>
      <c r="O240">
        <v>20</v>
      </c>
      <c r="P240" t="s">
        <v>39</v>
      </c>
    </row>
    <row r="241" spans="1:16" x14ac:dyDescent="0.35">
      <c r="A241" t="s">
        <v>1023</v>
      </c>
      <c r="B241" t="s">
        <v>502</v>
      </c>
      <c r="C241" t="s">
        <v>23</v>
      </c>
      <c r="D241" t="s">
        <v>1024</v>
      </c>
      <c r="E241" t="s">
        <v>1025</v>
      </c>
      <c r="F241">
        <v>75</v>
      </c>
      <c r="G241">
        <v>46</v>
      </c>
      <c r="H241">
        <v>75</v>
      </c>
      <c r="I241" t="s">
        <v>3506</v>
      </c>
      <c r="J241" s="8">
        <v>45530</v>
      </c>
      <c r="K241" s="8">
        <v>45565</v>
      </c>
      <c r="L241" s="8">
        <v>45591</v>
      </c>
      <c r="M241" t="s">
        <v>1026</v>
      </c>
      <c r="N241">
        <v>43</v>
      </c>
      <c r="O241">
        <v>77</v>
      </c>
      <c r="P241" t="s">
        <v>39</v>
      </c>
    </row>
    <row r="242" spans="1:16" x14ac:dyDescent="0.35">
      <c r="A242" t="s">
        <v>1027</v>
      </c>
      <c r="B242" t="s">
        <v>446</v>
      </c>
      <c r="C242" t="s">
        <v>90</v>
      </c>
      <c r="D242" t="s">
        <v>1028</v>
      </c>
      <c r="E242" t="s">
        <v>1029</v>
      </c>
      <c r="F242">
        <v>96</v>
      </c>
      <c r="G242">
        <v>16</v>
      </c>
      <c r="H242">
        <v>48</v>
      </c>
      <c r="I242" t="s">
        <v>3489</v>
      </c>
      <c r="J242" s="8">
        <v>45600</v>
      </c>
      <c r="K242" s="8">
        <v>45386</v>
      </c>
      <c r="L242" s="8">
        <v>45683</v>
      </c>
      <c r="M242" t="s">
        <v>1030</v>
      </c>
      <c r="N242">
        <v>45</v>
      </c>
      <c r="O242">
        <v>68</v>
      </c>
      <c r="P242" t="s">
        <v>45</v>
      </c>
    </row>
    <row r="243" spans="1:16" x14ac:dyDescent="0.35">
      <c r="A243" t="s">
        <v>1031</v>
      </c>
      <c r="B243" t="s">
        <v>197</v>
      </c>
      <c r="C243" t="s">
        <v>133</v>
      </c>
      <c r="D243" t="s">
        <v>1032</v>
      </c>
      <c r="E243" t="s">
        <v>1033</v>
      </c>
      <c r="F243">
        <v>17</v>
      </c>
      <c r="G243">
        <v>38</v>
      </c>
      <c r="H243">
        <v>93</v>
      </c>
      <c r="I243" t="s">
        <v>3492</v>
      </c>
      <c r="J243" s="8">
        <v>45702</v>
      </c>
      <c r="K243" s="8">
        <v>45524</v>
      </c>
      <c r="L243" s="8">
        <v>45501</v>
      </c>
      <c r="M243" t="s">
        <v>1034</v>
      </c>
      <c r="N243">
        <v>100</v>
      </c>
      <c r="O243">
        <v>63</v>
      </c>
      <c r="P243" t="s">
        <v>45</v>
      </c>
    </row>
    <row r="244" spans="1:16" x14ac:dyDescent="0.35">
      <c r="A244" t="s">
        <v>1035</v>
      </c>
      <c r="B244" t="s">
        <v>75</v>
      </c>
      <c r="C244" t="s">
        <v>65</v>
      </c>
      <c r="D244" t="s">
        <v>1036</v>
      </c>
      <c r="E244" t="s">
        <v>1037</v>
      </c>
      <c r="F244">
        <v>23</v>
      </c>
      <c r="G244">
        <v>38</v>
      </c>
      <c r="H244">
        <v>25</v>
      </c>
      <c r="I244" t="s">
        <v>3482</v>
      </c>
      <c r="J244" s="8">
        <v>45425</v>
      </c>
      <c r="K244" s="8">
        <v>45709</v>
      </c>
      <c r="L244" s="8">
        <v>45672</v>
      </c>
      <c r="M244" t="s">
        <v>1038</v>
      </c>
      <c r="N244">
        <v>84</v>
      </c>
      <c r="O244">
        <v>78</v>
      </c>
      <c r="P244" t="s">
        <v>27</v>
      </c>
    </row>
    <row r="245" spans="1:16" x14ac:dyDescent="0.35">
      <c r="A245" t="s">
        <v>1039</v>
      </c>
      <c r="B245" t="s">
        <v>555</v>
      </c>
      <c r="C245" t="s">
        <v>48</v>
      </c>
      <c r="D245" t="s">
        <v>1040</v>
      </c>
      <c r="E245" t="s">
        <v>383</v>
      </c>
      <c r="F245">
        <v>15</v>
      </c>
      <c r="G245">
        <v>27</v>
      </c>
      <c r="H245">
        <v>21</v>
      </c>
      <c r="I245" t="s">
        <v>3478</v>
      </c>
      <c r="J245" s="8">
        <v>45454</v>
      </c>
      <c r="K245" s="8">
        <v>45709</v>
      </c>
      <c r="L245" s="8">
        <v>45538</v>
      </c>
      <c r="M245" t="s">
        <v>1041</v>
      </c>
      <c r="N245">
        <v>37</v>
      </c>
      <c r="O245">
        <v>67</v>
      </c>
      <c r="P245" t="s">
        <v>39</v>
      </c>
    </row>
    <row r="246" spans="1:16" x14ac:dyDescent="0.35">
      <c r="A246" t="s">
        <v>1042</v>
      </c>
      <c r="B246" t="s">
        <v>1043</v>
      </c>
      <c r="C246" t="s">
        <v>133</v>
      </c>
      <c r="D246" t="s">
        <v>1044</v>
      </c>
      <c r="E246" t="s">
        <v>1045</v>
      </c>
      <c r="F246">
        <v>71</v>
      </c>
      <c r="G246">
        <v>7</v>
      </c>
      <c r="H246">
        <v>6</v>
      </c>
      <c r="I246" t="s">
        <v>3527</v>
      </c>
      <c r="J246" s="8">
        <v>45533</v>
      </c>
      <c r="K246" s="8">
        <v>45628</v>
      </c>
      <c r="L246" s="8">
        <v>45539</v>
      </c>
      <c r="M246" t="s">
        <v>1046</v>
      </c>
      <c r="N246">
        <v>52</v>
      </c>
      <c r="O246">
        <v>68</v>
      </c>
      <c r="P246" t="s">
        <v>39</v>
      </c>
    </row>
    <row r="247" spans="1:16" x14ac:dyDescent="0.35">
      <c r="A247" t="s">
        <v>1047</v>
      </c>
      <c r="B247" t="s">
        <v>64</v>
      </c>
      <c r="C247" t="s">
        <v>65</v>
      </c>
      <c r="D247" t="s">
        <v>1048</v>
      </c>
      <c r="E247" t="s">
        <v>1049</v>
      </c>
      <c r="F247">
        <v>97</v>
      </c>
      <c r="G247">
        <v>26</v>
      </c>
      <c r="H247">
        <v>15</v>
      </c>
      <c r="I247" t="s">
        <v>3480</v>
      </c>
      <c r="J247" s="8">
        <v>45525</v>
      </c>
      <c r="K247" s="8">
        <v>45691</v>
      </c>
      <c r="L247" s="8">
        <v>45606</v>
      </c>
      <c r="M247" t="s">
        <v>1050</v>
      </c>
      <c r="N247">
        <v>33</v>
      </c>
      <c r="O247">
        <v>58</v>
      </c>
      <c r="P247" t="s">
        <v>27</v>
      </c>
    </row>
    <row r="248" spans="1:16" x14ac:dyDescent="0.35">
      <c r="A248" t="s">
        <v>1051</v>
      </c>
      <c r="B248" t="s">
        <v>215</v>
      </c>
      <c r="C248" t="s">
        <v>48</v>
      </c>
      <c r="D248" t="s">
        <v>1052</v>
      </c>
      <c r="E248" t="s">
        <v>272</v>
      </c>
      <c r="F248">
        <v>29</v>
      </c>
      <c r="G248">
        <v>18</v>
      </c>
      <c r="H248">
        <v>86</v>
      </c>
      <c r="I248" t="s">
        <v>3480</v>
      </c>
      <c r="J248" s="8">
        <v>45589</v>
      </c>
      <c r="K248" s="8">
        <v>45612</v>
      </c>
      <c r="L248" s="8">
        <v>45423</v>
      </c>
      <c r="M248" t="s">
        <v>1053</v>
      </c>
      <c r="N248">
        <v>53</v>
      </c>
      <c r="O248">
        <v>69</v>
      </c>
      <c r="P248" t="s">
        <v>45</v>
      </c>
    </row>
    <row r="249" spans="1:16" x14ac:dyDescent="0.35">
      <c r="A249" t="s">
        <v>1054</v>
      </c>
      <c r="B249" t="s">
        <v>369</v>
      </c>
      <c r="C249" t="s">
        <v>48</v>
      </c>
      <c r="D249" t="s">
        <v>1055</v>
      </c>
      <c r="E249" t="s">
        <v>1025</v>
      </c>
      <c r="F249">
        <v>46</v>
      </c>
      <c r="G249">
        <v>64</v>
      </c>
      <c r="H249">
        <v>17</v>
      </c>
      <c r="I249" t="s">
        <v>3528</v>
      </c>
      <c r="J249" s="8">
        <v>45352</v>
      </c>
      <c r="K249" s="8">
        <v>45663</v>
      </c>
      <c r="L249" s="8">
        <v>45688</v>
      </c>
      <c r="M249" t="s">
        <v>1056</v>
      </c>
      <c r="N249">
        <v>96</v>
      </c>
      <c r="O249">
        <v>55</v>
      </c>
      <c r="P249" t="s">
        <v>27</v>
      </c>
    </row>
    <row r="250" spans="1:16" x14ac:dyDescent="0.35">
      <c r="A250" t="s">
        <v>1057</v>
      </c>
      <c r="B250" t="s">
        <v>451</v>
      </c>
      <c r="C250" t="s">
        <v>65</v>
      </c>
      <c r="D250" t="s">
        <v>1058</v>
      </c>
      <c r="E250" t="s">
        <v>803</v>
      </c>
      <c r="F250">
        <v>76</v>
      </c>
      <c r="G250">
        <v>15</v>
      </c>
      <c r="H250">
        <v>99</v>
      </c>
      <c r="I250" t="s">
        <v>3506</v>
      </c>
      <c r="J250" s="8">
        <v>45689</v>
      </c>
      <c r="K250" s="8">
        <v>45499</v>
      </c>
      <c r="L250" s="8">
        <v>45418</v>
      </c>
      <c r="M250" t="s">
        <v>1059</v>
      </c>
      <c r="N250">
        <v>60</v>
      </c>
      <c r="O250">
        <v>49</v>
      </c>
      <c r="P250" t="s">
        <v>27</v>
      </c>
    </row>
    <row r="251" spans="1:16" x14ac:dyDescent="0.35">
      <c r="A251" t="s">
        <v>1060</v>
      </c>
      <c r="B251" t="s">
        <v>215</v>
      </c>
      <c r="C251" t="s">
        <v>48</v>
      </c>
      <c r="D251" t="s">
        <v>1061</v>
      </c>
      <c r="E251" t="s">
        <v>803</v>
      </c>
      <c r="F251">
        <v>59</v>
      </c>
      <c r="G251">
        <v>91</v>
      </c>
      <c r="H251">
        <v>24</v>
      </c>
      <c r="I251" t="s">
        <v>3480</v>
      </c>
      <c r="J251" s="8">
        <v>45592</v>
      </c>
      <c r="K251" s="8">
        <v>45472</v>
      </c>
      <c r="L251" s="8">
        <v>45642</v>
      </c>
      <c r="M251" t="s">
        <v>1062</v>
      </c>
      <c r="N251">
        <v>54</v>
      </c>
      <c r="O251">
        <v>87</v>
      </c>
      <c r="P251" t="s">
        <v>45</v>
      </c>
    </row>
    <row r="252" spans="1:16" x14ac:dyDescent="0.35">
      <c r="A252" t="s">
        <v>1063</v>
      </c>
      <c r="B252" t="s">
        <v>275</v>
      </c>
      <c r="C252" t="s">
        <v>48</v>
      </c>
      <c r="D252" t="s">
        <v>1064</v>
      </c>
      <c r="E252" t="s">
        <v>1065</v>
      </c>
      <c r="F252">
        <v>92</v>
      </c>
      <c r="G252">
        <v>54</v>
      </c>
      <c r="H252">
        <v>73</v>
      </c>
      <c r="I252" t="s">
        <v>3529</v>
      </c>
      <c r="J252" s="8">
        <v>45695</v>
      </c>
      <c r="K252" s="8">
        <v>45674</v>
      </c>
      <c r="L252" s="8">
        <v>45639</v>
      </c>
      <c r="M252" t="s">
        <v>1066</v>
      </c>
      <c r="N252">
        <v>79</v>
      </c>
      <c r="O252">
        <v>1</v>
      </c>
      <c r="P252" t="s">
        <v>39</v>
      </c>
    </row>
    <row r="253" spans="1:16" x14ac:dyDescent="0.35">
      <c r="A253" t="s">
        <v>1067</v>
      </c>
      <c r="B253" t="s">
        <v>257</v>
      </c>
      <c r="C253" t="s">
        <v>48</v>
      </c>
      <c r="D253" t="s">
        <v>1068</v>
      </c>
      <c r="E253" t="s">
        <v>948</v>
      </c>
      <c r="F253">
        <v>28</v>
      </c>
      <c r="G253">
        <v>27</v>
      </c>
      <c r="H253">
        <v>22</v>
      </c>
      <c r="I253" t="s">
        <v>3476</v>
      </c>
      <c r="J253" s="8">
        <v>45427</v>
      </c>
      <c r="K253" s="8">
        <v>45519</v>
      </c>
      <c r="L253" s="8">
        <v>45423</v>
      </c>
      <c r="M253" t="s">
        <v>1069</v>
      </c>
      <c r="N253">
        <v>70</v>
      </c>
      <c r="O253">
        <v>30</v>
      </c>
      <c r="P253" t="s">
        <v>27</v>
      </c>
    </row>
    <row r="254" spans="1:16" x14ac:dyDescent="0.35">
      <c r="A254" t="s">
        <v>1070</v>
      </c>
      <c r="B254" t="s">
        <v>529</v>
      </c>
      <c r="C254" t="s">
        <v>48</v>
      </c>
      <c r="D254" t="s">
        <v>1071</v>
      </c>
      <c r="E254" t="s">
        <v>1072</v>
      </c>
      <c r="F254">
        <v>19</v>
      </c>
      <c r="G254">
        <v>47</v>
      </c>
      <c r="H254">
        <v>25</v>
      </c>
      <c r="I254" t="s">
        <v>3489</v>
      </c>
      <c r="J254" s="8">
        <v>45644</v>
      </c>
      <c r="K254" s="8">
        <v>45712</v>
      </c>
      <c r="L254" s="8">
        <v>45685</v>
      </c>
      <c r="M254" t="s">
        <v>1073</v>
      </c>
      <c r="N254">
        <v>96</v>
      </c>
      <c r="O254">
        <v>37</v>
      </c>
      <c r="P254" t="s">
        <v>27</v>
      </c>
    </row>
    <row r="255" spans="1:16" x14ac:dyDescent="0.35">
      <c r="A255" t="s">
        <v>1074</v>
      </c>
      <c r="B255" t="s">
        <v>239</v>
      </c>
      <c r="C255" t="s">
        <v>65</v>
      </c>
      <c r="D255" t="s">
        <v>1075</v>
      </c>
      <c r="E255" t="s">
        <v>743</v>
      </c>
      <c r="F255">
        <v>85</v>
      </c>
      <c r="G255">
        <v>28</v>
      </c>
      <c r="H255">
        <v>21</v>
      </c>
      <c r="I255" t="s">
        <v>3481</v>
      </c>
      <c r="J255" s="8">
        <v>45524</v>
      </c>
      <c r="K255" s="8">
        <v>45473</v>
      </c>
      <c r="L255" s="8">
        <v>45455</v>
      </c>
      <c r="M255" t="s">
        <v>1076</v>
      </c>
      <c r="N255">
        <v>45</v>
      </c>
      <c r="O255">
        <v>89</v>
      </c>
      <c r="P255" t="s">
        <v>45</v>
      </c>
    </row>
    <row r="256" spans="1:16" x14ac:dyDescent="0.35">
      <c r="A256" t="s">
        <v>1077</v>
      </c>
      <c r="B256" t="s">
        <v>109</v>
      </c>
      <c r="C256" t="s">
        <v>23</v>
      </c>
      <c r="D256" t="s">
        <v>1078</v>
      </c>
      <c r="E256" t="s">
        <v>1079</v>
      </c>
      <c r="F256">
        <v>57</v>
      </c>
      <c r="G256">
        <v>63</v>
      </c>
      <c r="H256">
        <v>41</v>
      </c>
      <c r="I256" t="s">
        <v>3477</v>
      </c>
      <c r="J256" s="8">
        <v>45529</v>
      </c>
      <c r="K256" s="8">
        <v>45705</v>
      </c>
      <c r="L256" s="8">
        <v>45595</v>
      </c>
      <c r="M256" t="s">
        <v>1080</v>
      </c>
      <c r="N256">
        <v>53</v>
      </c>
      <c r="O256">
        <v>94</v>
      </c>
      <c r="P256" t="s">
        <v>27</v>
      </c>
    </row>
    <row r="257" spans="1:16" x14ac:dyDescent="0.35">
      <c r="A257" t="s">
        <v>1081</v>
      </c>
      <c r="B257" t="s">
        <v>350</v>
      </c>
      <c r="C257" t="s">
        <v>48</v>
      </c>
      <c r="D257" t="s">
        <v>1082</v>
      </c>
      <c r="E257" t="s">
        <v>1083</v>
      </c>
      <c r="F257">
        <v>95</v>
      </c>
      <c r="G257">
        <v>29</v>
      </c>
      <c r="H257">
        <v>28</v>
      </c>
      <c r="I257" t="s">
        <v>3478</v>
      </c>
      <c r="J257" s="8">
        <v>45493</v>
      </c>
      <c r="K257" s="8">
        <v>45673</v>
      </c>
      <c r="L257" s="8">
        <v>45432</v>
      </c>
      <c r="M257" t="s">
        <v>1084</v>
      </c>
      <c r="N257">
        <v>52</v>
      </c>
      <c r="O257">
        <v>46</v>
      </c>
      <c r="P257" t="s">
        <v>27</v>
      </c>
    </row>
    <row r="258" spans="1:16" x14ac:dyDescent="0.35">
      <c r="A258" t="s">
        <v>1085</v>
      </c>
      <c r="B258" t="s">
        <v>22</v>
      </c>
      <c r="C258" t="s">
        <v>23</v>
      </c>
      <c r="D258" t="s">
        <v>1086</v>
      </c>
      <c r="E258" t="s">
        <v>1087</v>
      </c>
      <c r="F258">
        <v>84</v>
      </c>
      <c r="G258">
        <v>69</v>
      </c>
      <c r="H258">
        <v>77</v>
      </c>
      <c r="I258" t="s">
        <v>3474</v>
      </c>
      <c r="J258" s="8">
        <v>45679</v>
      </c>
      <c r="K258" s="8">
        <v>45654</v>
      </c>
      <c r="L258" s="8">
        <v>45444</v>
      </c>
      <c r="M258" t="s">
        <v>1088</v>
      </c>
      <c r="N258">
        <v>39</v>
      </c>
      <c r="O258">
        <v>69</v>
      </c>
      <c r="P258" t="s">
        <v>39</v>
      </c>
    </row>
    <row r="259" spans="1:16" x14ac:dyDescent="0.35">
      <c r="A259" t="s">
        <v>1089</v>
      </c>
      <c r="B259" t="s">
        <v>473</v>
      </c>
      <c r="C259" t="s">
        <v>23</v>
      </c>
      <c r="D259" t="s">
        <v>1090</v>
      </c>
      <c r="E259" t="s">
        <v>461</v>
      </c>
      <c r="F259">
        <v>31</v>
      </c>
      <c r="G259">
        <v>32</v>
      </c>
      <c r="H259">
        <v>69</v>
      </c>
      <c r="I259" t="s">
        <v>3484</v>
      </c>
      <c r="J259" s="8">
        <v>45351</v>
      </c>
      <c r="K259" s="8">
        <v>45447</v>
      </c>
      <c r="L259" s="8">
        <v>45617</v>
      </c>
      <c r="M259" t="s">
        <v>1091</v>
      </c>
      <c r="N259">
        <v>38</v>
      </c>
      <c r="O259">
        <v>23</v>
      </c>
      <c r="P259" t="s">
        <v>45</v>
      </c>
    </row>
    <row r="260" spans="1:16" x14ac:dyDescent="0.35">
      <c r="A260" t="s">
        <v>1092</v>
      </c>
      <c r="B260" t="s">
        <v>172</v>
      </c>
      <c r="C260" t="s">
        <v>48</v>
      </c>
      <c r="D260" t="s">
        <v>1093</v>
      </c>
      <c r="E260" t="s">
        <v>1094</v>
      </c>
      <c r="F260">
        <v>41</v>
      </c>
      <c r="G260">
        <v>52</v>
      </c>
      <c r="H260">
        <v>75</v>
      </c>
      <c r="I260" t="s">
        <v>3474</v>
      </c>
      <c r="J260" s="8">
        <v>45388</v>
      </c>
      <c r="K260" s="8">
        <v>45406</v>
      </c>
      <c r="L260" s="8">
        <v>45578</v>
      </c>
      <c r="M260" t="s">
        <v>1095</v>
      </c>
      <c r="N260">
        <v>57</v>
      </c>
      <c r="O260">
        <v>62</v>
      </c>
      <c r="P260" t="s">
        <v>39</v>
      </c>
    </row>
    <row r="261" spans="1:16" x14ac:dyDescent="0.35">
      <c r="A261" t="s">
        <v>1096</v>
      </c>
      <c r="B261" t="s">
        <v>104</v>
      </c>
      <c r="C261" t="s">
        <v>65</v>
      </c>
      <c r="D261" t="s">
        <v>1097</v>
      </c>
      <c r="E261" t="s">
        <v>314</v>
      </c>
      <c r="F261">
        <v>97</v>
      </c>
      <c r="G261">
        <v>57</v>
      </c>
      <c r="H261">
        <v>84</v>
      </c>
      <c r="I261" t="s">
        <v>3485</v>
      </c>
      <c r="J261" s="8">
        <v>45562</v>
      </c>
      <c r="K261" s="8">
        <v>45533</v>
      </c>
      <c r="L261" s="8">
        <v>45694</v>
      </c>
      <c r="M261" t="s">
        <v>1098</v>
      </c>
      <c r="N261">
        <v>95</v>
      </c>
      <c r="O261">
        <v>28</v>
      </c>
      <c r="P261" t="s">
        <v>45</v>
      </c>
    </row>
    <row r="262" spans="1:16" x14ac:dyDescent="0.35">
      <c r="A262" t="s">
        <v>1099</v>
      </c>
      <c r="B262" t="s">
        <v>1100</v>
      </c>
      <c r="C262" t="s">
        <v>65</v>
      </c>
      <c r="D262" t="s">
        <v>1101</v>
      </c>
      <c r="E262" t="s">
        <v>1102</v>
      </c>
      <c r="F262">
        <v>43</v>
      </c>
      <c r="G262">
        <v>88</v>
      </c>
      <c r="H262">
        <v>33</v>
      </c>
      <c r="I262" t="s">
        <v>3482</v>
      </c>
      <c r="J262" s="8">
        <v>45492</v>
      </c>
      <c r="K262" s="8">
        <v>45691</v>
      </c>
      <c r="L262" s="8">
        <v>45649</v>
      </c>
      <c r="M262" t="s">
        <v>1103</v>
      </c>
      <c r="N262">
        <v>84</v>
      </c>
      <c r="O262">
        <v>75</v>
      </c>
      <c r="P262" t="s">
        <v>27</v>
      </c>
    </row>
    <row r="263" spans="1:16" x14ac:dyDescent="0.35">
      <c r="A263" t="s">
        <v>1104</v>
      </c>
      <c r="B263" t="s">
        <v>456</v>
      </c>
      <c r="C263" t="s">
        <v>59</v>
      </c>
      <c r="D263" t="s">
        <v>1105</v>
      </c>
      <c r="E263" t="s">
        <v>81</v>
      </c>
      <c r="F263">
        <v>74</v>
      </c>
      <c r="G263">
        <v>4</v>
      </c>
      <c r="H263">
        <v>67</v>
      </c>
      <c r="I263" t="s">
        <v>3500</v>
      </c>
      <c r="J263" s="8">
        <v>45377</v>
      </c>
      <c r="K263" s="8">
        <v>45395</v>
      </c>
      <c r="L263" s="8">
        <v>45436</v>
      </c>
      <c r="M263" t="s">
        <v>1106</v>
      </c>
      <c r="N263">
        <v>31</v>
      </c>
      <c r="O263">
        <v>34</v>
      </c>
      <c r="P263" t="s">
        <v>39</v>
      </c>
    </row>
    <row r="264" spans="1:16" x14ac:dyDescent="0.35">
      <c r="A264" t="s">
        <v>1107</v>
      </c>
      <c r="B264" t="s">
        <v>109</v>
      </c>
      <c r="C264" t="s">
        <v>23</v>
      </c>
      <c r="D264" t="s">
        <v>1108</v>
      </c>
      <c r="E264" t="s">
        <v>1109</v>
      </c>
      <c r="F264">
        <v>70</v>
      </c>
      <c r="G264">
        <v>96</v>
      </c>
      <c r="H264">
        <v>92</v>
      </c>
      <c r="I264" t="s">
        <v>3477</v>
      </c>
      <c r="J264" s="8">
        <v>45400</v>
      </c>
      <c r="K264" s="8">
        <v>45590</v>
      </c>
      <c r="L264" s="8">
        <v>45440</v>
      </c>
      <c r="M264" t="s">
        <v>1110</v>
      </c>
      <c r="N264">
        <v>27</v>
      </c>
      <c r="O264">
        <v>58</v>
      </c>
      <c r="P264" t="s">
        <v>39</v>
      </c>
    </row>
    <row r="265" spans="1:16" x14ac:dyDescent="0.35">
      <c r="A265" t="s">
        <v>1111</v>
      </c>
      <c r="B265" t="s">
        <v>451</v>
      </c>
      <c r="C265" t="s">
        <v>65</v>
      </c>
      <c r="D265" t="s">
        <v>1112</v>
      </c>
      <c r="E265" t="s">
        <v>929</v>
      </c>
      <c r="F265">
        <v>69</v>
      </c>
      <c r="G265">
        <v>53</v>
      </c>
      <c r="H265">
        <v>32</v>
      </c>
      <c r="I265" t="s">
        <v>3530</v>
      </c>
      <c r="J265" s="8">
        <v>45546</v>
      </c>
      <c r="K265" s="8">
        <v>45440</v>
      </c>
      <c r="L265" s="8">
        <v>45456</v>
      </c>
      <c r="M265" t="s">
        <v>1113</v>
      </c>
      <c r="N265">
        <v>28</v>
      </c>
      <c r="O265">
        <v>56</v>
      </c>
      <c r="P265" t="s">
        <v>45</v>
      </c>
    </row>
    <row r="266" spans="1:16" x14ac:dyDescent="0.35">
      <c r="A266" t="s">
        <v>1114</v>
      </c>
      <c r="B266" t="s">
        <v>312</v>
      </c>
      <c r="C266" t="s">
        <v>48</v>
      </c>
      <c r="D266" t="s">
        <v>1115</v>
      </c>
      <c r="E266" t="s">
        <v>1116</v>
      </c>
      <c r="F266">
        <v>67</v>
      </c>
      <c r="G266">
        <v>68</v>
      </c>
      <c r="H266">
        <v>50</v>
      </c>
      <c r="I266" t="s">
        <v>3477</v>
      </c>
      <c r="J266" s="8">
        <v>45558</v>
      </c>
      <c r="K266" s="8">
        <v>45617</v>
      </c>
      <c r="L266" s="8">
        <v>45391</v>
      </c>
      <c r="M266" t="s">
        <v>1117</v>
      </c>
      <c r="N266">
        <v>67</v>
      </c>
      <c r="O266">
        <v>82</v>
      </c>
      <c r="P266" t="s">
        <v>27</v>
      </c>
    </row>
    <row r="267" spans="1:16" x14ac:dyDescent="0.35">
      <c r="A267" t="s">
        <v>1118</v>
      </c>
      <c r="B267" t="s">
        <v>220</v>
      </c>
      <c r="C267" t="s">
        <v>23</v>
      </c>
      <c r="D267" t="s">
        <v>1119</v>
      </c>
      <c r="E267" t="s">
        <v>422</v>
      </c>
      <c r="F267">
        <v>18</v>
      </c>
      <c r="G267">
        <v>62</v>
      </c>
      <c r="H267">
        <v>2</v>
      </c>
      <c r="I267" t="s">
        <v>3481</v>
      </c>
      <c r="J267" s="8">
        <v>45377</v>
      </c>
      <c r="K267" s="8">
        <v>45410</v>
      </c>
      <c r="L267" s="8">
        <v>45541</v>
      </c>
      <c r="M267" t="s">
        <v>1120</v>
      </c>
      <c r="N267">
        <v>61</v>
      </c>
      <c r="O267">
        <v>78</v>
      </c>
      <c r="P267" t="s">
        <v>27</v>
      </c>
    </row>
    <row r="268" spans="1:16" x14ac:dyDescent="0.35">
      <c r="A268" t="s">
        <v>1121</v>
      </c>
      <c r="B268" t="s">
        <v>29</v>
      </c>
      <c r="C268" t="s">
        <v>30</v>
      </c>
      <c r="D268" t="s">
        <v>1122</v>
      </c>
      <c r="E268" t="s">
        <v>1123</v>
      </c>
      <c r="F268">
        <v>22</v>
      </c>
      <c r="G268">
        <v>89</v>
      </c>
      <c r="H268">
        <v>25</v>
      </c>
      <c r="I268" t="s">
        <v>3511</v>
      </c>
      <c r="J268" s="8">
        <v>45347</v>
      </c>
      <c r="K268" s="8">
        <v>45623</v>
      </c>
      <c r="L268" s="8">
        <v>45493</v>
      </c>
      <c r="M268" t="s">
        <v>1124</v>
      </c>
      <c r="N268">
        <v>30</v>
      </c>
      <c r="O268">
        <v>62</v>
      </c>
      <c r="P268" t="s">
        <v>27</v>
      </c>
    </row>
    <row r="269" spans="1:16" x14ac:dyDescent="0.35">
      <c r="A269" t="s">
        <v>1125</v>
      </c>
      <c r="B269" t="s">
        <v>1126</v>
      </c>
      <c r="C269" t="s">
        <v>48</v>
      </c>
      <c r="D269" t="s">
        <v>1127</v>
      </c>
      <c r="E269" t="s">
        <v>1128</v>
      </c>
      <c r="F269">
        <v>88</v>
      </c>
      <c r="G269">
        <v>99</v>
      </c>
      <c r="H269">
        <v>41</v>
      </c>
      <c r="I269" t="s">
        <v>3531</v>
      </c>
      <c r="J269" s="8">
        <v>45503</v>
      </c>
      <c r="K269" s="8">
        <v>45432</v>
      </c>
      <c r="L269" s="8">
        <v>45494</v>
      </c>
      <c r="M269" t="s">
        <v>1129</v>
      </c>
      <c r="N269">
        <v>93</v>
      </c>
      <c r="O269">
        <v>99</v>
      </c>
      <c r="P269" t="s">
        <v>39</v>
      </c>
    </row>
    <row r="270" spans="1:16" x14ac:dyDescent="0.35">
      <c r="A270" t="s">
        <v>1130</v>
      </c>
      <c r="B270" t="s">
        <v>509</v>
      </c>
      <c r="C270" t="s">
        <v>133</v>
      </c>
      <c r="D270" t="s">
        <v>1131</v>
      </c>
      <c r="E270" t="s">
        <v>1132</v>
      </c>
      <c r="F270">
        <v>78</v>
      </c>
      <c r="G270">
        <v>75</v>
      </c>
      <c r="H270">
        <v>3</v>
      </c>
      <c r="I270" t="s">
        <v>3485</v>
      </c>
      <c r="J270" s="8">
        <v>45512</v>
      </c>
      <c r="K270" s="8">
        <v>45644</v>
      </c>
      <c r="L270" s="8">
        <v>45478</v>
      </c>
      <c r="M270" t="s">
        <v>1133</v>
      </c>
      <c r="N270">
        <v>63</v>
      </c>
      <c r="O270">
        <v>100</v>
      </c>
      <c r="P270" t="s">
        <v>45</v>
      </c>
    </row>
    <row r="271" spans="1:16" x14ac:dyDescent="0.35">
      <c r="A271" t="s">
        <v>1134</v>
      </c>
      <c r="B271" t="s">
        <v>187</v>
      </c>
      <c r="C271" t="s">
        <v>59</v>
      </c>
      <c r="D271" t="s">
        <v>1135</v>
      </c>
      <c r="E271" t="s">
        <v>1136</v>
      </c>
      <c r="F271">
        <v>83</v>
      </c>
      <c r="G271">
        <v>52</v>
      </c>
      <c r="H271">
        <v>32</v>
      </c>
      <c r="I271" t="s">
        <v>3476</v>
      </c>
      <c r="J271" s="8">
        <v>45582</v>
      </c>
      <c r="K271" s="8">
        <v>45530</v>
      </c>
      <c r="L271" s="8">
        <v>45372</v>
      </c>
      <c r="M271" t="s">
        <v>1137</v>
      </c>
      <c r="N271">
        <v>47</v>
      </c>
      <c r="O271">
        <v>7</v>
      </c>
      <c r="P271" t="s">
        <v>45</v>
      </c>
    </row>
    <row r="272" spans="1:16" x14ac:dyDescent="0.35">
      <c r="A272" t="s">
        <v>1138</v>
      </c>
      <c r="B272" t="s">
        <v>776</v>
      </c>
      <c r="C272" t="s">
        <v>30</v>
      </c>
      <c r="D272" t="s">
        <v>1139</v>
      </c>
      <c r="E272" t="s">
        <v>1140</v>
      </c>
      <c r="F272">
        <v>42</v>
      </c>
      <c r="G272">
        <v>88</v>
      </c>
      <c r="H272">
        <v>17</v>
      </c>
      <c r="I272" t="s">
        <v>3532</v>
      </c>
      <c r="J272" s="8">
        <v>45584</v>
      </c>
      <c r="K272" s="8">
        <v>45632</v>
      </c>
      <c r="L272" s="8">
        <v>45467</v>
      </c>
      <c r="M272" t="s">
        <v>1141</v>
      </c>
      <c r="N272">
        <v>34</v>
      </c>
      <c r="O272">
        <v>51</v>
      </c>
      <c r="P272" t="s">
        <v>27</v>
      </c>
    </row>
    <row r="273" spans="1:16" x14ac:dyDescent="0.35">
      <c r="A273" t="s">
        <v>1142</v>
      </c>
      <c r="B273" t="s">
        <v>403</v>
      </c>
      <c r="C273" t="s">
        <v>48</v>
      </c>
      <c r="D273" t="s">
        <v>1143</v>
      </c>
      <c r="E273" t="s">
        <v>263</v>
      </c>
      <c r="F273">
        <v>49</v>
      </c>
      <c r="G273">
        <v>46</v>
      </c>
      <c r="H273">
        <v>8</v>
      </c>
      <c r="I273" t="s">
        <v>3481</v>
      </c>
      <c r="J273" s="8">
        <v>45587</v>
      </c>
      <c r="K273" s="8">
        <v>45382</v>
      </c>
      <c r="L273" s="8">
        <v>45636</v>
      </c>
      <c r="M273" t="s">
        <v>1144</v>
      </c>
      <c r="N273">
        <v>82</v>
      </c>
      <c r="O273">
        <v>21</v>
      </c>
      <c r="P273" t="s">
        <v>27</v>
      </c>
    </row>
    <row r="274" spans="1:16" x14ac:dyDescent="0.35">
      <c r="A274" t="s">
        <v>1145</v>
      </c>
      <c r="B274" t="s">
        <v>1146</v>
      </c>
      <c r="C274" t="s">
        <v>23</v>
      </c>
      <c r="D274" t="s">
        <v>1147</v>
      </c>
      <c r="E274" t="s">
        <v>410</v>
      </c>
      <c r="F274">
        <v>17</v>
      </c>
      <c r="G274">
        <v>88</v>
      </c>
      <c r="H274">
        <v>41</v>
      </c>
      <c r="I274" t="s">
        <v>3480</v>
      </c>
      <c r="J274" s="8">
        <v>45586</v>
      </c>
      <c r="K274" s="8">
        <v>45707</v>
      </c>
      <c r="L274" s="8">
        <v>45675</v>
      </c>
      <c r="M274" t="s">
        <v>1148</v>
      </c>
      <c r="N274">
        <v>45</v>
      </c>
      <c r="O274">
        <v>29</v>
      </c>
      <c r="P274" t="s">
        <v>39</v>
      </c>
    </row>
    <row r="275" spans="1:16" x14ac:dyDescent="0.35">
      <c r="A275" t="s">
        <v>1149</v>
      </c>
      <c r="B275" t="s">
        <v>630</v>
      </c>
      <c r="C275" t="s">
        <v>65</v>
      </c>
      <c r="D275" t="s">
        <v>1150</v>
      </c>
      <c r="E275" t="s">
        <v>1151</v>
      </c>
      <c r="F275">
        <v>52</v>
      </c>
      <c r="G275">
        <v>64</v>
      </c>
      <c r="H275">
        <v>54</v>
      </c>
      <c r="I275" t="s">
        <v>3502</v>
      </c>
      <c r="J275" s="8">
        <v>45618</v>
      </c>
      <c r="K275" s="8">
        <v>45544</v>
      </c>
      <c r="L275" s="8">
        <v>45588</v>
      </c>
      <c r="M275" t="s">
        <v>1152</v>
      </c>
      <c r="N275">
        <v>21</v>
      </c>
      <c r="O275">
        <v>55</v>
      </c>
      <c r="P275" t="s">
        <v>39</v>
      </c>
    </row>
    <row r="276" spans="1:16" x14ac:dyDescent="0.35">
      <c r="A276" t="s">
        <v>1153</v>
      </c>
      <c r="B276" t="s">
        <v>163</v>
      </c>
      <c r="C276" t="s">
        <v>48</v>
      </c>
      <c r="D276" t="s">
        <v>1154</v>
      </c>
      <c r="E276" t="s">
        <v>1140</v>
      </c>
      <c r="F276">
        <v>79</v>
      </c>
      <c r="G276">
        <v>45</v>
      </c>
      <c r="H276">
        <v>39</v>
      </c>
      <c r="I276" t="s">
        <v>3476</v>
      </c>
      <c r="J276" s="8">
        <v>45594</v>
      </c>
      <c r="K276" s="8">
        <v>45603</v>
      </c>
      <c r="L276" s="8">
        <v>45423</v>
      </c>
      <c r="M276" t="s">
        <v>1155</v>
      </c>
      <c r="N276">
        <v>55</v>
      </c>
      <c r="O276">
        <v>20</v>
      </c>
      <c r="P276" t="s">
        <v>39</v>
      </c>
    </row>
    <row r="277" spans="1:16" x14ac:dyDescent="0.35">
      <c r="A277" t="s">
        <v>1156</v>
      </c>
      <c r="B277" t="s">
        <v>456</v>
      </c>
      <c r="C277" t="s">
        <v>59</v>
      </c>
      <c r="D277" t="s">
        <v>1157</v>
      </c>
      <c r="E277" t="s">
        <v>670</v>
      </c>
      <c r="F277">
        <v>35</v>
      </c>
      <c r="G277">
        <v>41</v>
      </c>
      <c r="H277">
        <v>84</v>
      </c>
      <c r="I277" t="s">
        <v>3500</v>
      </c>
      <c r="J277" s="8">
        <v>45521</v>
      </c>
      <c r="K277" s="8">
        <v>45501</v>
      </c>
      <c r="L277" s="8">
        <v>45619</v>
      </c>
      <c r="M277" t="s">
        <v>1158</v>
      </c>
      <c r="N277">
        <v>62</v>
      </c>
      <c r="O277">
        <v>14</v>
      </c>
      <c r="P277" t="s">
        <v>39</v>
      </c>
    </row>
    <row r="278" spans="1:16" x14ac:dyDescent="0.35">
      <c r="A278" t="s">
        <v>1159</v>
      </c>
      <c r="B278" t="s">
        <v>177</v>
      </c>
      <c r="C278" t="s">
        <v>48</v>
      </c>
      <c r="D278" t="s">
        <v>1160</v>
      </c>
      <c r="E278" t="s">
        <v>1161</v>
      </c>
      <c r="F278">
        <v>76</v>
      </c>
      <c r="G278">
        <v>11</v>
      </c>
      <c r="H278">
        <v>15</v>
      </c>
      <c r="I278" t="s">
        <v>3500</v>
      </c>
      <c r="J278" s="8">
        <v>45585</v>
      </c>
      <c r="K278" s="8">
        <v>45437</v>
      </c>
      <c r="L278" s="8">
        <v>45552</v>
      </c>
      <c r="M278" t="s">
        <v>1162</v>
      </c>
      <c r="N278">
        <v>22</v>
      </c>
      <c r="O278">
        <v>91</v>
      </c>
      <c r="P278" t="s">
        <v>45</v>
      </c>
    </row>
    <row r="279" spans="1:16" x14ac:dyDescent="0.35">
      <c r="A279" t="s">
        <v>1163</v>
      </c>
      <c r="B279" t="s">
        <v>114</v>
      </c>
      <c r="C279" t="s">
        <v>65</v>
      </c>
      <c r="D279" t="s">
        <v>1164</v>
      </c>
      <c r="E279" t="s">
        <v>32</v>
      </c>
      <c r="F279">
        <v>93</v>
      </c>
      <c r="G279">
        <v>8</v>
      </c>
      <c r="H279">
        <v>51</v>
      </c>
      <c r="I279" t="s">
        <v>3486</v>
      </c>
      <c r="J279" s="8">
        <v>45350</v>
      </c>
      <c r="K279" s="8">
        <v>45427</v>
      </c>
      <c r="L279" s="8">
        <v>45692</v>
      </c>
      <c r="M279" t="s">
        <v>1165</v>
      </c>
      <c r="N279">
        <v>93</v>
      </c>
      <c r="O279">
        <v>85</v>
      </c>
      <c r="P279" t="s">
        <v>39</v>
      </c>
    </row>
    <row r="280" spans="1:16" x14ac:dyDescent="0.35">
      <c r="A280" t="s">
        <v>1166</v>
      </c>
      <c r="B280" t="s">
        <v>1167</v>
      </c>
      <c r="C280" t="s">
        <v>133</v>
      </c>
      <c r="D280" t="s">
        <v>1168</v>
      </c>
      <c r="E280" t="s">
        <v>803</v>
      </c>
      <c r="F280">
        <v>40</v>
      </c>
      <c r="G280">
        <v>81</v>
      </c>
      <c r="H280">
        <v>78</v>
      </c>
      <c r="I280" t="s">
        <v>3475</v>
      </c>
      <c r="J280" s="8">
        <v>45705</v>
      </c>
      <c r="K280" s="8">
        <v>45489</v>
      </c>
      <c r="L280" s="8">
        <v>45355</v>
      </c>
      <c r="M280" t="s">
        <v>1169</v>
      </c>
      <c r="N280">
        <v>39</v>
      </c>
      <c r="O280">
        <v>65</v>
      </c>
      <c r="P280" t="s">
        <v>39</v>
      </c>
    </row>
    <row r="281" spans="1:16" x14ac:dyDescent="0.35">
      <c r="A281" t="s">
        <v>1170</v>
      </c>
      <c r="B281" t="s">
        <v>132</v>
      </c>
      <c r="C281" t="s">
        <v>133</v>
      </c>
      <c r="D281" t="s">
        <v>1171</v>
      </c>
      <c r="E281" t="s">
        <v>212</v>
      </c>
      <c r="F281">
        <v>19</v>
      </c>
      <c r="G281">
        <v>94</v>
      </c>
      <c r="H281">
        <v>17</v>
      </c>
      <c r="I281" t="s">
        <v>3533</v>
      </c>
      <c r="J281" s="8">
        <v>45526</v>
      </c>
      <c r="K281" s="8">
        <v>45451</v>
      </c>
      <c r="L281" s="8">
        <v>45457</v>
      </c>
      <c r="M281" t="s">
        <v>1172</v>
      </c>
      <c r="N281">
        <v>96</v>
      </c>
      <c r="O281">
        <v>74</v>
      </c>
      <c r="P281" t="s">
        <v>27</v>
      </c>
    </row>
    <row r="282" spans="1:16" x14ac:dyDescent="0.35">
      <c r="A282" t="s">
        <v>1173</v>
      </c>
      <c r="B282" t="s">
        <v>711</v>
      </c>
      <c r="C282" t="s">
        <v>59</v>
      </c>
      <c r="D282" t="s">
        <v>1174</v>
      </c>
      <c r="E282" t="s">
        <v>1175</v>
      </c>
      <c r="F282">
        <v>70</v>
      </c>
      <c r="G282">
        <v>96</v>
      </c>
      <c r="H282">
        <v>21</v>
      </c>
      <c r="I282" t="s">
        <v>3484</v>
      </c>
      <c r="J282" s="8">
        <v>45622</v>
      </c>
      <c r="K282" s="8">
        <v>45545</v>
      </c>
      <c r="L282" s="8">
        <v>45507</v>
      </c>
      <c r="M282" t="s">
        <v>1176</v>
      </c>
      <c r="N282">
        <v>100</v>
      </c>
      <c r="O282">
        <v>15</v>
      </c>
      <c r="P282" t="s">
        <v>27</v>
      </c>
    </row>
    <row r="283" spans="1:16" x14ac:dyDescent="0.35">
      <c r="A283" t="s">
        <v>1177</v>
      </c>
      <c r="B283" t="s">
        <v>984</v>
      </c>
      <c r="C283" t="s">
        <v>90</v>
      </c>
      <c r="D283" t="s">
        <v>1178</v>
      </c>
      <c r="E283" t="s">
        <v>1179</v>
      </c>
      <c r="F283">
        <v>90</v>
      </c>
      <c r="G283">
        <v>52</v>
      </c>
      <c r="H283">
        <v>50</v>
      </c>
      <c r="I283" t="s">
        <v>3478</v>
      </c>
      <c r="J283" s="8">
        <v>45472</v>
      </c>
      <c r="K283" s="8">
        <v>45397</v>
      </c>
      <c r="L283" s="8">
        <v>45419</v>
      </c>
      <c r="M283" t="s">
        <v>1180</v>
      </c>
      <c r="N283">
        <v>63</v>
      </c>
      <c r="O283">
        <v>14</v>
      </c>
      <c r="P283" t="s">
        <v>27</v>
      </c>
    </row>
    <row r="284" spans="1:16" x14ac:dyDescent="0.35">
      <c r="A284" t="s">
        <v>1181</v>
      </c>
      <c r="B284" t="s">
        <v>984</v>
      </c>
      <c r="C284" t="s">
        <v>90</v>
      </c>
      <c r="D284" t="s">
        <v>1182</v>
      </c>
      <c r="E284" t="s">
        <v>129</v>
      </c>
      <c r="F284">
        <v>77</v>
      </c>
      <c r="G284">
        <v>79</v>
      </c>
      <c r="H284">
        <v>65</v>
      </c>
      <c r="I284" t="s">
        <v>3478</v>
      </c>
      <c r="J284" s="8">
        <v>45536</v>
      </c>
      <c r="K284" s="8">
        <v>45368</v>
      </c>
      <c r="L284" s="8">
        <v>45504</v>
      </c>
      <c r="M284" t="s">
        <v>1183</v>
      </c>
      <c r="N284">
        <v>62</v>
      </c>
      <c r="O284">
        <v>75</v>
      </c>
      <c r="P284" t="s">
        <v>39</v>
      </c>
    </row>
    <row r="285" spans="1:16" x14ac:dyDescent="0.35">
      <c r="A285" t="s">
        <v>1184</v>
      </c>
      <c r="B285" t="s">
        <v>1185</v>
      </c>
      <c r="C285" t="s">
        <v>48</v>
      </c>
      <c r="D285" t="s">
        <v>1186</v>
      </c>
      <c r="E285" t="s">
        <v>1116</v>
      </c>
      <c r="F285">
        <v>38</v>
      </c>
      <c r="G285">
        <v>22</v>
      </c>
      <c r="H285">
        <v>71</v>
      </c>
      <c r="I285" t="s">
        <v>3489</v>
      </c>
      <c r="J285" s="8">
        <v>45572</v>
      </c>
      <c r="K285" s="8">
        <v>45428</v>
      </c>
      <c r="L285" s="8">
        <v>45420</v>
      </c>
      <c r="M285" t="s">
        <v>1187</v>
      </c>
      <c r="N285">
        <v>33</v>
      </c>
      <c r="O285">
        <v>62</v>
      </c>
      <c r="P285" t="s">
        <v>45</v>
      </c>
    </row>
    <row r="286" spans="1:16" x14ac:dyDescent="0.35">
      <c r="A286" t="s">
        <v>1188</v>
      </c>
      <c r="B286" t="s">
        <v>509</v>
      </c>
      <c r="C286" t="s">
        <v>133</v>
      </c>
      <c r="D286" t="s">
        <v>1189</v>
      </c>
      <c r="E286" t="s">
        <v>1190</v>
      </c>
      <c r="F286">
        <v>93</v>
      </c>
      <c r="G286">
        <v>25</v>
      </c>
      <c r="H286">
        <v>23</v>
      </c>
      <c r="I286" t="s">
        <v>3485</v>
      </c>
      <c r="J286" s="8">
        <v>45464</v>
      </c>
      <c r="K286" s="8">
        <v>45521</v>
      </c>
      <c r="L286" s="8">
        <v>45411</v>
      </c>
      <c r="M286" t="s">
        <v>1191</v>
      </c>
      <c r="N286">
        <v>72</v>
      </c>
      <c r="O286">
        <v>83</v>
      </c>
      <c r="P286" t="s">
        <v>39</v>
      </c>
    </row>
    <row r="287" spans="1:16" x14ac:dyDescent="0.35">
      <c r="A287" t="s">
        <v>1192</v>
      </c>
      <c r="B287" t="s">
        <v>1193</v>
      </c>
      <c r="C287" t="s">
        <v>65</v>
      </c>
      <c r="D287" t="s">
        <v>1194</v>
      </c>
      <c r="E287" t="s">
        <v>1195</v>
      </c>
      <c r="F287">
        <v>23</v>
      </c>
      <c r="G287">
        <v>100</v>
      </c>
      <c r="H287">
        <v>77</v>
      </c>
      <c r="I287" t="s">
        <v>3484</v>
      </c>
      <c r="J287" s="8">
        <v>45422</v>
      </c>
      <c r="K287" s="8">
        <v>45514</v>
      </c>
      <c r="L287" s="8">
        <v>45355</v>
      </c>
      <c r="M287" t="s">
        <v>1196</v>
      </c>
      <c r="N287">
        <v>63</v>
      </c>
      <c r="O287">
        <v>26</v>
      </c>
      <c r="P287" t="s">
        <v>27</v>
      </c>
    </row>
    <row r="288" spans="1:16" x14ac:dyDescent="0.35">
      <c r="A288" t="s">
        <v>1197</v>
      </c>
      <c r="B288" t="s">
        <v>673</v>
      </c>
      <c r="C288" t="s">
        <v>30</v>
      </c>
      <c r="D288" t="s">
        <v>1198</v>
      </c>
      <c r="E288" t="s">
        <v>1199</v>
      </c>
      <c r="F288">
        <v>51</v>
      </c>
      <c r="G288">
        <v>1</v>
      </c>
      <c r="H288">
        <v>61</v>
      </c>
      <c r="I288" t="s">
        <v>3534</v>
      </c>
      <c r="J288" s="8">
        <v>45380</v>
      </c>
      <c r="K288" s="8">
        <v>45461</v>
      </c>
      <c r="L288" s="8">
        <v>45613</v>
      </c>
      <c r="M288" t="s">
        <v>1200</v>
      </c>
      <c r="N288">
        <v>96</v>
      </c>
      <c r="O288">
        <v>26</v>
      </c>
      <c r="P288" t="s">
        <v>45</v>
      </c>
    </row>
    <row r="289" spans="1:16" x14ac:dyDescent="0.35">
      <c r="A289" t="s">
        <v>1201</v>
      </c>
      <c r="B289" t="s">
        <v>364</v>
      </c>
      <c r="C289" t="s">
        <v>65</v>
      </c>
      <c r="D289" t="s">
        <v>1202</v>
      </c>
      <c r="E289" t="s">
        <v>1203</v>
      </c>
      <c r="F289">
        <v>57</v>
      </c>
      <c r="G289">
        <v>62</v>
      </c>
      <c r="H289">
        <v>72</v>
      </c>
      <c r="I289" t="s">
        <v>3478</v>
      </c>
      <c r="J289" s="8">
        <v>45709</v>
      </c>
      <c r="K289" s="8">
        <v>45560</v>
      </c>
      <c r="L289" s="8">
        <v>45514</v>
      </c>
      <c r="M289" t="s">
        <v>1204</v>
      </c>
      <c r="N289">
        <v>23</v>
      </c>
      <c r="O289">
        <v>4</v>
      </c>
      <c r="P289" t="s">
        <v>39</v>
      </c>
    </row>
    <row r="290" spans="1:16" x14ac:dyDescent="0.35">
      <c r="A290" t="s">
        <v>1205</v>
      </c>
      <c r="B290" t="s">
        <v>1206</v>
      </c>
      <c r="C290" t="s">
        <v>48</v>
      </c>
      <c r="D290" t="s">
        <v>1207</v>
      </c>
      <c r="E290" t="s">
        <v>1140</v>
      </c>
      <c r="F290">
        <v>59</v>
      </c>
      <c r="G290">
        <v>74</v>
      </c>
      <c r="H290">
        <v>100</v>
      </c>
      <c r="I290" t="s">
        <v>3474</v>
      </c>
      <c r="J290" s="8">
        <v>45377</v>
      </c>
      <c r="K290" s="8">
        <v>45550</v>
      </c>
      <c r="L290" s="8">
        <v>45608</v>
      </c>
      <c r="M290" t="s">
        <v>1208</v>
      </c>
      <c r="N290">
        <v>63</v>
      </c>
      <c r="O290">
        <v>69</v>
      </c>
      <c r="P290" t="s">
        <v>45</v>
      </c>
    </row>
    <row r="291" spans="1:16" x14ac:dyDescent="0.35">
      <c r="A291" t="s">
        <v>1209</v>
      </c>
      <c r="B291" t="s">
        <v>441</v>
      </c>
      <c r="C291" t="s">
        <v>48</v>
      </c>
      <c r="D291" t="s">
        <v>1210</v>
      </c>
      <c r="E291" t="s">
        <v>241</v>
      </c>
      <c r="F291">
        <v>89</v>
      </c>
      <c r="G291">
        <v>15</v>
      </c>
      <c r="H291">
        <v>22</v>
      </c>
      <c r="I291" t="s">
        <v>3503</v>
      </c>
      <c r="J291" s="8">
        <v>45613</v>
      </c>
      <c r="K291" s="8">
        <v>45699</v>
      </c>
      <c r="L291" s="8">
        <v>45415</v>
      </c>
      <c r="M291" t="s">
        <v>1211</v>
      </c>
      <c r="N291">
        <v>79</v>
      </c>
      <c r="O291">
        <v>42</v>
      </c>
      <c r="P291" t="s">
        <v>27</v>
      </c>
    </row>
    <row r="292" spans="1:16" x14ac:dyDescent="0.35">
      <c r="A292" t="s">
        <v>1212</v>
      </c>
      <c r="B292" t="s">
        <v>441</v>
      </c>
      <c r="C292" t="s">
        <v>48</v>
      </c>
      <c r="D292" t="s">
        <v>1213</v>
      </c>
      <c r="E292" t="s">
        <v>189</v>
      </c>
      <c r="F292">
        <v>53</v>
      </c>
      <c r="G292">
        <v>98</v>
      </c>
      <c r="H292">
        <v>25</v>
      </c>
      <c r="I292" t="s">
        <v>3503</v>
      </c>
      <c r="J292" s="8">
        <v>45558</v>
      </c>
      <c r="K292" s="8">
        <v>45539</v>
      </c>
      <c r="L292" s="8">
        <v>45646</v>
      </c>
      <c r="M292" t="s">
        <v>1214</v>
      </c>
      <c r="N292">
        <v>55</v>
      </c>
      <c r="O292">
        <v>51</v>
      </c>
      <c r="P292" t="s">
        <v>45</v>
      </c>
    </row>
    <row r="293" spans="1:16" x14ac:dyDescent="0.35">
      <c r="A293" t="s">
        <v>1215</v>
      </c>
      <c r="B293" t="s">
        <v>47</v>
      </c>
      <c r="C293" t="s">
        <v>48</v>
      </c>
      <c r="D293" t="s">
        <v>1216</v>
      </c>
      <c r="E293" t="s">
        <v>606</v>
      </c>
      <c r="F293">
        <v>11</v>
      </c>
      <c r="G293">
        <v>56</v>
      </c>
      <c r="H293">
        <v>62</v>
      </c>
      <c r="I293" t="s">
        <v>3535</v>
      </c>
      <c r="J293" s="8">
        <v>45396</v>
      </c>
      <c r="K293" s="8">
        <v>45667</v>
      </c>
      <c r="L293" s="8">
        <v>45575</v>
      </c>
      <c r="M293" t="s">
        <v>1217</v>
      </c>
      <c r="N293">
        <v>40</v>
      </c>
      <c r="O293">
        <v>5</v>
      </c>
      <c r="P293" t="s">
        <v>39</v>
      </c>
    </row>
    <row r="294" spans="1:16" x14ac:dyDescent="0.35">
      <c r="A294" t="s">
        <v>1218</v>
      </c>
      <c r="B294" t="s">
        <v>1219</v>
      </c>
      <c r="C294" t="s">
        <v>65</v>
      </c>
      <c r="D294" t="s">
        <v>1220</v>
      </c>
      <c r="E294" t="s">
        <v>1221</v>
      </c>
      <c r="F294">
        <v>59</v>
      </c>
      <c r="G294">
        <v>27</v>
      </c>
      <c r="H294">
        <v>63</v>
      </c>
      <c r="I294" t="s">
        <v>3479</v>
      </c>
      <c r="J294" s="8">
        <v>45458</v>
      </c>
      <c r="K294" s="8">
        <v>45470</v>
      </c>
      <c r="L294" s="8">
        <v>45689</v>
      </c>
      <c r="M294" t="s">
        <v>1222</v>
      </c>
      <c r="N294">
        <v>92</v>
      </c>
      <c r="O294">
        <v>82</v>
      </c>
      <c r="P294" t="s">
        <v>27</v>
      </c>
    </row>
    <row r="295" spans="1:16" x14ac:dyDescent="0.35">
      <c r="A295" t="s">
        <v>1223</v>
      </c>
      <c r="B295" t="s">
        <v>202</v>
      </c>
      <c r="C295" t="s">
        <v>48</v>
      </c>
      <c r="D295" t="s">
        <v>1224</v>
      </c>
      <c r="E295" t="s">
        <v>1225</v>
      </c>
      <c r="F295">
        <v>34</v>
      </c>
      <c r="G295">
        <v>29</v>
      </c>
      <c r="H295">
        <v>65</v>
      </c>
      <c r="I295" t="s">
        <v>3484</v>
      </c>
      <c r="J295" s="8">
        <v>45415</v>
      </c>
      <c r="K295" s="8">
        <v>45569</v>
      </c>
      <c r="L295" s="8">
        <v>45618</v>
      </c>
      <c r="M295" t="s">
        <v>1226</v>
      </c>
      <c r="N295">
        <v>90</v>
      </c>
      <c r="O295">
        <v>23</v>
      </c>
      <c r="P295" t="s">
        <v>27</v>
      </c>
    </row>
    <row r="296" spans="1:16" x14ac:dyDescent="0.35">
      <c r="A296" t="s">
        <v>1227</v>
      </c>
      <c r="B296" t="s">
        <v>625</v>
      </c>
      <c r="C296" t="s">
        <v>133</v>
      </c>
      <c r="D296" t="s">
        <v>1228</v>
      </c>
      <c r="E296" t="s">
        <v>72</v>
      </c>
      <c r="F296">
        <v>25</v>
      </c>
      <c r="G296">
        <v>75</v>
      </c>
      <c r="H296">
        <v>27</v>
      </c>
      <c r="I296" t="s">
        <v>3513</v>
      </c>
      <c r="J296" s="8">
        <v>45659</v>
      </c>
      <c r="K296" s="8">
        <v>45570</v>
      </c>
      <c r="L296" s="8">
        <v>45416</v>
      </c>
      <c r="M296" t="s">
        <v>1229</v>
      </c>
      <c r="N296">
        <v>31</v>
      </c>
      <c r="O296">
        <v>36</v>
      </c>
      <c r="P296" t="s">
        <v>45</v>
      </c>
    </row>
    <row r="297" spans="1:16" x14ac:dyDescent="0.35">
      <c r="A297" t="s">
        <v>1230</v>
      </c>
      <c r="B297" t="s">
        <v>801</v>
      </c>
      <c r="C297" t="s">
        <v>133</v>
      </c>
      <c r="D297" t="s">
        <v>1231</v>
      </c>
      <c r="E297" t="s">
        <v>1232</v>
      </c>
      <c r="F297">
        <v>81</v>
      </c>
      <c r="G297">
        <v>22</v>
      </c>
      <c r="H297">
        <v>20</v>
      </c>
      <c r="I297" t="s">
        <v>3503</v>
      </c>
      <c r="J297" s="8">
        <v>45444</v>
      </c>
      <c r="K297" s="8">
        <v>45711</v>
      </c>
      <c r="L297" s="8">
        <v>45526</v>
      </c>
      <c r="M297" t="s">
        <v>1233</v>
      </c>
      <c r="N297">
        <v>95</v>
      </c>
      <c r="O297">
        <v>77</v>
      </c>
      <c r="P297" t="s">
        <v>27</v>
      </c>
    </row>
    <row r="298" spans="1:16" x14ac:dyDescent="0.35">
      <c r="A298" t="s">
        <v>1234</v>
      </c>
      <c r="B298" t="s">
        <v>1235</v>
      </c>
      <c r="C298" t="s">
        <v>48</v>
      </c>
      <c r="D298" t="s">
        <v>1236</v>
      </c>
      <c r="E298" t="s">
        <v>1109</v>
      </c>
      <c r="F298">
        <v>81</v>
      </c>
      <c r="G298">
        <v>74</v>
      </c>
      <c r="H298">
        <v>45</v>
      </c>
      <c r="I298" t="s">
        <v>3490</v>
      </c>
      <c r="J298" s="8">
        <v>45677</v>
      </c>
      <c r="K298" s="8">
        <v>45684</v>
      </c>
      <c r="L298" s="8">
        <v>45669</v>
      </c>
      <c r="M298" t="s">
        <v>1237</v>
      </c>
      <c r="N298">
        <v>42</v>
      </c>
      <c r="O298">
        <v>23</v>
      </c>
      <c r="P298" t="s">
        <v>27</v>
      </c>
    </row>
    <row r="299" spans="1:16" x14ac:dyDescent="0.35">
      <c r="A299" t="s">
        <v>1238</v>
      </c>
      <c r="B299" t="s">
        <v>781</v>
      </c>
      <c r="C299" t="s">
        <v>48</v>
      </c>
      <c r="D299" t="s">
        <v>1239</v>
      </c>
      <c r="E299" t="s">
        <v>461</v>
      </c>
      <c r="F299">
        <v>71</v>
      </c>
      <c r="G299">
        <v>4</v>
      </c>
      <c r="H299">
        <v>37</v>
      </c>
      <c r="I299" t="s">
        <v>3481</v>
      </c>
      <c r="J299" s="8">
        <v>45550</v>
      </c>
      <c r="K299" s="8">
        <v>45589</v>
      </c>
      <c r="L299" s="8">
        <v>45653</v>
      </c>
      <c r="M299" t="s">
        <v>1240</v>
      </c>
      <c r="N299">
        <v>81</v>
      </c>
      <c r="O299">
        <v>25</v>
      </c>
      <c r="P299" t="s">
        <v>27</v>
      </c>
    </row>
    <row r="300" spans="1:16" x14ac:dyDescent="0.35">
      <c r="A300" t="s">
        <v>1241</v>
      </c>
      <c r="B300" t="s">
        <v>595</v>
      </c>
      <c r="C300" t="s">
        <v>48</v>
      </c>
      <c r="D300" t="s">
        <v>1242</v>
      </c>
      <c r="E300" t="s">
        <v>1243</v>
      </c>
      <c r="F300">
        <v>52</v>
      </c>
      <c r="G300">
        <v>22</v>
      </c>
      <c r="H300">
        <v>37</v>
      </c>
      <c r="I300" t="s">
        <v>3480</v>
      </c>
      <c r="J300" s="8">
        <v>45593</v>
      </c>
      <c r="K300" s="8">
        <v>45483</v>
      </c>
      <c r="L300" s="8">
        <v>45375</v>
      </c>
      <c r="M300" t="s">
        <v>1244</v>
      </c>
      <c r="N300">
        <v>56</v>
      </c>
      <c r="O300">
        <v>44</v>
      </c>
      <c r="P300" t="s">
        <v>45</v>
      </c>
    </row>
    <row r="301" spans="1:16" x14ac:dyDescent="0.35">
      <c r="A301" t="s">
        <v>1245</v>
      </c>
      <c r="B301" t="s">
        <v>70</v>
      </c>
      <c r="C301" t="s">
        <v>65</v>
      </c>
      <c r="D301" t="s">
        <v>1246</v>
      </c>
      <c r="E301" t="s">
        <v>1247</v>
      </c>
      <c r="F301">
        <v>26</v>
      </c>
      <c r="G301">
        <v>54</v>
      </c>
      <c r="H301">
        <v>90</v>
      </c>
      <c r="I301" t="s">
        <v>3481</v>
      </c>
      <c r="J301" s="8">
        <v>45580</v>
      </c>
      <c r="K301" s="8">
        <v>45462</v>
      </c>
      <c r="L301" s="8">
        <v>45678</v>
      </c>
      <c r="M301" t="s">
        <v>1248</v>
      </c>
      <c r="N301">
        <v>25</v>
      </c>
      <c r="O301">
        <v>81</v>
      </c>
      <c r="P301" t="s">
        <v>45</v>
      </c>
    </row>
    <row r="302" spans="1:16" x14ac:dyDescent="0.35">
      <c r="A302" t="s">
        <v>1249</v>
      </c>
      <c r="B302" t="s">
        <v>197</v>
      </c>
      <c r="C302" t="s">
        <v>133</v>
      </c>
      <c r="D302" t="s">
        <v>1250</v>
      </c>
      <c r="E302" t="s">
        <v>1251</v>
      </c>
      <c r="F302">
        <v>84</v>
      </c>
      <c r="G302">
        <v>8</v>
      </c>
      <c r="H302">
        <v>54</v>
      </c>
      <c r="I302" t="s">
        <v>3492</v>
      </c>
      <c r="J302" s="8">
        <v>45671</v>
      </c>
      <c r="K302" s="8">
        <v>45405</v>
      </c>
      <c r="L302" s="8">
        <v>45360</v>
      </c>
      <c r="M302" t="s">
        <v>1252</v>
      </c>
      <c r="N302">
        <v>60</v>
      </c>
      <c r="O302">
        <v>38</v>
      </c>
      <c r="P302" t="s">
        <v>45</v>
      </c>
    </row>
    <row r="303" spans="1:16" x14ac:dyDescent="0.35">
      <c r="A303" t="s">
        <v>1253</v>
      </c>
      <c r="B303" t="s">
        <v>441</v>
      </c>
      <c r="C303" t="s">
        <v>48</v>
      </c>
      <c r="D303" t="s">
        <v>1254</v>
      </c>
      <c r="E303" t="s">
        <v>610</v>
      </c>
      <c r="F303">
        <v>28</v>
      </c>
      <c r="G303">
        <v>86</v>
      </c>
      <c r="H303">
        <v>44</v>
      </c>
      <c r="I303" t="s">
        <v>3503</v>
      </c>
      <c r="J303" s="8">
        <v>45435</v>
      </c>
      <c r="K303" s="8">
        <v>45614</v>
      </c>
      <c r="L303" s="8">
        <v>45502</v>
      </c>
      <c r="M303" t="s">
        <v>1255</v>
      </c>
      <c r="N303">
        <v>48</v>
      </c>
      <c r="O303">
        <v>12</v>
      </c>
      <c r="P303" t="s">
        <v>39</v>
      </c>
    </row>
    <row r="304" spans="1:16" x14ac:dyDescent="0.35">
      <c r="A304" t="s">
        <v>1256</v>
      </c>
      <c r="B304" t="s">
        <v>99</v>
      </c>
      <c r="C304" t="s">
        <v>48</v>
      </c>
      <c r="D304" t="s">
        <v>1257</v>
      </c>
      <c r="E304" t="s">
        <v>1258</v>
      </c>
      <c r="F304">
        <v>94</v>
      </c>
      <c r="G304">
        <v>77</v>
      </c>
      <c r="H304">
        <v>89</v>
      </c>
      <c r="I304" t="s">
        <v>3476</v>
      </c>
      <c r="J304" s="8">
        <v>45565</v>
      </c>
      <c r="K304" s="8">
        <v>45463</v>
      </c>
      <c r="L304" s="8">
        <v>45464</v>
      </c>
      <c r="M304" t="s">
        <v>1259</v>
      </c>
      <c r="N304">
        <v>40</v>
      </c>
      <c r="O304">
        <v>84</v>
      </c>
      <c r="P304" t="s">
        <v>27</v>
      </c>
    </row>
    <row r="305" spans="1:16" x14ac:dyDescent="0.35">
      <c r="A305" t="s">
        <v>1260</v>
      </c>
      <c r="B305" t="s">
        <v>257</v>
      </c>
      <c r="C305" t="s">
        <v>48</v>
      </c>
      <c r="D305" t="s">
        <v>1261</v>
      </c>
      <c r="E305" t="s">
        <v>1262</v>
      </c>
      <c r="F305">
        <v>47</v>
      </c>
      <c r="G305">
        <v>75</v>
      </c>
      <c r="H305">
        <v>53</v>
      </c>
      <c r="I305" t="s">
        <v>3476</v>
      </c>
      <c r="J305" s="8">
        <v>45694</v>
      </c>
      <c r="K305" s="8">
        <v>45568</v>
      </c>
      <c r="L305" s="8">
        <v>45476</v>
      </c>
      <c r="M305" t="s">
        <v>1263</v>
      </c>
      <c r="N305">
        <v>70</v>
      </c>
      <c r="O305">
        <v>20</v>
      </c>
      <c r="P305" t="s">
        <v>27</v>
      </c>
    </row>
    <row r="306" spans="1:16" x14ac:dyDescent="0.35">
      <c r="A306" t="s">
        <v>1264</v>
      </c>
      <c r="B306" t="s">
        <v>1265</v>
      </c>
      <c r="C306" t="s">
        <v>23</v>
      </c>
      <c r="D306" t="s">
        <v>1266</v>
      </c>
      <c r="E306" t="s">
        <v>973</v>
      </c>
      <c r="F306">
        <v>20</v>
      </c>
      <c r="G306">
        <v>51</v>
      </c>
      <c r="H306">
        <v>21</v>
      </c>
      <c r="I306" t="s">
        <v>3489</v>
      </c>
      <c r="J306" s="8">
        <v>45370</v>
      </c>
      <c r="K306" s="8">
        <v>45501</v>
      </c>
      <c r="L306" s="8">
        <v>45461</v>
      </c>
      <c r="M306" t="s">
        <v>1267</v>
      </c>
      <c r="N306">
        <v>71</v>
      </c>
      <c r="O306">
        <v>26</v>
      </c>
      <c r="P306" t="s">
        <v>39</v>
      </c>
    </row>
    <row r="307" spans="1:16" x14ac:dyDescent="0.35">
      <c r="A307" t="s">
        <v>1268</v>
      </c>
      <c r="B307" t="s">
        <v>1269</v>
      </c>
      <c r="C307" t="s">
        <v>48</v>
      </c>
      <c r="D307" t="s">
        <v>1270</v>
      </c>
      <c r="E307" t="s">
        <v>908</v>
      </c>
      <c r="F307">
        <v>84</v>
      </c>
      <c r="G307">
        <v>20</v>
      </c>
      <c r="H307">
        <v>58</v>
      </c>
      <c r="I307" t="s">
        <v>3480</v>
      </c>
      <c r="J307" s="8">
        <v>45390</v>
      </c>
      <c r="K307" s="8">
        <v>45667</v>
      </c>
      <c r="L307" s="8">
        <v>45384</v>
      </c>
      <c r="M307" t="s">
        <v>1271</v>
      </c>
      <c r="N307">
        <v>86</v>
      </c>
      <c r="O307">
        <v>64</v>
      </c>
      <c r="P307" t="s">
        <v>39</v>
      </c>
    </row>
    <row r="308" spans="1:16" x14ac:dyDescent="0.35">
      <c r="A308" t="s">
        <v>1272</v>
      </c>
      <c r="B308" t="s">
        <v>451</v>
      </c>
      <c r="C308" t="s">
        <v>65</v>
      </c>
      <c r="D308" t="s">
        <v>1273</v>
      </c>
      <c r="E308" t="s">
        <v>124</v>
      </c>
      <c r="F308">
        <v>100</v>
      </c>
      <c r="G308">
        <v>31</v>
      </c>
      <c r="H308">
        <v>43</v>
      </c>
      <c r="I308" t="s">
        <v>3492</v>
      </c>
      <c r="J308" s="8">
        <v>45548</v>
      </c>
      <c r="K308" s="8">
        <v>45663</v>
      </c>
      <c r="L308" s="8">
        <v>45652</v>
      </c>
      <c r="M308" t="s">
        <v>1274</v>
      </c>
      <c r="N308">
        <v>88</v>
      </c>
      <c r="O308">
        <v>52</v>
      </c>
      <c r="P308" t="s">
        <v>39</v>
      </c>
    </row>
    <row r="309" spans="1:16" x14ac:dyDescent="0.35">
      <c r="A309" t="s">
        <v>1275</v>
      </c>
      <c r="B309" t="s">
        <v>1100</v>
      </c>
      <c r="C309" t="s">
        <v>65</v>
      </c>
      <c r="D309" t="s">
        <v>1276</v>
      </c>
      <c r="E309" t="s">
        <v>986</v>
      </c>
      <c r="F309">
        <v>74</v>
      </c>
      <c r="G309">
        <v>90</v>
      </c>
      <c r="H309">
        <v>26</v>
      </c>
      <c r="I309" t="s">
        <v>3482</v>
      </c>
      <c r="J309" s="8">
        <v>45435</v>
      </c>
      <c r="K309" s="8">
        <v>45695</v>
      </c>
      <c r="L309" s="8">
        <v>45490</v>
      </c>
      <c r="M309" t="s">
        <v>1277</v>
      </c>
      <c r="N309">
        <v>24</v>
      </c>
      <c r="O309">
        <v>11</v>
      </c>
      <c r="P309" t="s">
        <v>27</v>
      </c>
    </row>
    <row r="310" spans="1:16" x14ac:dyDescent="0.35">
      <c r="A310" t="s">
        <v>1278</v>
      </c>
      <c r="B310" t="s">
        <v>287</v>
      </c>
      <c r="C310" t="s">
        <v>30</v>
      </c>
      <c r="D310" t="s">
        <v>1279</v>
      </c>
      <c r="E310" t="s">
        <v>1280</v>
      </c>
      <c r="F310">
        <v>27</v>
      </c>
      <c r="G310">
        <v>12</v>
      </c>
      <c r="H310">
        <v>93</v>
      </c>
      <c r="I310" t="s">
        <v>3487</v>
      </c>
      <c r="J310" s="8">
        <v>45355</v>
      </c>
      <c r="K310" s="8">
        <v>45485</v>
      </c>
      <c r="L310" s="8">
        <v>45378</v>
      </c>
      <c r="M310" t="s">
        <v>1281</v>
      </c>
      <c r="N310">
        <v>88</v>
      </c>
      <c r="O310">
        <v>83</v>
      </c>
      <c r="P310" t="s">
        <v>27</v>
      </c>
    </row>
    <row r="311" spans="1:16" x14ac:dyDescent="0.35">
      <c r="A311" t="s">
        <v>1282</v>
      </c>
      <c r="B311" t="s">
        <v>355</v>
      </c>
      <c r="C311" t="s">
        <v>48</v>
      </c>
      <c r="D311" t="s">
        <v>1283</v>
      </c>
      <c r="E311" t="s">
        <v>1284</v>
      </c>
      <c r="F311">
        <v>91</v>
      </c>
      <c r="G311">
        <v>55</v>
      </c>
      <c r="H311">
        <v>94</v>
      </c>
      <c r="I311" t="s">
        <v>3481</v>
      </c>
      <c r="J311" s="8">
        <v>45362</v>
      </c>
      <c r="K311" s="8">
        <v>45392</v>
      </c>
      <c r="L311" s="8">
        <v>45408</v>
      </c>
      <c r="M311" t="s">
        <v>1285</v>
      </c>
      <c r="N311">
        <v>42</v>
      </c>
      <c r="O311">
        <v>93</v>
      </c>
      <c r="P311" t="s">
        <v>45</v>
      </c>
    </row>
    <row r="312" spans="1:16" x14ac:dyDescent="0.35">
      <c r="A312" t="s">
        <v>1286</v>
      </c>
      <c r="B312" t="s">
        <v>1126</v>
      </c>
      <c r="C312" t="s">
        <v>48</v>
      </c>
      <c r="D312" t="s">
        <v>1287</v>
      </c>
      <c r="E312" t="s">
        <v>1288</v>
      </c>
      <c r="F312">
        <v>82</v>
      </c>
      <c r="G312">
        <v>21</v>
      </c>
      <c r="H312">
        <v>85</v>
      </c>
      <c r="I312" t="s">
        <v>3531</v>
      </c>
      <c r="J312" s="8">
        <v>45396</v>
      </c>
      <c r="K312" s="8">
        <v>45370</v>
      </c>
      <c r="L312" s="8">
        <v>45481</v>
      </c>
      <c r="M312" t="s">
        <v>1289</v>
      </c>
      <c r="N312">
        <v>39</v>
      </c>
      <c r="O312">
        <v>18</v>
      </c>
      <c r="P312" t="s">
        <v>39</v>
      </c>
    </row>
    <row r="313" spans="1:16" x14ac:dyDescent="0.35">
      <c r="A313" t="s">
        <v>1290</v>
      </c>
      <c r="B313" t="s">
        <v>109</v>
      </c>
      <c r="C313" t="s">
        <v>23</v>
      </c>
      <c r="D313" t="s">
        <v>1291</v>
      </c>
      <c r="E313" t="s">
        <v>352</v>
      </c>
      <c r="F313">
        <v>84</v>
      </c>
      <c r="G313">
        <v>91</v>
      </c>
      <c r="H313">
        <v>86</v>
      </c>
      <c r="I313" t="s">
        <v>3477</v>
      </c>
      <c r="J313" s="8">
        <v>45665</v>
      </c>
      <c r="K313" s="8">
        <v>45633</v>
      </c>
      <c r="L313" s="8">
        <v>45618</v>
      </c>
      <c r="M313" t="s">
        <v>1292</v>
      </c>
      <c r="N313">
        <v>83</v>
      </c>
      <c r="O313">
        <v>95</v>
      </c>
      <c r="P313" t="s">
        <v>39</v>
      </c>
    </row>
    <row r="314" spans="1:16" x14ac:dyDescent="0.35">
      <c r="A314" t="s">
        <v>1293</v>
      </c>
      <c r="B314" t="s">
        <v>1167</v>
      </c>
      <c r="C314" t="s">
        <v>133</v>
      </c>
      <c r="D314" t="s">
        <v>1294</v>
      </c>
      <c r="E314" t="s">
        <v>1295</v>
      </c>
      <c r="F314">
        <v>18</v>
      </c>
      <c r="G314">
        <v>46</v>
      </c>
      <c r="H314">
        <v>26</v>
      </c>
      <c r="I314" t="s">
        <v>3475</v>
      </c>
      <c r="J314" s="8">
        <v>45392</v>
      </c>
      <c r="K314" s="8">
        <v>45575</v>
      </c>
      <c r="L314" s="8">
        <v>45548</v>
      </c>
      <c r="M314" t="s">
        <v>1296</v>
      </c>
      <c r="N314">
        <v>57</v>
      </c>
      <c r="O314">
        <v>95</v>
      </c>
      <c r="P314" t="s">
        <v>39</v>
      </c>
    </row>
    <row r="315" spans="1:16" x14ac:dyDescent="0.35">
      <c r="A315" t="s">
        <v>1297</v>
      </c>
      <c r="B315" t="s">
        <v>266</v>
      </c>
      <c r="C315" t="s">
        <v>90</v>
      </c>
      <c r="D315" t="s">
        <v>1298</v>
      </c>
      <c r="E315" t="s">
        <v>1247</v>
      </c>
      <c r="F315">
        <v>12</v>
      </c>
      <c r="G315">
        <v>59</v>
      </c>
      <c r="H315">
        <v>62</v>
      </c>
      <c r="I315" t="s">
        <v>3474</v>
      </c>
      <c r="J315" s="8">
        <v>45446</v>
      </c>
      <c r="K315" s="8">
        <v>45673</v>
      </c>
      <c r="L315" s="8">
        <v>45509</v>
      </c>
      <c r="M315" t="s">
        <v>1299</v>
      </c>
      <c r="N315">
        <v>75</v>
      </c>
      <c r="O315">
        <v>92</v>
      </c>
      <c r="P315" t="s">
        <v>39</v>
      </c>
    </row>
    <row r="316" spans="1:16" x14ac:dyDescent="0.35">
      <c r="A316" t="s">
        <v>1300</v>
      </c>
      <c r="B316" t="s">
        <v>35</v>
      </c>
      <c r="C316" t="s">
        <v>23</v>
      </c>
      <c r="D316" t="s">
        <v>1301</v>
      </c>
      <c r="E316" t="s">
        <v>96</v>
      </c>
      <c r="F316">
        <v>85</v>
      </c>
      <c r="G316">
        <v>4</v>
      </c>
      <c r="H316">
        <v>75</v>
      </c>
      <c r="I316" t="s">
        <v>3516</v>
      </c>
      <c r="J316" s="8">
        <v>45522</v>
      </c>
      <c r="K316" s="8">
        <v>45385</v>
      </c>
      <c r="L316" s="8">
        <v>45599</v>
      </c>
      <c r="M316" t="s">
        <v>1302</v>
      </c>
      <c r="N316">
        <v>95</v>
      </c>
      <c r="O316">
        <v>70</v>
      </c>
      <c r="P316" t="s">
        <v>39</v>
      </c>
    </row>
    <row r="317" spans="1:16" x14ac:dyDescent="0.35">
      <c r="A317" t="s">
        <v>1303</v>
      </c>
      <c r="B317" t="s">
        <v>398</v>
      </c>
      <c r="C317" t="s">
        <v>90</v>
      </c>
      <c r="D317" t="s">
        <v>1304</v>
      </c>
      <c r="E317" t="s">
        <v>1305</v>
      </c>
      <c r="F317">
        <v>33</v>
      </c>
      <c r="G317">
        <v>60</v>
      </c>
      <c r="H317">
        <v>67</v>
      </c>
      <c r="I317" t="s">
        <v>3476</v>
      </c>
      <c r="J317" s="8">
        <v>45459</v>
      </c>
      <c r="K317" s="8">
        <v>45436</v>
      </c>
      <c r="L317" s="8">
        <v>45654</v>
      </c>
      <c r="M317" t="s">
        <v>1306</v>
      </c>
      <c r="N317">
        <v>20</v>
      </c>
      <c r="O317">
        <v>7</v>
      </c>
      <c r="P317" t="s">
        <v>27</v>
      </c>
    </row>
    <row r="318" spans="1:16" x14ac:dyDescent="0.35">
      <c r="A318" t="s">
        <v>1307</v>
      </c>
      <c r="B318" t="s">
        <v>509</v>
      </c>
      <c r="C318" t="s">
        <v>133</v>
      </c>
      <c r="D318" t="s">
        <v>1308</v>
      </c>
      <c r="E318" t="s">
        <v>639</v>
      </c>
      <c r="F318">
        <v>59</v>
      </c>
      <c r="G318">
        <v>59</v>
      </c>
      <c r="H318">
        <v>10</v>
      </c>
      <c r="I318" t="s">
        <v>3485</v>
      </c>
      <c r="J318" s="8">
        <v>45522</v>
      </c>
      <c r="K318" s="8">
        <v>45606</v>
      </c>
      <c r="L318" s="8">
        <v>45366</v>
      </c>
      <c r="M318" t="s">
        <v>1309</v>
      </c>
      <c r="N318">
        <v>57</v>
      </c>
      <c r="O318">
        <v>50</v>
      </c>
      <c r="P318" t="s">
        <v>45</v>
      </c>
    </row>
    <row r="319" spans="1:16" x14ac:dyDescent="0.35">
      <c r="A319" t="s">
        <v>1310</v>
      </c>
      <c r="B319" t="s">
        <v>1126</v>
      </c>
      <c r="C319" t="s">
        <v>48</v>
      </c>
      <c r="D319" t="s">
        <v>1311</v>
      </c>
      <c r="E319" t="s">
        <v>1312</v>
      </c>
      <c r="F319">
        <v>22</v>
      </c>
      <c r="G319">
        <v>69</v>
      </c>
      <c r="H319">
        <v>87</v>
      </c>
      <c r="I319" t="s">
        <v>3531</v>
      </c>
      <c r="J319" s="8">
        <v>45697</v>
      </c>
      <c r="K319" s="8">
        <v>45458</v>
      </c>
      <c r="L319" s="8">
        <v>45708</v>
      </c>
      <c r="M319" t="s">
        <v>1313</v>
      </c>
      <c r="N319">
        <v>34</v>
      </c>
      <c r="O319">
        <v>26</v>
      </c>
      <c r="P319" t="s">
        <v>39</v>
      </c>
    </row>
    <row r="320" spans="1:16" x14ac:dyDescent="0.35">
      <c r="A320" t="s">
        <v>1314</v>
      </c>
      <c r="B320" t="s">
        <v>613</v>
      </c>
      <c r="C320" t="s">
        <v>65</v>
      </c>
      <c r="D320" t="s">
        <v>1315</v>
      </c>
      <c r="E320" t="s">
        <v>1316</v>
      </c>
      <c r="F320">
        <v>67</v>
      </c>
      <c r="G320">
        <v>79</v>
      </c>
      <c r="H320">
        <v>98</v>
      </c>
      <c r="I320" t="s">
        <v>3485</v>
      </c>
      <c r="J320" s="8">
        <v>45701</v>
      </c>
      <c r="K320" s="8">
        <v>45515</v>
      </c>
      <c r="L320" s="8">
        <v>45388</v>
      </c>
      <c r="M320" t="s">
        <v>1317</v>
      </c>
      <c r="N320">
        <v>73</v>
      </c>
      <c r="O320">
        <v>36</v>
      </c>
      <c r="P320" t="s">
        <v>45</v>
      </c>
    </row>
    <row r="321" spans="1:16" x14ac:dyDescent="0.35">
      <c r="A321" t="s">
        <v>1318</v>
      </c>
      <c r="B321" t="s">
        <v>451</v>
      </c>
      <c r="C321" t="s">
        <v>65</v>
      </c>
      <c r="D321" t="s">
        <v>1319</v>
      </c>
      <c r="E321" t="s">
        <v>1320</v>
      </c>
      <c r="F321">
        <v>78</v>
      </c>
      <c r="G321">
        <v>24</v>
      </c>
      <c r="H321">
        <v>31</v>
      </c>
      <c r="I321" t="s">
        <v>3492</v>
      </c>
      <c r="J321" s="8">
        <v>45444</v>
      </c>
      <c r="K321" s="8">
        <v>45446</v>
      </c>
      <c r="L321" s="8">
        <v>45358</v>
      </c>
      <c r="M321" t="s">
        <v>1321</v>
      </c>
      <c r="N321">
        <v>60</v>
      </c>
      <c r="O321">
        <v>41</v>
      </c>
      <c r="P321" t="s">
        <v>45</v>
      </c>
    </row>
    <row r="322" spans="1:16" x14ac:dyDescent="0.35">
      <c r="A322" t="s">
        <v>1322</v>
      </c>
      <c r="B322" t="s">
        <v>230</v>
      </c>
      <c r="C322" t="s">
        <v>48</v>
      </c>
      <c r="D322" t="s">
        <v>1323</v>
      </c>
      <c r="E322" t="s">
        <v>1175</v>
      </c>
      <c r="F322">
        <v>72</v>
      </c>
      <c r="G322">
        <v>32</v>
      </c>
      <c r="H322">
        <v>80</v>
      </c>
      <c r="I322" t="s">
        <v>3536</v>
      </c>
      <c r="J322" s="8">
        <v>45479</v>
      </c>
      <c r="K322" s="8">
        <v>45613</v>
      </c>
      <c r="L322" s="8">
        <v>45392</v>
      </c>
      <c r="M322" t="s">
        <v>1324</v>
      </c>
      <c r="N322">
        <v>25</v>
      </c>
      <c r="O322">
        <v>9</v>
      </c>
      <c r="P322" t="s">
        <v>39</v>
      </c>
    </row>
    <row r="323" spans="1:16" x14ac:dyDescent="0.35">
      <c r="A323" t="s">
        <v>1325</v>
      </c>
      <c r="B323" t="s">
        <v>364</v>
      </c>
      <c r="C323" t="s">
        <v>65</v>
      </c>
      <c r="D323" t="s">
        <v>1326</v>
      </c>
      <c r="E323" t="s">
        <v>675</v>
      </c>
      <c r="F323">
        <v>63</v>
      </c>
      <c r="G323">
        <v>48</v>
      </c>
      <c r="H323">
        <v>22</v>
      </c>
      <c r="I323" t="s">
        <v>3478</v>
      </c>
      <c r="J323" s="8">
        <v>45442</v>
      </c>
      <c r="K323" s="8">
        <v>45706</v>
      </c>
      <c r="L323" s="8">
        <v>45491</v>
      </c>
      <c r="M323" t="s">
        <v>1327</v>
      </c>
      <c r="N323">
        <v>21</v>
      </c>
      <c r="O323">
        <v>90</v>
      </c>
      <c r="P323" t="s">
        <v>27</v>
      </c>
    </row>
    <row r="324" spans="1:16" x14ac:dyDescent="0.35">
      <c r="A324" t="s">
        <v>1328</v>
      </c>
      <c r="B324" t="s">
        <v>283</v>
      </c>
      <c r="C324" t="s">
        <v>90</v>
      </c>
      <c r="D324" t="s">
        <v>1329</v>
      </c>
      <c r="E324" t="s">
        <v>61</v>
      </c>
      <c r="F324">
        <v>30</v>
      </c>
      <c r="G324">
        <v>91</v>
      </c>
      <c r="H324">
        <v>34</v>
      </c>
      <c r="I324" t="s">
        <v>3480</v>
      </c>
      <c r="J324" s="8">
        <v>45484</v>
      </c>
      <c r="K324" s="8">
        <v>45614</v>
      </c>
      <c r="L324" s="8">
        <v>45418</v>
      </c>
      <c r="M324" t="s">
        <v>1330</v>
      </c>
      <c r="N324">
        <v>97</v>
      </c>
      <c r="O324">
        <v>88</v>
      </c>
      <c r="P324" t="s">
        <v>45</v>
      </c>
    </row>
    <row r="325" spans="1:16" x14ac:dyDescent="0.35">
      <c r="A325" t="s">
        <v>1331</v>
      </c>
      <c r="B325" t="s">
        <v>29</v>
      </c>
      <c r="C325" t="s">
        <v>30</v>
      </c>
      <c r="D325" t="s">
        <v>1332</v>
      </c>
      <c r="E325" t="s">
        <v>807</v>
      </c>
      <c r="F325">
        <v>36</v>
      </c>
      <c r="G325">
        <v>64</v>
      </c>
      <c r="H325">
        <v>63</v>
      </c>
      <c r="I325" t="s">
        <v>3475</v>
      </c>
      <c r="J325" s="8">
        <v>45366</v>
      </c>
      <c r="K325" s="8">
        <v>45706</v>
      </c>
      <c r="L325" s="8">
        <v>45381</v>
      </c>
      <c r="M325" t="s">
        <v>1333</v>
      </c>
      <c r="N325">
        <v>91</v>
      </c>
      <c r="O325">
        <v>35</v>
      </c>
      <c r="P325" t="s">
        <v>39</v>
      </c>
    </row>
    <row r="326" spans="1:16" x14ac:dyDescent="0.35">
      <c r="A326" t="s">
        <v>1334</v>
      </c>
      <c r="B326" t="s">
        <v>1126</v>
      </c>
      <c r="C326" t="s">
        <v>48</v>
      </c>
      <c r="D326" t="s">
        <v>1335</v>
      </c>
      <c r="E326" t="s">
        <v>1336</v>
      </c>
      <c r="F326">
        <v>88</v>
      </c>
      <c r="G326">
        <v>27</v>
      </c>
      <c r="H326">
        <v>92</v>
      </c>
      <c r="I326" t="s">
        <v>3531</v>
      </c>
      <c r="J326" s="8">
        <v>45623</v>
      </c>
      <c r="K326" s="8">
        <v>45412</v>
      </c>
      <c r="L326" s="8">
        <v>45465</v>
      </c>
      <c r="M326" t="s">
        <v>1337</v>
      </c>
      <c r="N326">
        <v>57</v>
      </c>
      <c r="O326">
        <v>37</v>
      </c>
      <c r="P326" t="s">
        <v>27</v>
      </c>
    </row>
    <row r="327" spans="1:16" x14ac:dyDescent="0.35">
      <c r="A327" t="s">
        <v>1338</v>
      </c>
      <c r="B327" t="s">
        <v>538</v>
      </c>
      <c r="C327" t="s">
        <v>48</v>
      </c>
      <c r="D327" t="s">
        <v>1339</v>
      </c>
      <c r="E327" t="s">
        <v>106</v>
      </c>
      <c r="F327">
        <v>95</v>
      </c>
      <c r="G327">
        <v>25</v>
      </c>
      <c r="H327">
        <v>91</v>
      </c>
      <c r="I327" t="s">
        <v>3537</v>
      </c>
      <c r="J327" s="8">
        <v>45539</v>
      </c>
      <c r="K327" s="8">
        <v>45406</v>
      </c>
      <c r="L327" s="8">
        <v>45583</v>
      </c>
      <c r="M327" t="s">
        <v>1340</v>
      </c>
      <c r="N327">
        <v>87</v>
      </c>
      <c r="O327">
        <v>5</v>
      </c>
      <c r="P327" t="s">
        <v>27</v>
      </c>
    </row>
    <row r="328" spans="1:16" x14ac:dyDescent="0.35">
      <c r="A328" t="s">
        <v>1341</v>
      </c>
      <c r="B328" t="s">
        <v>350</v>
      </c>
      <c r="C328" t="s">
        <v>48</v>
      </c>
      <c r="D328" t="s">
        <v>1342</v>
      </c>
      <c r="E328" t="s">
        <v>1343</v>
      </c>
      <c r="F328">
        <v>30</v>
      </c>
      <c r="G328">
        <v>59</v>
      </c>
      <c r="H328">
        <v>76</v>
      </c>
      <c r="I328" t="s">
        <v>3478</v>
      </c>
      <c r="J328" s="8">
        <v>45371</v>
      </c>
      <c r="K328" s="8">
        <v>45671</v>
      </c>
      <c r="L328" s="8">
        <v>45393</v>
      </c>
      <c r="M328" t="s">
        <v>1344</v>
      </c>
      <c r="N328">
        <v>61</v>
      </c>
      <c r="O328">
        <v>3</v>
      </c>
      <c r="P328" t="s">
        <v>27</v>
      </c>
    </row>
    <row r="329" spans="1:16" x14ac:dyDescent="0.35">
      <c r="A329" t="s">
        <v>1345</v>
      </c>
      <c r="B329" t="s">
        <v>138</v>
      </c>
      <c r="C329" t="s">
        <v>48</v>
      </c>
      <c r="D329" t="s">
        <v>1346</v>
      </c>
      <c r="E329" t="s">
        <v>952</v>
      </c>
      <c r="F329">
        <v>31</v>
      </c>
      <c r="G329">
        <v>55</v>
      </c>
      <c r="H329">
        <v>5</v>
      </c>
      <c r="I329" t="s">
        <v>3484</v>
      </c>
      <c r="J329" s="8">
        <v>45545</v>
      </c>
      <c r="K329" s="8">
        <v>45706</v>
      </c>
      <c r="L329" s="8">
        <v>45594</v>
      </c>
      <c r="M329" t="s">
        <v>1347</v>
      </c>
      <c r="N329">
        <v>71</v>
      </c>
      <c r="O329">
        <v>46</v>
      </c>
      <c r="P329" t="s">
        <v>45</v>
      </c>
    </row>
    <row r="330" spans="1:16" x14ac:dyDescent="0.35">
      <c r="A330" t="s">
        <v>1348</v>
      </c>
      <c r="B330" t="s">
        <v>533</v>
      </c>
      <c r="C330" t="s">
        <v>133</v>
      </c>
      <c r="D330" t="s">
        <v>1349</v>
      </c>
      <c r="E330" t="s">
        <v>1083</v>
      </c>
      <c r="F330">
        <v>16</v>
      </c>
      <c r="G330">
        <v>20</v>
      </c>
      <c r="H330">
        <v>45</v>
      </c>
      <c r="I330" t="s">
        <v>3486</v>
      </c>
      <c r="J330" s="8">
        <v>45412</v>
      </c>
      <c r="K330" s="8">
        <v>45583</v>
      </c>
      <c r="L330" s="8">
        <v>45450</v>
      </c>
      <c r="M330" t="s">
        <v>1350</v>
      </c>
      <c r="N330">
        <v>81</v>
      </c>
      <c r="O330">
        <v>62</v>
      </c>
      <c r="P330" t="s">
        <v>45</v>
      </c>
    </row>
    <row r="331" spans="1:16" x14ac:dyDescent="0.35">
      <c r="A331" t="s">
        <v>1351</v>
      </c>
      <c r="B331" t="s">
        <v>84</v>
      </c>
      <c r="C331" t="s">
        <v>23</v>
      </c>
      <c r="D331" t="s">
        <v>1352</v>
      </c>
      <c r="E331" t="s">
        <v>1353</v>
      </c>
      <c r="F331">
        <v>14</v>
      </c>
      <c r="G331">
        <v>16</v>
      </c>
      <c r="H331">
        <v>93</v>
      </c>
      <c r="I331" t="s">
        <v>3484</v>
      </c>
      <c r="J331" s="8">
        <v>45496</v>
      </c>
      <c r="K331" s="8">
        <v>45354</v>
      </c>
      <c r="L331" s="8">
        <v>45464</v>
      </c>
      <c r="M331" t="s">
        <v>1354</v>
      </c>
      <c r="N331">
        <v>39</v>
      </c>
      <c r="O331">
        <v>30</v>
      </c>
      <c r="P331" t="s">
        <v>45</v>
      </c>
    </row>
    <row r="332" spans="1:16" x14ac:dyDescent="0.35">
      <c r="A332" t="s">
        <v>1355</v>
      </c>
      <c r="B332" t="s">
        <v>1269</v>
      </c>
      <c r="C332" t="s">
        <v>48</v>
      </c>
      <c r="D332" t="s">
        <v>1356</v>
      </c>
      <c r="E332" t="s">
        <v>453</v>
      </c>
      <c r="F332">
        <v>44</v>
      </c>
      <c r="G332">
        <v>67</v>
      </c>
      <c r="H332">
        <v>15</v>
      </c>
      <c r="I332" t="s">
        <v>3480</v>
      </c>
      <c r="J332" s="8">
        <v>45364</v>
      </c>
      <c r="K332" s="8">
        <v>45361</v>
      </c>
      <c r="L332" s="8">
        <v>45374</v>
      </c>
      <c r="M332" t="s">
        <v>1357</v>
      </c>
      <c r="N332">
        <v>82</v>
      </c>
      <c r="O332">
        <v>51</v>
      </c>
      <c r="P332" t="s">
        <v>45</v>
      </c>
    </row>
    <row r="333" spans="1:16" x14ac:dyDescent="0.35">
      <c r="A333" t="s">
        <v>1358</v>
      </c>
      <c r="B333" t="s">
        <v>41</v>
      </c>
      <c r="C333" t="s">
        <v>23</v>
      </c>
      <c r="D333" t="s">
        <v>1359</v>
      </c>
      <c r="E333" t="s">
        <v>1005</v>
      </c>
      <c r="F333">
        <v>69</v>
      </c>
      <c r="G333">
        <v>82</v>
      </c>
      <c r="H333">
        <v>58</v>
      </c>
      <c r="I333" t="s">
        <v>3477</v>
      </c>
      <c r="J333" s="8">
        <v>45480</v>
      </c>
      <c r="K333" s="8">
        <v>45411</v>
      </c>
      <c r="L333" s="8">
        <v>45412</v>
      </c>
      <c r="M333" t="s">
        <v>1360</v>
      </c>
      <c r="N333">
        <v>34</v>
      </c>
      <c r="O333">
        <v>22</v>
      </c>
      <c r="P333" t="s">
        <v>27</v>
      </c>
    </row>
    <row r="334" spans="1:16" x14ac:dyDescent="0.35">
      <c r="A334" t="s">
        <v>1361</v>
      </c>
      <c r="B334" t="s">
        <v>41</v>
      </c>
      <c r="C334" t="s">
        <v>23</v>
      </c>
      <c r="D334" t="s">
        <v>1362</v>
      </c>
      <c r="E334" t="s">
        <v>1094</v>
      </c>
      <c r="F334">
        <v>71</v>
      </c>
      <c r="G334">
        <v>10</v>
      </c>
      <c r="H334">
        <v>49</v>
      </c>
      <c r="I334" t="s">
        <v>3477</v>
      </c>
      <c r="J334" s="8">
        <v>45515</v>
      </c>
      <c r="K334" s="8">
        <v>45367</v>
      </c>
      <c r="L334" s="8">
        <v>45438</v>
      </c>
      <c r="M334" t="s">
        <v>1363</v>
      </c>
      <c r="N334">
        <v>66</v>
      </c>
      <c r="O334">
        <v>43</v>
      </c>
      <c r="P334" t="s">
        <v>45</v>
      </c>
    </row>
    <row r="335" spans="1:16" x14ac:dyDescent="0.35">
      <c r="A335" t="s">
        <v>1364</v>
      </c>
      <c r="B335" t="s">
        <v>312</v>
      </c>
      <c r="C335" t="s">
        <v>48</v>
      </c>
      <c r="D335" t="s">
        <v>1365</v>
      </c>
      <c r="E335" t="s">
        <v>490</v>
      </c>
      <c r="F335">
        <v>92</v>
      </c>
      <c r="G335">
        <v>39</v>
      </c>
      <c r="H335">
        <v>50</v>
      </c>
      <c r="I335" t="s">
        <v>3483</v>
      </c>
      <c r="J335" s="8">
        <v>45653</v>
      </c>
      <c r="K335" s="8">
        <v>45633</v>
      </c>
      <c r="L335" s="8">
        <v>45605</v>
      </c>
      <c r="M335" t="s">
        <v>1366</v>
      </c>
      <c r="N335">
        <v>30</v>
      </c>
      <c r="O335">
        <v>41</v>
      </c>
      <c r="P335" t="s">
        <v>39</v>
      </c>
    </row>
    <row r="336" spans="1:16" x14ac:dyDescent="0.35">
      <c r="A336" t="s">
        <v>1367</v>
      </c>
      <c r="B336" t="s">
        <v>436</v>
      </c>
      <c r="C336" t="s">
        <v>59</v>
      </c>
      <c r="D336" t="s">
        <v>1368</v>
      </c>
      <c r="E336" t="s">
        <v>101</v>
      </c>
      <c r="F336">
        <v>49</v>
      </c>
      <c r="G336">
        <v>17</v>
      </c>
      <c r="H336">
        <v>54</v>
      </c>
      <c r="I336" t="s">
        <v>3478</v>
      </c>
      <c r="J336" s="8">
        <v>45558</v>
      </c>
      <c r="K336" s="8">
        <v>45626</v>
      </c>
      <c r="L336" s="8">
        <v>45623</v>
      </c>
      <c r="M336" t="s">
        <v>1369</v>
      </c>
      <c r="N336">
        <v>45</v>
      </c>
      <c r="O336">
        <v>96</v>
      </c>
      <c r="P336" t="s">
        <v>27</v>
      </c>
    </row>
    <row r="337" spans="1:16" x14ac:dyDescent="0.35">
      <c r="A337" t="s">
        <v>1370</v>
      </c>
      <c r="B337" t="s">
        <v>546</v>
      </c>
      <c r="C337" t="s">
        <v>48</v>
      </c>
      <c r="D337" t="s">
        <v>1371</v>
      </c>
      <c r="E337" t="s">
        <v>898</v>
      </c>
      <c r="F337">
        <v>52</v>
      </c>
      <c r="G337">
        <v>8</v>
      </c>
      <c r="H337">
        <v>37</v>
      </c>
      <c r="I337" t="s">
        <v>3476</v>
      </c>
      <c r="J337" s="8">
        <v>45535</v>
      </c>
      <c r="K337" s="8">
        <v>45519</v>
      </c>
      <c r="L337" s="8">
        <v>45520</v>
      </c>
      <c r="M337" t="s">
        <v>1372</v>
      </c>
      <c r="N337">
        <v>38</v>
      </c>
      <c r="O337">
        <v>81</v>
      </c>
      <c r="P337" t="s">
        <v>45</v>
      </c>
    </row>
    <row r="338" spans="1:16" x14ac:dyDescent="0.35">
      <c r="A338" t="s">
        <v>1373</v>
      </c>
      <c r="B338" t="s">
        <v>729</v>
      </c>
      <c r="C338" t="s">
        <v>65</v>
      </c>
      <c r="D338" t="s">
        <v>1374</v>
      </c>
      <c r="E338" t="s">
        <v>1375</v>
      </c>
      <c r="F338">
        <v>56</v>
      </c>
      <c r="G338">
        <v>97</v>
      </c>
      <c r="H338">
        <v>29</v>
      </c>
      <c r="I338" t="s">
        <v>3480</v>
      </c>
      <c r="J338" s="8">
        <v>45350</v>
      </c>
      <c r="K338" s="8">
        <v>45490</v>
      </c>
      <c r="L338" s="8">
        <v>45625</v>
      </c>
      <c r="M338" t="s">
        <v>1376</v>
      </c>
      <c r="N338">
        <v>82</v>
      </c>
      <c r="O338">
        <v>100</v>
      </c>
      <c r="P338" t="s">
        <v>39</v>
      </c>
    </row>
    <row r="339" spans="1:16" x14ac:dyDescent="0.35">
      <c r="A339" t="s">
        <v>1377</v>
      </c>
      <c r="B339" t="s">
        <v>99</v>
      </c>
      <c r="C339" t="s">
        <v>48</v>
      </c>
      <c r="D339" t="s">
        <v>1378</v>
      </c>
      <c r="E339" t="s">
        <v>685</v>
      </c>
      <c r="F339">
        <v>16</v>
      </c>
      <c r="G339">
        <v>23</v>
      </c>
      <c r="H339">
        <v>76</v>
      </c>
      <c r="I339" t="s">
        <v>3508</v>
      </c>
      <c r="J339" s="8">
        <v>45494</v>
      </c>
      <c r="K339" s="8">
        <v>45697</v>
      </c>
      <c r="L339" s="8">
        <v>45696</v>
      </c>
      <c r="M339" t="s">
        <v>1379</v>
      </c>
      <c r="N339">
        <v>50</v>
      </c>
      <c r="O339">
        <v>27</v>
      </c>
      <c r="P339" t="s">
        <v>39</v>
      </c>
    </row>
    <row r="340" spans="1:16" x14ac:dyDescent="0.35">
      <c r="A340" t="s">
        <v>1380</v>
      </c>
      <c r="B340" t="s">
        <v>215</v>
      </c>
      <c r="C340" t="s">
        <v>48</v>
      </c>
      <c r="D340" t="s">
        <v>1381</v>
      </c>
      <c r="E340" t="s">
        <v>713</v>
      </c>
      <c r="F340">
        <v>52</v>
      </c>
      <c r="G340">
        <v>79</v>
      </c>
      <c r="H340">
        <v>87</v>
      </c>
      <c r="I340" t="s">
        <v>3480</v>
      </c>
      <c r="J340" s="8">
        <v>45454</v>
      </c>
      <c r="K340" s="8">
        <v>45386</v>
      </c>
      <c r="L340" s="8">
        <v>45361</v>
      </c>
      <c r="M340" t="s">
        <v>1382</v>
      </c>
      <c r="N340">
        <v>36</v>
      </c>
      <c r="O340">
        <v>100</v>
      </c>
      <c r="P340" t="s">
        <v>27</v>
      </c>
    </row>
    <row r="341" spans="1:16" x14ac:dyDescent="0.35">
      <c r="A341" t="s">
        <v>1383</v>
      </c>
      <c r="B341" t="s">
        <v>132</v>
      </c>
      <c r="C341" t="s">
        <v>133</v>
      </c>
      <c r="D341" t="s">
        <v>1384</v>
      </c>
      <c r="E341" t="s">
        <v>254</v>
      </c>
      <c r="F341">
        <v>91</v>
      </c>
      <c r="G341">
        <v>68</v>
      </c>
      <c r="H341">
        <v>80</v>
      </c>
      <c r="I341" t="s">
        <v>3533</v>
      </c>
      <c r="J341" s="8">
        <v>45516</v>
      </c>
      <c r="K341" s="8">
        <v>45579</v>
      </c>
      <c r="L341" s="8">
        <v>45615</v>
      </c>
      <c r="M341" t="s">
        <v>1385</v>
      </c>
      <c r="N341">
        <v>81</v>
      </c>
      <c r="O341">
        <v>85</v>
      </c>
      <c r="P341" t="s">
        <v>39</v>
      </c>
    </row>
    <row r="342" spans="1:16" x14ac:dyDescent="0.35">
      <c r="A342" t="s">
        <v>1386</v>
      </c>
      <c r="B342" t="s">
        <v>225</v>
      </c>
      <c r="C342" t="s">
        <v>48</v>
      </c>
      <c r="D342" t="s">
        <v>1387</v>
      </c>
      <c r="E342" t="s">
        <v>1388</v>
      </c>
      <c r="F342">
        <v>58</v>
      </c>
      <c r="G342">
        <v>58</v>
      </c>
      <c r="H342">
        <v>28</v>
      </c>
      <c r="I342" t="s">
        <v>3538</v>
      </c>
      <c r="J342" s="8">
        <v>45369</v>
      </c>
      <c r="K342" s="8">
        <v>45509</v>
      </c>
      <c r="L342" s="8">
        <v>45686</v>
      </c>
      <c r="M342" t="s">
        <v>1389</v>
      </c>
      <c r="N342">
        <v>85</v>
      </c>
      <c r="O342">
        <v>63</v>
      </c>
      <c r="P342" t="s">
        <v>45</v>
      </c>
    </row>
    <row r="343" spans="1:16" x14ac:dyDescent="0.35">
      <c r="A343" t="s">
        <v>1390</v>
      </c>
      <c r="B343" t="s">
        <v>1167</v>
      </c>
      <c r="C343" t="s">
        <v>133</v>
      </c>
      <c r="D343" t="s">
        <v>1391</v>
      </c>
      <c r="E343" t="s">
        <v>1392</v>
      </c>
      <c r="F343">
        <v>47</v>
      </c>
      <c r="G343">
        <v>29</v>
      </c>
      <c r="H343">
        <v>70</v>
      </c>
      <c r="I343" t="s">
        <v>3475</v>
      </c>
      <c r="J343" s="8">
        <v>45513</v>
      </c>
      <c r="K343" s="8">
        <v>45633</v>
      </c>
      <c r="L343" s="8">
        <v>45498</v>
      </c>
      <c r="M343" t="s">
        <v>1393</v>
      </c>
      <c r="N343">
        <v>61</v>
      </c>
      <c r="O343">
        <v>44</v>
      </c>
      <c r="P343" t="s">
        <v>45</v>
      </c>
    </row>
    <row r="344" spans="1:16" x14ac:dyDescent="0.35">
      <c r="A344" t="s">
        <v>1394</v>
      </c>
      <c r="B344" t="s">
        <v>89</v>
      </c>
      <c r="C344" t="s">
        <v>90</v>
      </c>
      <c r="D344" t="s">
        <v>1395</v>
      </c>
      <c r="E344" t="s">
        <v>1396</v>
      </c>
      <c r="F344">
        <v>50</v>
      </c>
      <c r="G344">
        <v>56</v>
      </c>
      <c r="H344">
        <v>63</v>
      </c>
      <c r="I344" t="s">
        <v>3481</v>
      </c>
      <c r="J344" s="8">
        <v>45378</v>
      </c>
      <c r="K344" s="8">
        <v>45428</v>
      </c>
      <c r="L344" s="8">
        <v>45552</v>
      </c>
      <c r="M344" t="s">
        <v>1397</v>
      </c>
      <c r="N344">
        <v>70</v>
      </c>
      <c r="O344">
        <v>100</v>
      </c>
      <c r="P344" t="s">
        <v>27</v>
      </c>
    </row>
    <row r="345" spans="1:16" x14ac:dyDescent="0.35">
      <c r="A345" t="s">
        <v>1398</v>
      </c>
      <c r="B345" t="s">
        <v>646</v>
      </c>
      <c r="C345" t="s">
        <v>65</v>
      </c>
      <c r="D345" t="s">
        <v>1399</v>
      </c>
      <c r="E345" t="s">
        <v>101</v>
      </c>
      <c r="F345">
        <v>43</v>
      </c>
      <c r="G345">
        <v>73</v>
      </c>
      <c r="H345">
        <v>14</v>
      </c>
      <c r="I345" t="s">
        <v>3478</v>
      </c>
      <c r="J345" s="8">
        <v>45501</v>
      </c>
      <c r="K345" s="8">
        <v>45542</v>
      </c>
      <c r="L345" s="8">
        <v>45530</v>
      </c>
      <c r="M345" t="s">
        <v>1400</v>
      </c>
      <c r="N345">
        <v>59</v>
      </c>
      <c r="O345">
        <v>65</v>
      </c>
      <c r="P345" t="s">
        <v>45</v>
      </c>
    </row>
    <row r="346" spans="1:16" x14ac:dyDescent="0.35">
      <c r="A346" t="s">
        <v>1401</v>
      </c>
      <c r="B346" t="s">
        <v>720</v>
      </c>
      <c r="C346" t="s">
        <v>65</v>
      </c>
      <c r="D346" t="s">
        <v>1402</v>
      </c>
      <c r="E346" t="s">
        <v>1312</v>
      </c>
      <c r="F346">
        <v>68</v>
      </c>
      <c r="G346">
        <v>60</v>
      </c>
      <c r="H346">
        <v>21</v>
      </c>
      <c r="I346" t="s">
        <v>3539</v>
      </c>
      <c r="J346" s="8">
        <v>45349</v>
      </c>
      <c r="K346" s="8">
        <v>45567</v>
      </c>
      <c r="L346" s="8">
        <v>45411</v>
      </c>
      <c r="M346" t="s">
        <v>1403</v>
      </c>
      <c r="N346">
        <v>79</v>
      </c>
      <c r="O346">
        <v>46</v>
      </c>
      <c r="P346" t="s">
        <v>45</v>
      </c>
    </row>
    <row r="347" spans="1:16" x14ac:dyDescent="0.35">
      <c r="A347" t="s">
        <v>1404</v>
      </c>
      <c r="B347" t="s">
        <v>729</v>
      </c>
      <c r="C347" t="s">
        <v>65</v>
      </c>
      <c r="D347" t="s">
        <v>1405</v>
      </c>
      <c r="E347" t="s">
        <v>956</v>
      </c>
      <c r="F347">
        <v>19</v>
      </c>
      <c r="G347">
        <v>100</v>
      </c>
      <c r="H347">
        <v>83</v>
      </c>
      <c r="I347" t="s">
        <v>3480</v>
      </c>
      <c r="J347" s="8">
        <v>45407</v>
      </c>
      <c r="K347" s="8">
        <v>45494</v>
      </c>
      <c r="L347" s="8">
        <v>45373</v>
      </c>
      <c r="M347" t="s">
        <v>1406</v>
      </c>
      <c r="N347">
        <v>66</v>
      </c>
      <c r="O347">
        <v>28</v>
      </c>
      <c r="P347" t="s">
        <v>27</v>
      </c>
    </row>
    <row r="348" spans="1:16" x14ac:dyDescent="0.35">
      <c r="A348" t="s">
        <v>1407</v>
      </c>
      <c r="B348" t="s">
        <v>114</v>
      </c>
      <c r="C348" t="s">
        <v>65</v>
      </c>
      <c r="D348" t="s">
        <v>1408</v>
      </c>
      <c r="E348" t="s">
        <v>1116</v>
      </c>
      <c r="F348">
        <v>70</v>
      </c>
      <c r="G348">
        <v>84</v>
      </c>
      <c r="H348">
        <v>72</v>
      </c>
      <c r="I348" t="s">
        <v>3486</v>
      </c>
      <c r="J348" s="8">
        <v>45493</v>
      </c>
      <c r="K348" s="8">
        <v>45634</v>
      </c>
      <c r="L348" s="8">
        <v>45487</v>
      </c>
      <c r="M348" t="s">
        <v>1409</v>
      </c>
      <c r="N348">
        <v>71</v>
      </c>
      <c r="O348">
        <v>20</v>
      </c>
      <c r="P348" t="s">
        <v>45</v>
      </c>
    </row>
    <row r="349" spans="1:16" x14ac:dyDescent="0.35">
      <c r="A349" t="s">
        <v>1410</v>
      </c>
      <c r="B349" t="s">
        <v>355</v>
      </c>
      <c r="C349" t="s">
        <v>48</v>
      </c>
      <c r="D349" t="s">
        <v>1411</v>
      </c>
      <c r="E349" t="s">
        <v>798</v>
      </c>
      <c r="F349">
        <v>97</v>
      </c>
      <c r="G349">
        <v>20</v>
      </c>
      <c r="H349">
        <v>72</v>
      </c>
      <c r="I349" t="s">
        <v>3481</v>
      </c>
      <c r="J349" s="8">
        <v>45351</v>
      </c>
      <c r="K349" s="8">
        <v>45694</v>
      </c>
      <c r="L349" s="8">
        <v>45636</v>
      </c>
      <c r="M349" t="s">
        <v>1412</v>
      </c>
      <c r="N349">
        <v>29</v>
      </c>
      <c r="O349">
        <v>59</v>
      </c>
      <c r="P349" t="s">
        <v>39</v>
      </c>
    </row>
    <row r="350" spans="1:16" x14ac:dyDescent="0.35">
      <c r="A350" t="s">
        <v>1413</v>
      </c>
      <c r="B350" t="s">
        <v>865</v>
      </c>
      <c r="C350" t="s">
        <v>59</v>
      </c>
      <c r="D350" t="s">
        <v>1414</v>
      </c>
      <c r="E350" t="s">
        <v>841</v>
      </c>
      <c r="F350">
        <v>87</v>
      </c>
      <c r="G350">
        <v>24</v>
      </c>
      <c r="H350">
        <v>19</v>
      </c>
      <c r="I350" t="s">
        <v>3480</v>
      </c>
      <c r="J350" s="8">
        <v>45423</v>
      </c>
      <c r="K350" s="8">
        <v>45639</v>
      </c>
      <c r="L350" s="8">
        <v>45399</v>
      </c>
      <c r="M350" t="s">
        <v>1415</v>
      </c>
      <c r="N350">
        <v>83</v>
      </c>
      <c r="O350">
        <v>3</v>
      </c>
      <c r="P350" t="s">
        <v>27</v>
      </c>
    </row>
    <row r="351" spans="1:16" x14ac:dyDescent="0.35">
      <c r="A351" t="s">
        <v>1416</v>
      </c>
      <c r="B351" t="s">
        <v>337</v>
      </c>
      <c r="C351" t="s">
        <v>30</v>
      </c>
      <c r="D351" t="s">
        <v>1417</v>
      </c>
      <c r="E351" t="s">
        <v>963</v>
      </c>
      <c r="F351">
        <v>58</v>
      </c>
      <c r="G351">
        <v>81</v>
      </c>
      <c r="H351">
        <v>66</v>
      </c>
      <c r="I351" t="s">
        <v>3499</v>
      </c>
      <c r="J351" s="8">
        <v>45467</v>
      </c>
      <c r="K351" s="8">
        <v>45701</v>
      </c>
      <c r="L351" s="8">
        <v>45659</v>
      </c>
      <c r="M351" t="s">
        <v>1418</v>
      </c>
      <c r="N351">
        <v>85</v>
      </c>
      <c r="O351">
        <v>78</v>
      </c>
      <c r="P351" t="s">
        <v>45</v>
      </c>
    </row>
    <row r="352" spans="1:16" x14ac:dyDescent="0.35">
      <c r="A352" t="s">
        <v>1419</v>
      </c>
      <c r="B352" t="s">
        <v>529</v>
      </c>
      <c r="C352" t="s">
        <v>48</v>
      </c>
      <c r="D352" t="s">
        <v>1420</v>
      </c>
      <c r="E352" t="s">
        <v>1421</v>
      </c>
      <c r="F352">
        <v>16</v>
      </c>
      <c r="G352">
        <v>53</v>
      </c>
      <c r="H352">
        <v>12</v>
      </c>
      <c r="I352" t="s">
        <v>3489</v>
      </c>
      <c r="J352" s="8">
        <v>45454</v>
      </c>
      <c r="K352" s="8">
        <v>45677</v>
      </c>
      <c r="L352" s="8">
        <v>45449</v>
      </c>
      <c r="M352" t="s">
        <v>1422</v>
      </c>
      <c r="N352">
        <v>21</v>
      </c>
      <c r="O352">
        <v>29</v>
      </c>
      <c r="P352" t="s">
        <v>27</v>
      </c>
    </row>
    <row r="353" spans="1:16" x14ac:dyDescent="0.35">
      <c r="A353" t="s">
        <v>1423</v>
      </c>
      <c r="B353" t="s">
        <v>182</v>
      </c>
      <c r="C353" t="s">
        <v>48</v>
      </c>
      <c r="D353" t="s">
        <v>1424</v>
      </c>
      <c r="E353" t="s">
        <v>1116</v>
      </c>
      <c r="F353">
        <v>65</v>
      </c>
      <c r="G353">
        <v>35</v>
      </c>
      <c r="H353">
        <v>3</v>
      </c>
      <c r="I353" t="s">
        <v>3490</v>
      </c>
      <c r="J353" s="8">
        <v>45515</v>
      </c>
      <c r="K353" s="8">
        <v>45675</v>
      </c>
      <c r="L353" s="8">
        <v>45562</v>
      </c>
      <c r="M353" t="s">
        <v>1425</v>
      </c>
      <c r="N353">
        <v>25</v>
      </c>
      <c r="O353">
        <v>13</v>
      </c>
      <c r="P353" t="s">
        <v>45</v>
      </c>
    </row>
    <row r="354" spans="1:16" x14ac:dyDescent="0.35">
      <c r="A354" t="s">
        <v>1426</v>
      </c>
      <c r="B354" t="s">
        <v>829</v>
      </c>
      <c r="C354" t="s">
        <v>23</v>
      </c>
      <c r="D354" t="s">
        <v>1427</v>
      </c>
      <c r="E354" t="s">
        <v>635</v>
      </c>
      <c r="F354">
        <v>15</v>
      </c>
      <c r="G354">
        <v>49</v>
      </c>
      <c r="H354">
        <v>40</v>
      </c>
      <c r="I354" t="s">
        <v>3474</v>
      </c>
      <c r="J354" s="8">
        <v>45632</v>
      </c>
      <c r="K354" s="8">
        <v>45457</v>
      </c>
      <c r="L354" s="8">
        <v>45549</v>
      </c>
      <c r="M354" t="s">
        <v>1428</v>
      </c>
      <c r="N354">
        <v>68</v>
      </c>
      <c r="O354">
        <v>74</v>
      </c>
      <c r="P354" t="s">
        <v>27</v>
      </c>
    </row>
    <row r="355" spans="1:16" x14ac:dyDescent="0.35">
      <c r="A355" t="s">
        <v>1429</v>
      </c>
      <c r="B355" t="s">
        <v>369</v>
      </c>
      <c r="C355" t="s">
        <v>48</v>
      </c>
      <c r="D355" t="s">
        <v>1430</v>
      </c>
      <c r="E355" t="s">
        <v>1431</v>
      </c>
      <c r="F355">
        <v>75</v>
      </c>
      <c r="G355">
        <v>85</v>
      </c>
      <c r="H355">
        <v>27</v>
      </c>
      <c r="I355" t="s">
        <v>3474</v>
      </c>
      <c r="J355" s="8">
        <v>45442</v>
      </c>
      <c r="K355" s="8">
        <v>45452</v>
      </c>
      <c r="L355" s="8">
        <v>45467</v>
      </c>
      <c r="M355" t="s">
        <v>1432</v>
      </c>
      <c r="N355">
        <v>26</v>
      </c>
      <c r="O355">
        <v>68</v>
      </c>
      <c r="P355" t="s">
        <v>27</v>
      </c>
    </row>
    <row r="356" spans="1:16" x14ac:dyDescent="0.35">
      <c r="A356" t="s">
        <v>1433</v>
      </c>
      <c r="B356" t="s">
        <v>1434</v>
      </c>
      <c r="C356" t="s">
        <v>90</v>
      </c>
      <c r="D356" t="s">
        <v>1435</v>
      </c>
      <c r="E356" t="s">
        <v>1436</v>
      </c>
      <c r="F356">
        <v>80</v>
      </c>
      <c r="G356">
        <v>61</v>
      </c>
      <c r="H356">
        <v>23</v>
      </c>
      <c r="I356" t="s">
        <v>3531</v>
      </c>
      <c r="J356" s="8">
        <v>45500</v>
      </c>
      <c r="K356" s="8">
        <v>45504</v>
      </c>
      <c r="L356" s="8">
        <v>45355</v>
      </c>
      <c r="M356" t="s">
        <v>1437</v>
      </c>
      <c r="N356">
        <v>63</v>
      </c>
      <c r="O356">
        <v>75</v>
      </c>
      <c r="P356" t="s">
        <v>39</v>
      </c>
    </row>
    <row r="357" spans="1:16" x14ac:dyDescent="0.35">
      <c r="A357" t="s">
        <v>1438</v>
      </c>
      <c r="B357" t="s">
        <v>275</v>
      </c>
      <c r="C357" t="s">
        <v>48</v>
      </c>
      <c r="D357" t="s">
        <v>1439</v>
      </c>
      <c r="E357" t="s">
        <v>1440</v>
      </c>
      <c r="F357">
        <v>84</v>
      </c>
      <c r="G357">
        <v>95</v>
      </c>
      <c r="H357">
        <v>22</v>
      </c>
      <c r="I357" t="s">
        <v>3540</v>
      </c>
      <c r="J357" s="8">
        <v>45463</v>
      </c>
      <c r="K357" s="8">
        <v>45426</v>
      </c>
      <c r="L357" s="8">
        <v>45572</v>
      </c>
      <c r="M357" t="s">
        <v>1441</v>
      </c>
      <c r="N357">
        <v>48</v>
      </c>
      <c r="O357">
        <v>82</v>
      </c>
      <c r="P357" t="s">
        <v>27</v>
      </c>
    </row>
    <row r="358" spans="1:16" x14ac:dyDescent="0.35">
      <c r="A358" t="s">
        <v>1442</v>
      </c>
      <c r="B358" t="s">
        <v>355</v>
      </c>
      <c r="C358" t="s">
        <v>48</v>
      </c>
      <c r="D358" t="s">
        <v>1443</v>
      </c>
      <c r="E358" t="s">
        <v>1444</v>
      </c>
      <c r="F358">
        <v>17</v>
      </c>
      <c r="G358">
        <v>3</v>
      </c>
      <c r="H358">
        <v>33</v>
      </c>
      <c r="I358" t="s">
        <v>3481</v>
      </c>
      <c r="J358" s="8">
        <v>45372</v>
      </c>
      <c r="K358" s="8">
        <v>45549</v>
      </c>
      <c r="L358" s="8">
        <v>45443</v>
      </c>
      <c r="M358" t="s">
        <v>1445</v>
      </c>
      <c r="N358">
        <v>49</v>
      </c>
      <c r="O358">
        <v>17</v>
      </c>
      <c r="P358" t="s">
        <v>39</v>
      </c>
    </row>
    <row r="359" spans="1:16" x14ac:dyDescent="0.35">
      <c r="A359" t="s">
        <v>1446</v>
      </c>
      <c r="B359" t="s">
        <v>1193</v>
      </c>
      <c r="C359" t="s">
        <v>65</v>
      </c>
      <c r="D359" t="s">
        <v>1447</v>
      </c>
      <c r="E359" t="s">
        <v>1375</v>
      </c>
      <c r="F359">
        <v>64</v>
      </c>
      <c r="G359">
        <v>31</v>
      </c>
      <c r="H359">
        <v>91</v>
      </c>
      <c r="I359" t="s">
        <v>3541</v>
      </c>
      <c r="J359" s="8">
        <v>45462</v>
      </c>
      <c r="K359" s="8">
        <v>45508</v>
      </c>
      <c r="L359" s="8">
        <v>45575</v>
      </c>
      <c r="M359" t="s">
        <v>1448</v>
      </c>
      <c r="N359">
        <v>85</v>
      </c>
      <c r="O359">
        <v>42</v>
      </c>
      <c r="P359" t="s">
        <v>27</v>
      </c>
    </row>
    <row r="360" spans="1:16" x14ac:dyDescent="0.35">
      <c r="A360" t="s">
        <v>1449</v>
      </c>
      <c r="B360" t="s">
        <v>497</v>
      </c>
      <c r="C360" t="s">
        <v>65</v>
      </c>
      <c r="D360" t="s">
        <v>1450</v>
      </c>
      <c r="E360" t="s">
        <v>1451</v>
      </c>
      <c r="F360">
        <v>76</v>
      </c>
      <c r="G360">
        <v>81</v>
      </c>
      <c r="H360">
        <v>85</v>
      </c>
      <c r="I360" t="s">
        <v>3478</v>
      </c>
      <c r="J360" s="8">
        <v>45355</v>
      </c>
      <c r="K360" s="8">
        <v>45636</v>
      </c>
      <c r="L360" s="8">
        <v>45543</v>
      </c>
      <c r="M360" t="s">
        <v>1452</v>
      </c>
      <c r="N360">
        <v>65</v>
      </c>
      <c r="O360">
        <v>68</v>
      </c>
      <c r="P360" t="s">
        <v>45</v>
      </c>
    </row>
    <row r="361" spans="1:16" x14ac:dyDescent="0.35">
      <c r="A361" t="s">
        <v>1453</v>
      </c>
      <c r="B361" t="s">
        <v>738</v>
      </c>
      <c r="C361" t="s">
        <v>59</v>
      </c>
      <c r="D361" t="s">
        <v>1454</v>
      </c>
      <c r="E361" t="s">
        <v>1455</v>
      </c>
      <c r="F361">
        <v>77</v>
      </c>
      <c r="G361">
        <v>95</v>
      </c>
      <c r="H361">
        <v>82</v>
      </c>
      <c r="I361" t="s">
        <v>3516</v>
      </c>
      <c r="J361" s="8">
        <v>45399</v>
      </c>
      <c r="K361" s="8">
        <v>45584</v>
      </c>
      <c r="L361" s="8">
        <v>45491</v>
      </c>
      <c r="M361" t="s">
        <v>1456</v>
      </c>
      <c r="N361">
        <v>29</v>
      </c>
      <c r="O361">
        <v>46</v>
      </c>
      <c r="P361" t="s">
        <v>39</v>
      </c>
    </row>
    <row r="362" spans="1:16" x14ac:dyDescent="0.35">
      <c r="A362" t="s">
        <v>1457</v>
      </c>
      <c r="B362" t="s">
        <v>408</v>
      </c>
      <c r="C362" t="s">
        <v>65</v>
      </c>
      <c r="D362" t="s">
        <v>1458</v>
      </c>
      <c r="E362" t="s">
        <v>615</v>
      </c>
      <c r="F362">
        <v>18</v>
      </c>
      <c r="G362">
        <v>14</v>
      </c>
      <c r="H362">
        <v>77</v>
      </c>
      <c r="I362" t="s">
        <v>3480</v>
      </c>
      <c r="J362" s="8">
        <v>45662</v>
      </c>
      <c r="K362" s="8">
        <v>45424</v>
      </c>
      <c r="L362" s="8">
        <v>45437</v>
      </c>
      <c r="M362" t="s">
        <v>1459</v>
      </c>
      <c r="N362">
        <v>78</v>
      </c>
      <c r="O362">
        <v>4</v>
      </c>
      <c r="P362" t="s">
        <v>39</v>
      </c>
    </row>
    <row r="363" spans="1:16" x14ac:dyDescent="0.35">
      <c r="A363" t="s">
        <v>1460</v>
      </c>
      <c r="B363" t="s">
        <v>1265</v>
      </c>
      <c r="C363" t="s">
        <v>23</v>
      </c>
      <c r="D363" t="s">
        <v>1461</v>
      </c>
      <c r="E363" t="s">
        <v>1462</v>
      </c>
      <c r="F363">
        <v>51</v>
      </c>
      <c r="G363">
        <v>55</v>
      </c>
      <c r="H363">
        <v>76</v>
      </c>
      <c r="I363" t="s">
        <v>3489</v>
      </c>
      <c r="J363" s="8">
        <v>45707</v>
      </c>
      <c r="K363" s="8">
        <v>45561</v>
      </c>
      <c r="L363" s="8">
        <v>45681</v>
      </c>
      <c r="M363" t="s">
        <v>1463</v>
      </c>
      <c r="N363">
        <v>21</v>
      </c>
      <c r="O363">
        <v>13</v>
      </c>
      <c r="P363" t="s">
        <v>27</v>
      </c>
    </row>
    <row r="364" spans="1:16" x14ac:dyDescent="0.35">
      <c r="A364" t="s">
        <v>1464</v>
      </c>
      <c r="B364" t="s">
        <v>752</v>
      </c>
      <c r="C364" t="s">
        <v>48</v>
      </c>
      <c r="D364" t="s">
        <v>1465</v>
      </c>
      <c r="E364" t="s">
        <v>1466</v>
      </c>
      <c r="F364">
        <v>68</v>
      </c>
      <c r="G364">
        <v>12</v>
      </c>
      <c r="H364">
        <v>73</v>
      </c>
      <c r="I364" t="s">
        <v>3489</v>
      </c>
      <c r="J364" s="8">
        <v>45509</v>
      </c>
      <c r="K364" s="8">
        <v>45668</v>
      </c>
      <c r="L364" s="8">
        <v>45477</v>
      </c>
      <c r="M364" t="s">
        <v>1467</v>
      </c>
      <c r="N364">
        <v>84</v>
      </c>
      <c r="O364">
        <v>95</v>
      </c>
      <c r="P364" t="s">
        <v>39</v>
      </c>
    </row>
    <row r="365" spans="1:16" x14ac:dyDescent="0.35">
      <c r="A365" t="s">
        <v>1468</v>
      </c>
      <c r="B365" t="s">
        <v>1469</v>
      </c>
      <c r="C365" t="s">
        <v>23</v>
      </c>
      <c r="D365" t="s">
        <v>1470</v>
      </c>
      <c r="E365" t="s">
        <v>535</v>
      </c>
      <c r="F365">
        <v>46</v>
      </c>
      <c r="G365">
        <v>6</v>
      </c>
      <c r="H365">
        <v>64</v>
      </c>
      <c r="I365" t="s">
        <v>3503</v>
      </c>
      <c r="J365" s="8">
        <v>45496</v>
      </c>
      <c r="K365" s="8">
        <v>45466</v>
      </c>
      <c r="L365" s="8">
        <v>45648</v>
      </c>
      <c r="M365" t="s">
        <v>1471</v>
      </c>
      <c r="N365">
        <v>63</v>
      </c>
      <c r="O365">
        <v>29</v>
      </c>
      <c r="P365" t="s">
        <v>27</v>
      </c>
    </row>
    <row r="366" spans="1:16" x14ac:dyDescent="0.35">
      <c r="A366" t="s">
        <v>1472</v>
      </c>
      <c r="B366" t="s">
        <v>41</v>
      </c>
      <c r="C366" t="s">
        <v>23</v>
      </c>
      <c r="D366" t="s">
        <v>1473</v>
      </c>
      <c r="E366" t="s">
        <v>766</v>
      </c>
      <c r="F366">
        <v>98</v>
      </c>
      <c r="G366">
        <v>40</v>
      </c>
      <c r="H366">
        <v>93</v>
      </c>
      <c r="I366" t="s">
        <v>3477</v>
      </c>
      <c r="J366" s="8">
        <v>45707</v>
      </c>
      <c r="K366" s="8">
        <v>45699</v>
      </c>
      <c r="L366" s="8">
        <v>45585</v>
      </c>
      <c r="M366" t="s">
        <v>1474</v>
      </c>
      <c r="N366">
        <v>30</v>
      </c>
      <c r="O366">
        <v>53</v>
      </c>
      <c r="P366" t="s">
        <v>45</v>
      </c>
    </row>
    <row r="367" spans="1:16" x14ac:dyDescent="0.35">
      <c r="A367" t="s">
        <v>1475</v>
      </c>
      <c r="B367" t="s">
        <v>202</v>
      </c>
      <c r="C367" t="s">
        <v>48</v>
      </c>
      <c r="D367" t="s">
        <v>1476</v>
      </c>
      <c r="E367" t="s">
        <v>1477</v>
      </c>
      <c r="F367">
        <v>50</v>
      </c>
      <c r="G367">
        <v>20</v>
      </c>
      <c r="H367">
        <v>74</v>
      </c>
      <c r="I367" t="s">
        <v>3484</v>
      </c>
      <c r="J367" s="8">
        <v>45701</v>
      </c>
      <c r="K367" s="8">
        <v>45507</v>
      </c>
      <c r="L367" s="8">
        <v>45570</v>
      </c>
      <c r="M367" t="s">
        <v>1478</v>
      </c>
      <c r="N367">
        <v>30</v>
      </c>
      <c r="O367">
        <v>57</v>
      </c>
      <c r="P367" t="s">
        <v>39</v>
      </c>
    </row>
    <row r="368" spans="1:16" x14ac:dyDescent="0.35">
      <c r="A368" t="s">
        <v>1479</v>
      </c>
      <c r="B368" t="s">
        <v>1480</v>
      </c>
      <c r="C368" t="s">
        <v>133</v>
      </c>
      <c r="D368" t="s">
        <v>1481</v>
      </c>
      <c r="E368" t="s">
        <v>1251</v>
      </c>
      <c r="F368">
        <v>88</v>
      </c>
      <c r="G368">
        <v>83</v>
      </c>
      <c r="H368">
        <v>42</v>
      </c>
      <c r="I368" t="s">
        <v>3495</v>
      </c>
      <c r="J368" s="8">
        <v>45441</v>
      </c>
      <c r="K368" s="8">
        <v>45544</v>
      </c>
      <c r="L368" s="8">
        <v>45590</v>
      </c>
      <c r="M368" t="s">
        <v>1482</v>
      </c>
      <c r="N368">
        <v>61</v>
      </c>
      <c r="O368">
        <v>59</v>
      </c>
      <c r="P368" t="s">
        <v>27</v>
      </c>
    </row>
    <row r="369" spans="1:16" x14ac:dyDescent="0.35">
      <c r="A369" t="s">
        <v>1483</v>
      </c>
      <c r="B369" t="s">
        <v>390</v>
      </c>
      <c r="C369" t="s">
        <v>48</v>
      </c>
      <c r="D369" t="s">
        <v>1484</v>
      </c>
      <c r="E369" t="s">
        <v>1477</v>
      </c>
      <c r="F369">
        <v>26</v>
      </c>
      <c r="G369">
        <v>16</v>
      </c>
      <c r="H369">
        <v>69</v>
      </c>
      <c r="I369" t="s">
        <v>3501</v>
      </c>
      <c r="J369" s="8">
        <v>45473</v>
      </c>
      <c r="K369" s="8">
        <v>45377</v>
      </c>
      <c r="L369" s="8">
        <v>45523</v>
      </c>
      <c r="M369" t="s">
        <v>1485</v>
      </c>
      <c r="N369">
        <v>64</v>
      </c>
      <c r="O369">
        <v>79</v>
      </c>
      <c r="P369" t="s">
        <v>27</v>
      </c>
    </row>
    <row r="370" spans="1:16" x14ac:dyDescent="0.35">
      <c r="A370" t="s">
        <v>1486</v>
      </c>
      <c r="B370" t="s">
        <v>287</v>
      </c>
      <c r="C370" t="s">
        <v>30</v>
      </c>
      <c r="D370" t="s">
        <v>1487</v>
      </c>
      <c r="E370" t="s">
        <v>1320</v>
      </c>
      <c r="F370">
        <v>43</v>
      </c>
      <c r="G370">
        <v>38</v>
      </c>
      <c r="H370">
        <v>63</v>
      </c>
      <c r="I370" t="s">
        <v>3487</v>
      </c>
      <c r="J370" s="8">
        <v>45382</v>
      </c>
      <c r="K370" s="8">
        <v>45690</v>
      </c>
      <c r="L370" s="8">
        <v>45391</v>
      </c>
      <c r="M370" t="s">
        <v>1488</v>
      </c>
      <c r="N370">
        <v>88</v>
      </c>
      <c r="O370">
        <v>65</v>
      </c>
      <c r="P370" t="s">
        <v>39</v>
      </c>
    </row>
    <row r="371" spans="1:16" x14ac:dyDescent="0.35">
      <c r="A371" t="s">
        <v>1489</v>
      </c>
      <c r="B371" t="s">
        <v>688</v>
      </c>
      <c r="C371" t="s">
        <v>23</v>
      </c>
      <c r="D371" t="s">
        <v>1490</v>
      </c>
      <c r="E371" t="s">
        <v>535</v>
      </c>
      <c r="F371">
        <v>46</v>
      </c>
      <c r="G371">
        <v>20</v>
      </c>
      <c r="H371">
        <v>30</v>
      </c>
      <c r="I371" t="s">
        <v>3480</v>
      </c>
      <c r="J371" s="8">
        <v>45357</v>
      </c>
      <c r="K371" s="8">
        <v>45351</v>
      </c>
      <c r="L371" s="8">
        <v>45548</v>
      </c>
      <c r="M371" t="s">
        <v>1491</v>
      </c>
      <c r="N371">
        <v>54</v>
      </c>
      <c r="O371">
        <v>24</v>
      </c>
      <c r="P371" t="s">
        <v>39</v>
      </c>
    </row>
    <row r="372" spans="1:16" x14ac:dyDescent="0.35">
      <c r="A372" t="s">
        <v>1492</v>
      </c>
      <c r="B372" t="s">
        <v>595</v>
      </c>
      <c r="C372" t="s">
        <v>48</v>
      </c>
      <c r="D372" t="s">
        <v>1493</v>
      </c>
      <c r="E372" t="s">
        <v>766</v>
      </c>
      <c r="F372">
        <v>19</v>
      </c>
      <c r="G372">
        <v>73</v>
      </c>
      <c r="H372">
        <v>60</v>
      </c>
      <c r="I372" t="s">
        <v>3536</v>
      </c>
      <c r="J372" s="8">
        <v>45363</v>
      </c>
      <c r="K372" s="8">
        <v>45515</v>
      </c>
      <c r="L372" s="8">
        <v>45455</v>
      </c>
      <c r="M372" t="s">
        <v>1494</v>
      </c>
      <c r="N372">
        <v>70</v>
      </c>
      <c r="O372">
        <v>48</v>
      </c>
      <c r="P372" t="s">
        <v>39</v>
      </c>
    </row>
    <row r="373" spans="1:16" x14ac:dyDescent="0.35">
      <c r="A373" t="s">
        <v>1495</v>
      </c>
      <c r="B373" t="s">
        <v>1003</v>
      </c>
      <c r="C373" t="s">
        <v>48</v>
      </c>
      <c r="D373" t="s">
        <v>1496</v>
      </c>
      <c r="E373" t="s">
        <v>43</v>
      </c>
      <c r="F373">
        <v>61</v>
      </c>
      <c r="G373">
        <v>100</v>
      </c>
      <c r="H373">
        <v>94</v>
      </c>
      <c r="I373" t="s">
        <v>3478</v>
      </c>
      <c r="J373" s="8">
        <v>45493</v>
      </c>
      <c r="K373" s="8">
        <v>45671</v>
      </c>
      <c r="L373" s="8">
        <v>45569</v>
      </c>
      <c r="M373" t="s">
        <v>1497</v>
      </c>
      <c r="N373">
        <v>76</v>
      </c>
      <c r="O373">
        <v>2</v>
      </c>
      <c r="P373" t="s">
        <v>39</v>
      </c>
    </row>
    <row r="374" spans="1:16" x14ac:dyDescent="0.35">
      <c r="A374" t="s">
        <v>1498</v>
      </c>
      <c r="B374" t="s">
        <v>464</v>
      </c>
      <c r="C374" t="s">
        <v>48</v>
      </c>
      <c r="D374" t="s">
        <v>1499</v>
      </c>
      <c r="E374" t="s">
        <v>1500</v>
      </c>
      <c r="F374">
        <v>43</v>
      </c>
      <c r="G374">
        <v>40</v>
      </c>
      <c r="H374">
        <v>30</v>
      </c>
      <c r="I374" t="s">
        <v>3485</v>
      </c>
      <c r="J374" s="8">
        <v>45486</v>
      </c>
      <c r="K374" s="8">
        <v>45567</v>
      </c>
      <c r="L374" s="8">
        <v>45645</v>
      </c>
      <c r="M374" t="s">
        <v>1501</v>
      </c>
      <c r="N374">
        <v>95</v>
      </c>
      <c r="O374">
        <v>26</v>
      </c>
      <c r="P374" t="s">
        <v>45</v>
      </c>
    </row>
    <row r="375" spans="1:16" x14ac:dyDescent="0.35">
      <c r="A375" t="s">
        <v>1502</v>
      </c>
      <c r="B375" t="s">
        <v>673</v>
      </c>
      <c r="C375" t="s">
        <v>30</v>
      </c>
      <c r="D375" t="s">
        <v>1503</v>
      </c>
      <c r="E375" t="s">
        <v>259</v>
      </c>
      <c r="F375">
        <v>80</v>
      </c>
      <c r="G375">
        <v>54</v>
      </c>
      <c r="H375">
        <v>21</v>
      </c>
      <c r="I375" t="s">
        <v>3542</v>
      </c>
      <c r="J375" s="8">
        <v>45528</v>
      </c>
      <c r="K375" s="8">
        <v>45565</v>
      </c>
      <c r="L375" s="8">
        <v>45398</v>
      </c>
      <c r="M375" t="s">
        <v>1504</v>
      </c>
      <c r="N375">
        <v>81</v>
      </c>
      <c r="O375">
        <v>37</v>
      </c>
      <c r="P375" t="s">
        <v>45</v>
      </c>
    </row>
    <row r="376" spans="1:16" x14ac:dyDescent="0.35">
      <c r="A376" t="s">
        <v>1505</v>
      </c>
      <c r="B376" t="s">
        <v>673</v>
      </c>
      <c r="C376" t="s">
        <v>30</v>
      </c>
      <c r="D376" t="s">
        <v>1506</v>
      </c>
      <c r="E376" t="s">
        <v>925</v>
      </c>
      <c r="F376">
        <v>34</v>
      </c>
      <c r="G376">
        <v>47</v>
      </c>
      <c r="H376">
        <v>99</v>
      </c>
      <c r="I376" t="s">
        <v>3486</v>
      </c>
      <c r="J376" s="8">
        <v>45680</v>
      </c>
      <c r="K376" s="8">
        <v>45476</v>
      </c>
      <c r="L376" s="8">
        <v>45619</v>
      </c>
      <c r="M376" t="s">
        <v>1507</v>
      </c>
      <c r="N376">
        <v>97</v>
      </c>
      <c r="O376">
        <v>47</v>
      </c>
      <c r="P376" t="s">
        <v>39</v>
      </c>
    </row>
    <row r="377" spans="1:16" x14ac:dyDescent="0.35">
      <c r="A377" t="s">
        <v>1508</v>
      </c>
      <c r="B377" t="s">
        <v>673</v>
      </c>
      <c r="C377" t="s">
        <v>30</v>
      </c>
      <c r="D377" t="s">
        <v>1509</v>
      </c>
      <c r="E377" t="s">
        <v>1102</v>
      </c>
      <c r="F377">
        <v>88</v>
      </c>
      <c r="G377">
        <v>50</v>
      </c>
      <c r="H377">
        <v>88</v>
      </c>
      <c r="I377" t="s">
        <v>3486</v>
      </c>
      <c r="J377" s="8">
        <v>45527</v>
      </c>
      <c r="K377" s="8">
        <v>45609</v>
      </c>
      <c r="L377" s="8">
        <v>45599</v>
      </c>
      <c r="M377" t="s">
        <v>1510</v>
      </c>
      <c r="N377">
        <v>78</v>
      </c>
      <c r="O377">
        <v>28</v>
      </c>
      <c r="P377" t="s">
        <v>27</v>
      </c>
    </row>
    <row r="378" spans="1:16" x14ac:dyDescent="0.35">
      <c r="A378" t="s">
        <v>1511</v>
      </c>
      <c r="B378" t="s">
        <v>493</v>
      </c>
      <c r="C378" t="s">
        <v>65</v>
      </c>
      <c r="D378" t="s">
        <v>1512</v>
      </c>
      <c r="E378" t="s">
        <v>1513</v>
      </c>
      <c r="F378">
        <v>89</v>
      </c>
      <c r="G378">
        <v>42</v>
      </c>
      <c r="H378">
        <v>76</v>
      </c>
      <c r="I378" t="s">
        <v>3489</v>
      </c>
      <c r="J378" s="8">
        <v>45641</v>
      </c>
      <c r="K378" s="8">
        <v>45626</v>
      </c>
      <c r="L378" s="8">
        <v>45636</v>
      </c>
      <c r="M378" t="s">
        <v>1514</v>
      </c>
      <c r="N378">
        <v>94</v>
      </c>
      <c r="O378">
        <v>81</v>
      </c>
      <c r="P378" t="s">
        <v>39</v>
      </c>
    </row>
    <row r="379" spans="1:16" x14ac:dyDescent="0.35">
      <c r="A379" t="s">
        <v>1515</v>
      </c>
      <c r="B379" t="s">
        <v>1469</v>
      </c>
      <c r="C379" t="s">
        <v>23</v>
      </c>
      <c r="D379" t="s">
        <v>1516</v>
      </c>
      <c r="E379" t="s">
        <v>1517</v>
      </c>
      <c r="F379">
        <v>26</v>
      </c>
      <c r="G379">
        <v>21</v>
      </c>
      <c r="H379">
        <v>47</v>
      </c>
      <c r="I379" t="s">
        <v>3503</v>
      </c>
      <c r="J379" s="8">
        <v>45507</v>
      </c>
      <c r="K379" s="8">
        <v>45520</v>
      </c>
      <c r="L379" s="8">
        <v>45414</v>
      </c>
      <c r="M379" t="s">
        <v>1518</v>
      </c>
      <c r="N379">
        <v>40</v>
      </c>
      <c r="O379">
        <v>59</v>
      </c>
      <c r="P379" t="s">
        <v>27</v>
      </c>
    </row>
    <row r="380" spans="1:16" x14ac:dyDescent="0.35">
      <c r="A380" t="s">
        <v>1519</v>
      </c>
      <c r="B380" t="s">
        <v>172</v>
      </c>
      <c r="C380" t="s">
        <v>48</v>
      </c>
      <c r="D380" t="s">
        <v>1520</v>
      </c>
      <c r="E380" t="s">
        <v>1258</v>
      </c>
      <c r="F380">
        <v>26</v>
      </c>
      <c r="G380">
        <v>95</v>
      </c>
      <c r="H380">
        <v>36</v>
      </c>
      <c r="I380" t="s">
        <v>3474</v>
      </c>
      <c r="J380" s="8">
        <v>45502</v>
      </c>
      <c r="K380" s="8">
        <v>45663</v>
      </c>
      <c r="L380" s="8">
        <v>45698</v>
      </c>
      <c r="M380" t="s">
        <v>1521</v>
      </c>
      <c r="N380">
        <v>92</v>
      </c>
      <c r="O380">
        <v>14</v>
      </c>
      <c r="P380" t="s">
        <v>45</v>
      </c>
    </row>
    <row r="381" spans="1:16" x14ac:dyDescent="0.35">
      <c r="A381" t="s">
        <v>1522</v>
      </c>
      <c r="B381" t="s">
        <v>555</v>
      </c>
      <c r="C381" t="s">
        <v>48</v>
      </c>
      <c r="D381" t="s">
        <v>1523</v>
      </c>
      <c r="E381" t="s">
        <v>1295</v>
      </c>
      <c r="F381">
        <v>37</v>
      </c>
      <c r="G381">
        <v>38</v>
      </c>
      <c r="H381">
        <v>24</v>
      </c>
      <c r="I381" t="s">
        <v>3478</v>
      </c>
      <c r="J381" s="8">
        <v>45458</v>
      </c>
      <c r="K381" s="8">
        <v>45537</v>
      </c>
      <c r="L381" s="8">
        <v>45524</v>
      </c>
      <c r="M381" t="s">
        <v>1524</v>
      </c>
      <c r="N381">
        <v>93</v>
      </c>
      <c r="O381">
        <v>32</v>
      </c>
      <c r="P381" t="s">
        <v>45</v>
      </c>
    </row>
    <row r="382" spans="1:16" x14ac:dyDescent="0.35">
      <c r="A382" t="s">
        <v>1525</v>
      </c>
      <c r="B382" t="s">
        <v>1219</v>
      </c>
      <c r="C382" t="s">
        <v>65</v>
      </c>
      <c r="D382" t="s">
        <v>1526</v>
      </c>
      <c r="E382" t="s">
        <v>735</v>
      </c>
      <c r="F382">
        <v>76</v>
      </c>
      <c r="G382">
        <v>98</v>
      </c>
      <c r="H382">
        <v>41</v>
      </c>
      <c r="I382" t="s">
        <v>3479</v>
      </c>
      <c r="J382" s="8">
        <v>45610</v>
      </c>
      <c r="K382" s="8">
        <v>45435</v>
      </c>
      <c r="L382" s="8">
        <v>45579</v>
      </c>
      <c r="M382" t="s">
        <v>1527</v>
      </c>
      <c r="N382">
        <v>62</v>
      </c>
      <c r="O382">
        <v>48</v>
      </c>
      <c r="P382" t="s">
        <v>39</v>
      </c>
    </row>
    <row r="383" spans="1:16" x14ac:dyDescent="0.35">
      <c r="A383" t="s">
        <v>1528</v>
      </c>
      <c r="B383" t="s">
        <v>104</v>
      </c>
      <c r="C383" t="s">
        <v>65</v>
      </c>
      <c r="D383" t="s">
        <v>1529</v>
      </c>
      <c r="E383" t="s">
        <v>1140</v>
      </c>
      <c r="F383">
        <v>80</v>
      </c>
      <c r="G383">
        <v>43</v>
      </c>
      <c r="H383">
        <v>80</v>
      </c>
      <c r="I383" t="s">
        <v>3485</v>
      </c>
      <c r="J383" s="8">
        <v>45469</v>
      </c>
      <c r="K383" s="8">
        <v>45540</v>
      </c>
      <c r="L383" s="8">
        <v>45394</v>
      </c>
      <c r="M383" t="s">
        <v>1530</v>
      </c>
      <c r="N383">
        <v>64</v>
      </c>
      <c r="O383">
        <v>53</v>
      </c>
      <c r="P383" t="s">
        <v>45</v>
      </c>
    </row>
    <row r="384" spans="1:16" x14ac:dyDescent="0.35">
      <c r="A384" t="s">
        <v>1531</v>
      </c>
      <c r="B384" t="s">
        <v>1532</v>
      </c>
      <c r="C384" t="s">
        <v>48</v>
      </c>
      <c r="D384" t="s">
        <v>1533</v>
      </c>
      <c r="E384" t="s">
        <v>165</v>
      </c>
      <c r="F384">
        <v>100</v>
      </c>
      <c r="G384">
        <v>3</v>
      </c>
      <c r="H384">
        <v>32</v>
      </c>
      <c r="I384" t="s">
        <v>3484</v>
      </c>
      <c r="J384" s="8">
        <v>45523</v>
      </c>
      <c r="K384" s="8">
        <v>45566</v>
      </c>
      <c r="L384" s="8">
        <v>45698</v>
      </c>
      <c r="M384" t="s">
        <v>1534</v>
      </c>
      <c r="N384">
        <v>98</v>
      </c>
      <c r="O384">
        <v>91</v>
      </c>
      <c r="P384" t="s">
        <v>39</v>
      </c>
    </row>
    <row r="385" spans="1:16" x14ac:dyDescent="0.35">
      <c r="A385" t="s">
        <v>1535</v>
      </c>
      <c r="B385" t="s">
        <v>239</v>
      </c>
      <c r="C385" t="s">
        <v>65</v>
      </c>
      <c r="D385" t="s">
        <v>1536</v>
      </c>
      <c r="E385" t="s">
        <v>1087</v>
      </c>
      <c r="F385">
        <v>21</v>
      </c>
      <c r="G385">
        <v>87</v>
      </c>
      <c r="H385">
        <v>67</v>
      </c>
      <c r="I385" t="s">
        <v>3529</v>
      </c>
      <c r="J385" s="8">
        <v>45660</v>
      </c>
      <c r="K385" s="8">
        <v>45680</v>
      </c>
      <c r="L385" s="8">
        <v>45382</v>
      </c>
      <c r="M385" t="s">
        <v>1537</v>
      </c>
      <c r="N385">
        <v>64</v>
      </c>
      <c r="O385">
        <v>69</v>
      </c>
      <c r="P385" t="s">
        <v>27</v>
      </c>
    </row>
    <row r="386" spans="1:16" x14ac:dyDescent="0.35">
      <c r="A386" t="s">
        <v>1538</v>
      </c>
      <c r="B386" t="s">
        <v>1539</v>
      </c>
      <c r="C386" t="s">
        <v>59</v>
      </c>
      <c r="D386" t="s">
        <v>1540</v>
      </c>
      <c r="E386" t="s">
        <v>762</v>
      </c>
      <c r="F386">
        <v>33</v>
      </c>
      <c r="G386">
        <v>78</v>
      </c>
      <c r="H386">
        <v>79</v>
      </c>
      <c r="I386" t="s">
        <v>3489</v>
      </c>
      <c r="J386" s="8">
        <v>45601</v>
      </c>
      <c r="K386" s="8">
        <v>45484</v>
      </c>
      <c r="L386" s="8">
        <v>45403</v>
      </c>
      <c r="M386" t="s">
        <v>1541</v>
      </c>
      <c r="N386">
        <v>60</v>
      </c>
      <c r="O386">
        <v>25</v>
      </c>
      <c r="P386" t="s">
        <v>27</v>
      </c>
    </row>
    <row r="387" spans="1:16" x14ac:dyDescent="0.35">
      <c r="A387" t="s">
        <v>1542</v>
      </c>
      <c r="B387" t="s">
        <v>1235</v>
      </c>
      <c r="C387" t="s">
        <v>48</v>
      </c>
      <c r="D387" t="s">
        <v>1543</v>
      </c>
      <c r="E387" t="s">
        <v>1123</v>
      </c>
      <c r="F387">
        <v>43</v>
      </c>
      <c r="G387">
        <v>63</v>
      </c>
      <c r="H387">
        <v>99</v>
      </c>
      <c r="I387" t="s">
        <v>3490</v>
      </c>
      <c r="J387" s="8">
        <v>45604</v>
      </c>
      <c r="K387" s="8">
        <v>45639</v>
      </c>
      <c r="L387" s="8">
        <v>45669</v>
      </c>
      <c r="M387" t="s">
        <v>1544</v>
      </c>
      <c r="N387">
        <v>39</v>
      </c>
      <c r="O387">
        <v>77</v>
      </c>
      <c r="P387" t="s">
        <v>27</v>
      </c>
    </row>
    <row r="388" spans="1:16" x14ac:dyDescent="0.35">
      <c r="A388" t="s">
        <v>1545</v>
      </c>
      <c r="B388" t="s">
        <v>163</v>
      </c>
      <c r="C388" t="s">
        <v>48</v>
      </c>
      <c r="D388" t="s">
        <v>1546</v>
      </c>
      <c r="E388" t="s">
        <v>822</v>
      </c>
      <c r="F388">
        <v>34</v>
      </c>
      <c r="G388">
        <v>1</v>
      </c>
      <c r="H388">
        <v>79</v>
      </c>
      <c r="I388" t="s">
        <v>3543</v>
      </c>
      <c r="J388" s="8">
        <v>45455</v>
      </c>
      <c r="K388" s="8">
        <v>45646</v>
      </c>
      <c r="L388" s="8">
        <v>45543</v>
      </c>
      <c r="M388" t="s">
        <v>1547</v>
      </c>
      <c r="N388">
        <v>58</v>
      </c>
      <c r="O388">
        <v>36</v>
      </c>
      <c r="P388" t="s">
        <v>27</v>
      </c>
    </row>
    <row r="389" spans="1:16" x14ac:dyDescent="0.35">
      <c r="A389" t="s">
        <v>1548</v>
      </c>
      <c r="B389" t="s">
        <v>1043</v>
      </c>
      <c r="C389" t="s">
        <v>133</v>
      </c>
      <c r="D389" t="s">
        <v>1549</v>
      </c>
      <c r="E389" t="s">
        <v>1005</v>
      </c>
      <c r="F389">
        <v>82</v>
      </c>
      <c r="G389">
        <v>25</v>
      </c>
      <c r="H389">
        <v>94</v>
      </c>
      <c r="I389" t="s">
        <v>3527</v>
      </c>
      <c r="J389" s="8">
        <v>45381</v>
      </c>
      <c r="K389" s="8">
        <v>45367</v>
      </c>
      <c r="L389" s="8">
        <v>45703</v>
      </c>
      <c r="M389" t="s">
        <v>1550</v>
      </c>
      <c r="N389">
        <v>66</v>
      </c>
      <c r="O389">
        <v>14</v>
      </c>
      <c r="P389" t="s">
        <v>39</v>
      </c>
    </row>
    <row r="390" spans="1:16" x14ac:dyDescent="0.35">
      <c r="A390" t="s">
        <v>1551</v>
      </c>
      <c r="B390" t="s">
        <v>1552</v>
      </c>
      <c r="C390" t="s">
        <v>90</v>
      </c>
      <c r="D390" t="s">
        <v>1553</v>
      </c>
      <c r="E390" t="s">
        <v>1258</v>
      </c>
      <c r="F390">
        <v>17</v>
      </c>
      <c r="G390">
        <v>63</v>
      </c>
      <c r="H390">
        <v>3</v>
      </c>
      <c r="I390" t="s">
        <v>3490</v>
      </c>
      <c r="J390" s="8">
        <v>45506</v>
      </c>
      <c r="K390" s="8">
        <v>45528</v>
      </c>
      <c r="L390" s="8">
        <v>45653</v>
      </c>
      <c r="M390" t="s">
        <v>1554</v>
      </c>
      <c r="N390">
        <v>93</v>
      </c>
      <c r="O390">
        <v>26</v>
      </c>
      <c r="P390" t="s">
        <v>39</v>
      </c>
    </row>
    <row r="391" spans="1:16" x14ac:dyDescent="0.35">
      <c r="A391" t="s">
        <v>1555</v>
      </c>
      <c r="B391" t="s">
        <v>22</v>
      </c>
      <c r="C391" t="s">
        <v>23</v>
      </c>
      <c r="D391" t="s">
        <v>1556</v>
      </c>
      <c r="E391" t="s">
        <v>1262</v>
      </c>
      <c r="F391">
        <v>36</v>
      </c>
      <c r="G391">
        <v>81</v>
      </c>
      <c r="H391">
        <v>54</v>
      </c>
      <c r="I391" t="s">
        <v>3504</v>
      </c>
      <c r="J391" s="8">
        <v>45480</v>
      </c>
      <c r="K391" s="8">
        <v>45646</v>
      </c>
      <c r="L391" s="8">
        <v>45535</v>
      </c>
      <c r="M391" t="s">
        <v>1557</v>
      </c>
      <c r="N391">
        <v>73</v>
      </c>
      <c r="O391">
        <v>60</v>
      </c>
      <c r="P391" t="s">
        <v>27</v>
      </c>
    </row>
    <row r="392" spans="1:16" x14ac:dyDescent="0.35">
      <c r="A392" t="s">
        <v>1558</v>
      </c>
      <c r="B392" t="s">
        <v>533</v>
      </c>
      <c r="C392" t="s">
        <v>133</v>
      </c>
      <c r="D392" t="s">
        <v>1559</v>
      </c>
      <c r="E392" t="s">
        <v>246</v>
      </c>
      <c r="F392">
        <v>65</v>
      </c>
      <c r="G392">
        <v>79</v>
      </c>
      <c r="H392">
        <v>52</v>
      </c>
      <c r="I392" t="s">
        <v>3486</v>
      </c>
      <c r="J392" s="8">
        <v>45424</v>
      </c>
      <c r="K392" s="8">
        <v>45568</v>
      </c>
      <c r="L392" s="8">
        <v>45442</v>
      </c>
      <c r="M392" t="s">
        <v>1560</v>
      </c>
      <c r="N392">
        <v>56</v>
      </c>
      <c r="O392">
        <v>94</v>
      </c>
      <c r="P392" t="s">
        <v>27</v>
      </c>
    </row>
    <row r="393" spans="1:16" x14ac:dyDescent="0.35">
      <c r="A393" t="s">
        <v>1561</v>
      </c>
      <c r="B393" t="s">
        <v>1206</v>
      </c>
      <c r="C393" t="s">
        <v>48</v>
      </c>
      <c r="D393" t="s">
        <v>1562</v>
      </c>
      <c r="E393" t="s">
        <v>314</v>
      </c>
      <c r="F393">
        <v>45</v>
      </c>
      <c r="G393">
        <v>28</v>
      </c>
      <c r="H393">
        <v>6</v>
      </c>
      <c r="I393" t="s">
        <v>3474</v>
      </c>
      <c r="J393" s="8">
        <v>45369</v>
      </c>
      <c r="K393" s="8">
        <v>45680</v>
      </c>
      <c r="L393" s="8">
        <v>45526</v>
      </c>
      <c r="M393" t="s">
        <v>1563</v>
      </c>
      <c r="N393">
        <v>35</v>
      </c>
      <c r="O393">
        <v>16</v>
      </c>
      <c r="P393" t="s">
        <v>27</v>
      </c>
    </row>
    <row r="394" spans="1:16" x14ac:dyDescent="0.35">
      <c r="A394" t="s">
        <v>1564</v>
      </c>
      <c r="B394" t="s">
        <v>64</v>
      </c>
      <c r="C394" t="s">
        <v>65</v>
      </c>
      <c r="D394" t="s">
        <v>1565</v>
      </c>
      <c r="E394" t="s">
        <v>414</v>
      </c>
      <c r="F394">
        <v>35</v>
      </c>
      <c r="G394">
        <v>78</v>
      </c>
      <c r="H394">
        <v>68</v>
      </c>
      <c r="I394" t="s">
        <v>3480</v>
      </c>
      <c r="J394" s="8">
        <v>45394</v>
      </c>
      <c r="K394" s="8">
        <v>45676</v>
      </c>
      <c r="L394" s="8">
        <v>45477</v>
      </c>
      <c r="M394" t="s">
        <v>1566</v>
      </c>
      <c r="N394">
        <v>95</v>
      </c>
      <c r="O394">
        <v>91</v>
      </c>
      <c r="P394" t="s">
        <v>27</v>
      </c>
    </row>
    <row r="395" spans="1:16" x14ac:dyDescent="0.35">
      <c r="A395" t="s">
        <v>1567</v>
      </c>
      <c r="B395" t="s">
        <v>109</v>
      </c>
      <c r="C395" t="s">
        <v>23</v>
      </c>
      <c r="D395" t="s">
        <v>1568</v>
      </c>
      <c r="E395" t="s">
        <v>1569</v>
      </c>
      <c r="F395">
        <v>96</v>
      </c>
      <c r="G395">
        <v>83</v>
      </c>
      <c r="H395">
        <v>50</v>
      </c>
      <c r="I395" t="s">
        <v>3477</v>
      </c>
      <c r="J395" s="8">
        <v>45569</v>
      </c>
      <c r="K395" s="8">
        <v>45381</v>
      </c>
      <c r="L395" s="8">
        <v>45442</v>
      </c>
      <c r="M395" t="s">
        <v>1570</v>
      </c>
      <c r="N395">
        <v>81</v>
      </c>
      <c r="O395">
        <v>89</v>
      </c>
      <c r="P395" t="s">
        <v>27</v>
      </c>
    </row>
    <row r="396" spans="1:16" x14ac:dyDescent="0.35">
      <c r="A396" t="s">
        <v>1571</v>
      </c>
      <c r="B396" t="s">
        <v>529</v>
      </c>
      <c r="C396" t="s">
        <v>48</v>
      </c>
      <c r="D396" t="s">
        <v>1572</v>
      </c>
      <c r="E396" t="s">
        <v>272</v>
      </c>
      <c r="F396">
        <v>56</v>
      </c>
      <c r="G396">
        <v>75</v>
      </c>
      <c r="H396">
        <v>13</v>
      </c>
      <c r="I396" t="s">
        <v>3489</v>
      </c>
      <c r="J396" s="8">
        <v>45539</v>
      </c>
      <c r="K396" s="8">
        <v>45386</v>
      </c>
      <c r="L396" s="8">
        <v>45433</v>
      </c>
      <c r="M396" t="s">
        <v>1573</v>
      </c>
      <c r="N396">
        <v>42</v>
      </c>
      <c r="O396">
        <v>53</v>
      </c>
      <c r="P396" t="s">
        <v>39</v>
      </c>
    </row>
    <row r="397" spans="1:16" x14ac:dyDescent="0.35">
      <c r="A397" t="s">
        <v>1574</v>
      </c>
      <c r="B397" t="s">
        <v>329</v>
      </c>
      <c r="C397" t="s">
        <v>65</v>
      </c>
      <c r="D397" t="s">
        <v>1575</v>
      </c>
      <c r="E397" t="s">
        <v>597</v>
      </c>
      <c r="F397">
        <v>49</v>
      </c>
      <c r="G397">
        <v>94</v>
      </c>
      <c r="H397">
        <v>18</v>
      </c>
      <c r="I397" t="s">
        <v>3476</v>
      </c>
      <c r="J397" s="8">
        <v>45638</v>
      </c>
      <c r="K397" s="8">
        <v>45514</v>
      </c>
      <c r="L397" s="8">
        <v>45398</v>
      </c>
      <c r="M397" t="s">
        <v>1576</v>
      </c>
      <c r="N397">
        <v>38</v>
      </c>
      <c r="O397">
        <v>11</v>
      </c>
      <c r="P397" t="s">
        <v>45</v>
      </c>
    </row>
    <row r="398" spans="1:16" x14ac:dyDescent="0.35">
      <c r="A398" t="s">
        <v>1577</v>
      </c>
      <c r="B398" t="s">
        <v>153</v>
      </c>
      <c r="C398" t="s">
        <v>23</v>
      </c>
      <c r="D398" t="s">
        <v>1578</v>
      </c>
      <c r="E398" t="s">
        <v>433</v>
      </c>
      <c r="F398">
        <v>100</v>
      </c>
      <c r="G398">
        <v>10</v>
      </c>
      <c r="H398">
        <v>89</v>
      </c>
      <c r="I398" t="s">
        <v>3477</v>
      </c>
      <c r="J398" s="8">
        <v>45405</v>
      </c>
      <c r="K398" s="8">
        <v>45658</v>
      </c>
      <c r="L398" s="8">
        <v>45464</v>
      </c>
      <c r="M398" t="s">
        <v>1579</v>
      </c>
      <c r="N398">
        <v>76</v>
      </c>
      <c r="O398">
        <v>38</v>
      </c>
      <c r="P398" t="s">
        <v>39</v>
      </c>
    </row>
    <row r="399" spans="1:16" x14ac:dyDescent="0.35">
      <c r="A399" t="s">
        <v>1580</v>
      </c>
      <c r="B399" t="s">
        <v>197</v>
      </c>
      <c r="C399" t="s">
        <v>133</v>
      </c>
      <c r="D399" t="s">
        <v>1581</v>
      </c>
      <c r="E399" t="s">
        <v>1582</v>
      </c>
      <c r="F399">
        <v>30</v>
      </c>
      <c r="G399">
        <v>81</v>
      </c>
      <c r="H399">
        <v>99</v>
      </c>
      <c r="I399" t="s">
        <v>3492</v>
      </c>
      <c r="J399" s="8">
        <v>45495</v>
      </c>
      <c r="K399" s="8">
        <v>45687</v>
      </c>
      <c r="L399" s="8">
        <v>45458</v>
      </c>
      <c r="M399" t="s">
        <v>1583</v>
      </c>
      <c r="N399">
        <v>99</v>
      </c>
      <c r="O399">
        <v>3</v>
      </c>
      <c r="P399" t="s">
        <v>39</v>
      </c>
    </row>
    <row r="400" spans="1:16" x14ac:dyDescent="0.35">
      <c r="A400" t="s">
        <v>1584</v>
      </c>
      <c r="B400" t="s">
        <v>1206</v>
      </c>
      <c r="C400" t="s">
        <v>48</v>
      </c>
      <c r="D400" t="s">
        <v>1585</v>
      </c>
      <c r="E400" t="s">
        <v>43</v>
      </c>
      <c r="F400">
        <v>20</v>
      </c>
      <c r="G400">
        <v>91</v>
      </c>
      <c r="H400">
        <v>12</v>
      </c>
      <c r="I400" t="s">
        <v>3474</v>
      </c>
      <c r="J400" s="8">
        <v>45622</v>
      </c>
      <c r="K400" s="8">
        <v>45639</v>
      </c>
      <c r="L400" s="8">
        <v>45627</v>
      </c>
      <c r="M400" t="s">
        <v>1586</v>
      </c>
      <c r="N400">
        <v>35</v>
      </c>
      <c r="O400">
        <v>50</v>
      </c>
      <c r="P400" t="s">
        <v>45</v>
      </c>
    </row>
    <row r="401" spans="1:16" x14ac:dyDescent="0.35">
      <c r="A401" t="s">
        <v>1587</v>
      </c>
      <c r="B401" t="s">
        <v>738</v>
      </c>
      <c r="C401" t="s">
        <v>59</v>
      </c>
      <c r="D401" t="s">
        <v>1588</v>
      </c>
      <c r="E401" t="s">
        <v>1589</v>
      </c>
      <c r="F401">
        <v>85</v>
      </c>
      <c r="G401">
        <v>15</v>
      </c>
      <c r="H401">
        <v>16</v>
      </c>
      <c r="I401" t="s">
        <v>3516</v>
      </c>
      <c r="J401" s="8">
        <v>45425</v>
      </c>
      <c r="K401" s="8">
        <v>45707</v>
      </c>
      <c r="L401" s="8">
        <v>45488</v>
      </c>
      <c r="M401" t="s">
        <v>1590</v>
      </c>
      <c r="N401">
        <v>46</v>
      </c>
      <c r="O401">
        <v>24</v>
      </c>
      <c r="P401" t="s">
        <v>27</v>
      </c>
    </row>
    <row r="402" spans="1:16" x14ac:dyDescent="0.35">
      <c r="A402" t="s">
        <v>1591</v>
      </c>
      <c r="B402" t="s">
        <v>138</v>
      </c>
      <c r="C402" t="s">
        <v>48</v>
      </c>
      <c r="D402" t="s">
        <v>1592</v>
      </c>
      <c r="E402" t="s">
        <v>822</v>
      </c>
      <c r="F402">
        <v>86</v>
      </c>
      <c r="G402">
        <v>90</v>
      </c>
      <c r="H402">
        <v>39</v>
      </c>
      <c r="I402" t="s">
        <v>3544</v>
      </c>
      <c r="J402" s="8">
        <v>45585</v>
      </c>
      <c r="K402" s="8">
        <v>45350</v>
      </c>
      <c r="L402" s="8">
        <v>45542</v>
      </c>
      <c r="M402" t="s">
        <v>1593</v>
      </c>
      <c r="N402">
        <v>98</v>
      </c>
      <c r="O402">
        <v>85</v>
      </c>
      <c r="P402" t="s">
        <v>45</v>
      </c>
    </row>
    <row r="403" spans="1:16" x14ac:dyDescent="0.35">
      <c r="A403" t="s">
        <v>1594</v>
      </c>
      <c r="B403" t="s">
        <v>266</v>
      </c>
      <c r="C403" t="s">
        <v>90</v>
      </c>
      <c r="D403" t="s">
        <v>1595</v>
      </c>
      <c r="E403" t="s">
        <v>1596</v>
      </c>
      <c r="F403">
        <v>65</v>
      </c>
      <c r="G403">
        <v>79</v>
      </c>
      <c r="H403">
        <v>49</v>
      </c>
      <c r="I403" t="s">
        <v>3478</v>
      </c>
      <c r="J403" s="8">
        <v>45384</v>
      </c>
      <c r="K403" s="8">
        <v>45453</v>
      </c>
      <c r="L403" s="8">
        <v>45582</v>
      </c>
      <c r="M403" t="s">
        <v>1597</v>
      </c>
      <c r="N403">
        <v>100</v>
      </c>
      <c r="O403">
        <v>9</v>
      </c>
      <c r="P403" t="s">
        <v>27</v>
      </c>
    </row>
    <row r="404" spans="1:16" x14ac:dyDescent="0.35">
      <c r="A404" t="s">
        <v>1598</v>
      </c>
      <c r="B404" t="s">
        <v>493</v>
      </c>
      <c r="C404" t="s">
        <v>65</v>
      </c>
      <c r="D404" t="s">
        <v>1599</v>
      </c>
      <c r="E404" t="s">
        <v>849</v>
      </c>
      <c r="F404">
        <v>67</v>
      </c>
      <c r="G404">
        <v>98</v>
      </c>
      <c r="H404">
        <v>92</v>
      </c>
      <c r="I404" t="s">
        <v>3489</v>
      </c>
      <c r="J404" s="8">
        <v>45404</v>
      </c>
      <c r="K404" s="8">
        <v>45535</v>
      </c>
      <c r="L404" s="8">
        <v>45633</v>
      </c>
      <c r="M404" t="s">
        <v>1600</v>
      </c>
      <c r="N404">
        <v>35</v>
      </c>
      <c r="O404">
        <v>98</v>
      </c>
      <c r="P404" t="s">
        <v>39</v>
      </c>
    </row>
    <row r="405" spans="1:16" x14ac:dyDescent="0.35">
      <c r="A405" t="s">
        <v>1601</v>
      </c>
      <c r="B405" t="s">
        <v>329</v>
      </c>
      <c r="C405" t="s">
        <v>65</v>
      </c>
      <c r="D405" t="s">
        <v>1602</v>
      </c>
      <c r="E405" t="s">
        <v>1136</v>
      </c>
      <c r="F405">
        <v>88</v>
      </c>
      <c r="G405">
        <v>4</v>
      </c>
      <c r="H405">
        <v>79</v>
      </c>
      <c r="I405" t="s">
        <v>3476</v>
      </c>
      <c r="J405" s="8">
        <v>45406</v>
      </c>
      <c r="K405" s="8">
        <v>45445</v>
      </c>
      <c r="L405" s="8">
        <v>45518</v>
      </c>
      <c r="M405" t="s">
        <v>1603</v>
      </c>
      <c r="N405">
        <v>23</v>
      </c>
      <c r="O405">
        <v>39</v>
      </c>
      <c r="P405" t="s">
        <v>27</v>
      </c>
    </row>
    <row r="406" spans="1:16" x14ac:dyDescent="0.35">
      <c r="A406" t="s">
        <v>1604</v>
      </c>
      <c r="B406" t="s">
        <v>776</v>
      </c>
      <c r="C406" t="s">
        <v>30</v>
      </c>
      <c r="D406" t="s">
        <v>1605</v>
      </c>
      <c r="E406" t="s">
        <v>1606</v>
      </c>
      <c r="F406">
        <v>14</v>
      </c>
      <c r="G406">
        <v>77</v>
      </c>
      <c r="H406">
        <v>78</v>
      </c>
      <c r="I406" t="s">
        <v>3503</v>
      </c>
      <c r="J406" s="8">
        <v>45506</v>
      </c>
      <c r="K406" s="8">
        <v>45532</v>
      </c>
      <c r="L406" s="8">
        <v>45536</v>
      </c>
      <c r="M406" t="s">
        <v>1607</v>
      </c>
      <c r="N406">
        <v>32</v>
      </c>
      <c r="O406">
        <v>24</v>
      </c>
      <c r="P406" t="s">
        <v>27</v>
      </c>
    </row>
    <row r="407" spans="1:16" x14ac:dyDescent="0.35">
      <c r="A407" t="s">
        <v>1608</v>
      </c>
      <c r="B407" t="s">
        <v>509</v>
      </c>
      <c r="C407" t="s">
        <v>133</v>
      </c>
      <c r="D407" t="s">
        <v>1609</v>
      </c>
      <c r="E407" t="s">
        <v>1305</v>
      </c>
      <c r="F407">
        <v>85</v>
      </c>
      <c r="G407">
        <v>92</v>
      </c>
      <c r="H407">
        <v>66</v>
      </c>
      <c r="I407" t="s">
        <v>3545</v>
      </c>
      <c r="J407" s="8">
        <v>45379</v>
      </c>
      <c r="K407" s="8">
        <v>45658</v>
      </c>
      <c r="L407" s="8">
        <v>45415</v>
      </c>
      <c r="M407" t="s">
        <v>1610</v>
      </c>
      <c r="N407">
        <v>54</v>
      </c>
      <c r="O407">
        <v>85</v>
      </c>
      <c r="P407" t="s">
        <v>39</v>
      </c>
    </row>
    <row r="408" spans="1:16" x14ac:dyDescent="0.35">
      <c r="A408" t="s">
        <v>1611</v>
      </c>
      <c r="B408" t="s">
        <v>104</v>
      </c>
      <c r="C408" t="s">
        <v>65</v>
      </c>
      <c r="D408" t="s">
        <v>1612</v>
      </c>
      <c r="E408" t="s">
        <v>72</v>
      </c>
      <c r="F408">
        <v>74</v>
      </c>
      <c r="G408">
        <v>65</v>
      </c>
      <c r="H408">
        <v>5</v>
      </c>
      <c r="I408" t="s">
        <v>3485</v>
      </c>
      <c r="J408" s="8">
        <v>45687</v>
      </c>
      <c r="K408" s="8">
        <v>45500</v>
      </c>
      <c r="L408" s="8">
        <v>45367</v>
      </c>
      <c r="M408" t="s">
        <v>1613</v>
      </c>
      <c r="N408">
        <v>21</v>
      </c>
      <c r="O408">
        <v>42</v>
      </c>
      <c r="P408" t="s">
        <v>27</v>
      </c>
    </row>
    <row r="409" spans="1:16" x14ac:dyDescent="0.35">
      <c r="A409" t="s">
        <v>1614</v>
      </c>
      <c r="B409" t="s">
        <v>720</v>
      </c>
      <c r="C409" t="s">
        <v>65</v>
      </c>
      <c r="D409" t="s">
        <v>1615</v>
      </c>
      <c r="E409" t="s">
        <v>1616</v>
      </c>
      <c r="F409">
        <v>21</v>
      </c>
      <c r="G409">
        <v>28</v>
      </c>
      <c r="H409">
        <v>72</v>
      </c>
      <c r="I409" t="s">
        <v>3492</v>
      </c>
      <c r="J409" s="8">
        <v>45685</v>
      </c>
      <c r="K409" s="8">
        <v>45350</v>
      </c>
      <c r="L409" s="8">
        <v>45347</v>
      </c>
      <c r="M409" t="s">
        <v>1617</v>
      </c>
      <c r="N409">
        <v>69</v>
      </c>
      <c r="O409">
        <v>51</v>
      </c>
      <c r="P409" t="s">
        <v>39</v>
      </c>
    </row>
    <row r="410" spans="1:16" x14ac:dyDescent="0.35">
      <c r="A410" t="s">
        <v>1618</v>
      </c>
      <c r="B410" t="s">
        <v>398</v>
      </c>
      <c r="C410" t="s">
        <v>90</v>
      </c>
      <c r="D410" t="s">
        <v>1619</v>
      </c>
      <c r="E410" t="s">
        <v>908</v>
      </c>
      <c r="F410">
        <v>22</v>
      </c>
      <c r="G410">
        <v>24</v>
      </c>
      <c r="H410">
        <v>94</v>
      </c>
      <c r="I410" t="s">
        <v>3476</v>
      </c>
      <c r="J410" s="8">
        <v>45492</v>
      </c>
      <c r="K410" s="8">
        <v>45494</v>
      </c>
      <c r="L410" s="8">
        <v>45609</v>
      </c>
      <c r="M410" t="s">
        <v>1620</v>
      </c>
      <c r="N410">
        <v>47</v>
      </c>
      <c r="O410">
        <v>71</v>
      </c>
      <c r="P410" t="s">
        <v>45</v>
      </c>
    </row>
    <row r="411" spans="1:16" x14ac:dyDescent="0.35">
      <c r="A411" t="s">
        <v>1621</v>
      </c>
      <c r="B411" t="s">
        <v>329</v>
      </c>
      <c r="C411" t="s">
        <v>65</v>
      </c>
      <c r="D411" t="s">
        <v>1622</v>
      </c>
      <c r="E411" t="s">
        <v>615</v>
      </c>
      <c r="F411">
        <v>91</v>
      </c>
      <c r="G411">
        <v>14</v>
      </c>
      <c r="H411">
        <v>99</v>
      </c>
      <c r="I411" t="s">
        <v>3476</v>
      </c>
      <c r="J411" s="8">
        <v>45698</v>
      </c>
      <c r="K411" s="8">
        <v>45682</v>
      </c>
      <c r="L411" s="8">
        <v>45679</v>
      </c>
      <c r="M411" t="s">
        <v>1623</v>
      </c>
      <c r="N411">
        <v>50</v>
      </c>
      <c r="O411">
        <v>5</v>
      </c>
      <c r="P411" t="s">
        <v>39</v>
      </c>
    </row>
    <row r="412" spans="1:16" x14ac:dyDescent="0.35">
      <c r="A412" t="s">
        <v>1624</v>
      </c>
      <c r="B412" t="s">
        <v>244</v>
      </c>
      <c r="C412" t="s">
        <v>90</v>
      </c>
      <c r="D412" t="s">
        <v>1625</v>
      </c>
      <c r="E412" t="s">
        <v>1606</v>
      </c>
      <c r="F412">
        <v>85</v>
      </c>
      <c r="G412">
        <v>57</v>
      </c>
      <c r="H412">
        <v>25</v>
      </c>
      <c r="I412" t="s">
        <v>3490</v>
      </c>
      <c r="J412" s="8">
        <v>45706</v>
      </c>
      <c r="K412" s="8">
        <v>45561</v>
      </c>
      <c r="L412" s="8">
        <v>45463</v>
      </c>
      <c r="M412" t="s">
        <v>1626</v>
      </c>
      <c r="N412">
        <v>30</v>
      </c>
      <c r="O412">
        <v>42</v>
      </c>
      <c r="P412" t="s">
        <v>27</v>
      </c>
    </row>
    <row r="413" spans="1:16" x14ac:dyDescent="0.35">
      <c r="A413" t="s">
        <v>1627</v>
      </c>
      <c r="B413" t="s">
        <v>403</v>
      </c>
      <c r="C413" t="s">
        <v>48</v>
      </c>
      <c r="D413" t="s">
        <v>1628</v>
      </c>
      <c r="E413" t="s">
        <v>1629</v>
      </c>
      <c r="F413">
        <v>12</v>
      </c>
      <c r="G413">
        <v>28</v>
      </c>
      <c r="H413">
        <v>11</v>
      </c>
      <c r="I413" t="s">
        <v>3481</v>
      </c>
      <c r="J413" s="8">
        <v>45430</v>
      </c>
      <c r="K413" s="8">
        <v>45662</v>
      </c>
      <c r="L413" s="8">
        <v>45399</v>
      </c>
      <c r="M413" t="s">
        <v>1630</v>
      </c>
      <c r="N413">
        <v>46</v>
      </c>
      <c r="O413">
        <v>88</v>
      </c>
      <c r="P413" t="s">
        <v>39</v>
      </c>
    </row>
    <row r="414" spans="1:16" x14ac:dyDescent="0.35">
      <c r="A414" t="s">
        <v>1631</v>
      </c>
      <c r="B414" t="s">
        <v>546</v>
      </c>
      <c r="C414" t="s">
        <v>48</v>
      </c>
      <c r="D414" t="s">
        <v>1632</v>
      </c>
      <c r="E414" t="s">
        <v>1633</v>
      </c>
      <c r="F414">
        <v>43</v>
      </c>
      <c r="G414">
        <v>65</v>
      </c>
      <c r="H414">
        <v>66</v>
      </c>
      <c r="I414" t="s">
        <v>3476</v>
      </c>
      <c r="J414" s="8">
        <v>45647</v>
      </c>
      <c r="K414" s="8">
        <v>45538</v>
      </c>
      <c r="L414" s="8">
        <v>45673</v>
      </c>
      <c r="M414" t="s">
        <v>1634</v>
      </c>
      <c r="N414">
        <v>78</v>
      </c>
      <c r="O414">
        <v>73</v>
      </c>
      <c r="P414" t="s">
        <v>39</v>
      </c>
    </row>
    <row r="415" spans="1:16" x14ac:dyDescent="0.35">
      <c r="A415" t="s">
        <v>1635</v>
      </c>
      <c r="B415" t="s">
        <v>1219</v>
      </c>
      <c r="C415" t="s">
        <v>65</v>
      </c>
      <c r="D415" t="s">
        <v>1636</v>
      </c>
      <c r="E415" t="s">
        <v>1025</v>
      </c>
      <c r="F415">
        <v>92</v>
      </c>
      <c r="G415">
        <v>92</v>
      </c>
      <c r="H415">
        <v>28</v>
      </c>
      <c r="I415" t="s">
        <v>3479</v>
      </c>
      <c r="J415" s="8">
        <v>45678</v>
      </c>
      <c r="K415" s="8">
        <v>45545</v>
      </c>
      <c r="L415" s="8">
        <v>45648</v>
      </c>
      <c r="M415" t="s">
        <v>1637</v>
      </c>
      <c r="N415">
        <v>50</v>
      </c>
      <c r="O415">
        <v>67</v>
      </c>
      <c r="P415" t="s">
        <v>27</v>
      </c>
    </row>
    <row r="416" spans="1:16" x14ac:dyDescent="0.35">
      <c r="A416" t="s">
        <v>1638</v>
      </c>
      <c r="B416" t="s">
        <v>781</v>
      </c>
      <c r="C416" t="s">
        <v>48</v>
      </c>
      <c r="D416" t="s">
        <v>1639</v>
      </c>
      <c r="E416" t="s">
        <v>1640</v>
      </c>
      <c r="F416">
        <v>23</v>
      </c>
      <c r="G416">
        <v>85</v>
      </c>
      <c r="H416">
        <v>94</v>
      </c>
      <c r="I416" t="s">
        <v>3481</v>
      </c>
      <c r="J416" s="8">
        <v>45577</v>
      </c>
      <c r="K416" s="8">
        <v>45496</v>
      </c>
      <c r="L416" s="8">
        <v>45685</v>
      </c>
      <c r="M416" t="s">
        <v>1641</v>
      </c>
      <c r="N416">
        <v>92</v>
      </c>
      <c r="O416">
        <v>72</v>
      </c>
      <c r="P416" t="s">
        <v>39</v>
      </c>
    </row>
    <row r="417" spans="1:16" x14ac:dyDescent="0.35">
      <c r="A417" t="s">
        <v>1642</v>
      </c>
      <c r="B417" t="s">
        <v>75</v>
      </c>
      <c r="C417" t="s">
        <v>65</v>
      </c>
      <c r="D417" t="s">
        <v>1643</v>
      </c>
      <c r="E417" t="s">
        <v>1644</v>
      </c>
      <c r="F417">
        <v>77</v>
      </c>
      <c r="G417">
        <v>1</v>
      </c>
      <c r="H417">
        <v>41</v>
      </c>
      <c r="I417" t="s">
        <v>3482</v>
      </c>
      <c r="J417" s="8">
        <v>45601</v>
      </c>
      <c r="K417" s="8">
        <v>45693</v>
      </c>
      <c r="L417" s="8">
        <v>45372</v>
      </c>
      <c r="M417" t="s">
        <v>1645</v>
      </c>
      <c r="N417">
        <v>58</v>
      </c>
      <c r="O417">
        <v>55</v>
      </c>
      <c r="P417" t="s">
        <v>27</v>
      </c>
    </row>
    <row r="418" spans="1:16" x14ac:dyDescent="0.35">
      <c r="A418" t="s">
        <v>1646</v>
      </c>
      <c r="B418" t="s">
        <v>1532</v>
      </c>
      <c r="C418" t="s">
        <v>48</v>
      </c>
      <c r="D418" t="s">
        <v>1647</v>
      </c>
      <c r="E418" t="s">
        <v>758</v>
      </c>
      <c r="F418">
        <v>65</v>
      </c>
      <c r="G418">
        <v>10</v>
      </c>
      <c r="H418">
        <v>81</v>
      </c>
      <c r="I418" t="s">
        <v>3484</v>
      </c>
      <c r="J418" s="8">
        <v>45531</v>
      </c>
      <c r="K418" s="8">
        <v>45700</v>
      </c>
      <c r="L418" s="8">
        <v>45420</v>
      </c>
      <c r="M418" t="s">
        <v>1648</v>
      </c>
      <c r="N418">
        <v>71</v>
      </c>
      <c r="O418">
        <v>61</v>
      </c>
      <c r="P418" t="s">
        <v>39</v>
      </c>
    </row>
    <row r="419" spans="1:16" x14ac:dyDescent="0.35">
      <c r="A419" t="s">
        <v>1649</v>
      </c>
      <c r="B419" t="s">
        <v>538</v>
      </c>
      <c r="C419" t="s">
        <v>48</v>
      </c>
      <c r="D419" t="s">
        <v>1650</v>
      </c>
      <c r="E419" t="s">
        <v>1128</v>
      </c>
      <c r="F419">
        <v>82</v>
      </c>
      <c r="G419">
        <v>29</v>
      </c>
      <c r="H419">
        <v>62</v>
      </c>
      <c r="I419" t="s">
        <v>3546</v>
      </c>
      <c r="J419" s="8">
        <v>45512</v>
      </c>
      <c r="K419" s="8">
        <v>45369</v>
      </c>
      <c r="L419" s="8">
        <v>45635</v>
      </c>
      <c r="M419" t="s">
        <v>1651</v>
      </c>
      <c r="N419">
        <v>77</v>
      </c>
      <c r="O419">
        <v>27</v>
      </c>
      <c r="P419" t="s">
        <v>39</v>
      </c>
    </row>
    <row r="420" spans="1:16" x14ac:dyDescent="0.35">
      <c r="A420" t="s">
        <v>1652</v>
      </c>
      <c r="B420" t="s">
        <v>114</v>
      </c>
      <c r="C420" t="s">
        <v>65</v>
      </c>
      <c r="D420" t="s">
        <v>1653</v>
      </c>
      <c r="E420" t="s">
        <v>1045</v>
      </c>
      <c r="F420">
        <v>20</v>
      </c>
      <c r="G420">
        <v>17</v>
      </c>
      <c r="H420">
        <v>71</v>
      </c>
      <c r="I420" t="s">
        <v>3486</v>
      </c>
      <c r="J420" s="8">
        <v>45587</v>
      </c>
      <c r="K420" s="8">
        <v>45664</v>
      </c>
      <c r="L420" s="8">
        <v>45612</v>
      </c>
      <c r="M420" t="s">
        <v>1654</v>
      </c>
      <c r="N420">
        <v>50</v>
      </c>
      <c r="O420">
        <v>65</v>
      </c>
      <c r="P420" t="s">
        <v>45</v>
      </c>
    </row>
    <row r="421" spans="1:16" x14ac:dyDescent="0.35">
      <c r="A421" t="s">
        <v>1655</v>
      </c>
      <c r="B421" t="s">
        <v>720</v>
      </c>
      <c r="C421" t="s">
        <v>65</v>
      </c>
      <c r="D421" t="s">
        <v>1656</v>
      </c>
      <c r="E421" t="s">
        <v>77</v>
      </c>
      <c r="F421">
        <v>31</v>
      </c>
      <c r="G421">
        <v>65</v>
      </c>
      <c r="H421">
        <v>94</v>
      </c>
      <c r="I421" t="s">
        <v>3492</v>
      </c>
      <c r="J421" s="8">
        <v>45629</v>
      </c>
      <c r="K421" s="8">
        <v>45582</v>
      </c>
      <c r="L421" s="8">
        <v>45357</v>
      </c>
      <c r="M421" t="s">
        <v>1657</v>
      </c>
      <c r="N421">
        <v>63</v>
      </c>
      <c r="O421">
        <v>7</v>
      </c>
      <c r="P421" t="s">
        <v>39</v>
      </c>
    </row>
    <row r="422" spans="1:16" x14ac:dyDescent="0.35">
      <c r="A422" t="s">
        <v>1658</v>
      </c>
      <c r="B422" t="s">
        <v>239</v>
      </c>
      <c r="C422" t="s">
        <v>65</v>
      </c>
      <c r="D422" t="s">
        <v>1659</v>
      </c>
      <c r="E422" t="s">
        <v>1660</v>
      </c>
      <c r="F422">
        <v>36</v>
      </c>
      <c r="G422">
        <v>75</v>
      </c>
      <c r="H422">
        <v>35</v>
      </c>
      <c r="I422" t="s">
        <v>3497</v>
      </c>
      <c r="J422" s="8">
        <v>45395</v>
      </c>
      <c r="K422" s="8">
        <v>45460</v>
      </c>
      <c r="L422" s="8">
        <v>45619</v>
      </c>
      <c r="M422" t="s">
        <v>1661</v>
      </c>
      <c r="N422">
        <v>26</v>
      </c>
      <c r="O422">
        <v>41</v>
      </c>
      <c r="P422" t="s">
        <v>27</v>
      </c>
    </row>
    <row r="423" spans="1:16" x14ac:dyDescent="0.35">
      <c r="A423" t="s">
        <v>1662</v>
      </c>
      <c r="B423" t="s">
        <v>317</v>
      </c>
      <c r="C423" t="s">
        <v>30</v>
      </c>
      <c r="D423" t="s">
        <v>1663</v>
      </c>
      <c r="E423" t="s">
        <v>400</v>
      </c>
      <c r="F423">
        <v>59</v>
      </c>
      <c r="G423">
        <v>20</v>
      </c>
      <c r="H423">
        <v>17</v>
      </c>
      <c r="I423" t="s">
        <v>3489</v>
      </c>
      <c r="J423" s="8">
        <v>45632</v>
      </c>
      <c r="K423" s="8">
        <v>45473</v>
      </c>
      <c r="L423" s="8">
        <v>45455</v>
      </c>
      <c r="M423" t="s">
        <v>1664</v>
      </c>
      <c r="N423">
        <v>45</v>
      </c>
      <c r="O423">
        <v>15</v>
      </c>
      <c r="P423" t="s">
        <v>27</v>
      </c>
    </row>
    <row r="424" spans="1:16" x14ac:dyDescent="0.35">
      <c r="A424" t="s">
        <v>1665</v>
      </c>
      <c r="B424" t="s">
        <v>41</v>
      </c>
      <c r="C424" t="s">
        <v>23</v>
      </c>
      <c r="D424" t="s">
        <v>1666</v>
      </c>
      <c r="E424" t="s">
        <v>268</v>
      </c>
      <c r="F424">
        <v>11</v>
      </c>
      <c r="G424">
        <v>10</v>
      </c>
      <c r="H424">
        <v>80</v>
      </c>
      <c r="I424" t="s">
        <v>3477</v>
      </c>
      <c r="J424" s="8">
        <v>45448</v>
      </c>
      <c r="K424" s="8">
        <v>45562</v>
      </c>
      <c r="L424" s="8">
        <v>45506</v>
      </c>
      <c r="M424" t="s">
        <v>1667</v>
      </c>
      <c r="N424">
        <v>48</v>
      </c>
      <c r="O424">
        <v>65</v>
      </c>
      <c r="P424" t="s">
        <v>27</v>
      </c>
    </row>
    <row r="425" spans="1:16" x14ac:dyDescent="0.35">
      <c r="A425" t="s">
        <v>1668</v>
      </c>
      <c r="B425" t="s">
        <v>235</v>
      </c>
      <c r="C425" t="s">
        <v>30</v>
      </c>
      <c r="D425" t="s">
        <v>1669</v>
      </c>
      <c r="E425" t="s">
        <v>1670</v>
      </c>
      <c r="F425">
        <v>24</v>
      </c>
      <c r="G425">
        <v>77</v>
      </c>
      <c r="H425">
        <v>32</v>
      </c>
      <c r="I425" t="s">
        <v>3547</v>
      </c>
      <c r="J425" s="8">
        <v>45369</v>
      </c>
      <c r="K425" s="8">
        <v>45453</v>
      </c>
      <c r="L425" s="8">
        <v>45355</v>
      </c>
      <c r="M425" t="s">
        <v>1671</v>
      </c>
      <c r="N425">
        <v>80</v>
      </c>
      <c r="O425">
        <v>42</v>
      </c>
      <c r="P425" t="s">
        <v>27</v>
      </c>
    </row>
    <row r="426" spans="1:16" x14ac:dyDescent="0.35">
      <c r="A426" t="s">
        <v>1672</v>
      </c>
      <c r="B426" t="s">
        <v>197</v>
      </c>
      <c r="C426" t="s">
        <v>133</v>
      </c>
      <c r="D426" t="s">
        <v>1673</v>
      </c>
      <c r="E426" t="s">
        <v>1674</v>
      </c>
      <c r="F426">
        <v>75</v>
      </c>
      <c r="G426">
        <v>80</v>
      </c>
      <c r="H426">
        <v>87</v>
      </c>
      <c r="I426" t="s">
        <v>3492</v>
      </c>
      <c r="J426" s="8">
        <v>45479</v>
      </c>
      <c r="K426" s="8">
        <v>45568</v>
      </c>
      <c r="L426" s="8">
        <v>45528</v>
      </c>
      <c r="M426" t="s">
        <v>1675</v>
      </c>
      <c r="N426">
        <v>49</v>
      </c>
      <c r="O426">
        <v>40</v>
      </c>
      <c r="P426" t="s">
        <v>39</v>
      </c>
    </row>
    <row r="427" spans="1:16" x14ac:dyDescent="0.35">
      <c r="A427" t="s">
        <v>1676</v>
      </c>
      <c r="B427" t="s">
        <v>235</v>
      </c>
      <c r="C427" t="s">
        <v>30</v>
      </c>
      <c r="D427" t="s">
        <v>1677</v>
      </c>
      <c r="E427" t="s">
        <v>106</v>
      </c>
      <c r="F427">
        <v>11</v>
      </c>
      <c r="G427">
        <v>72</v>
      </c>
      <c r="H427">
        <v>5</v>
      </c>
      <c r="I427" t="s">
        <v>3495</v>
      </c>
      <c r="J427" s="8">
        <v>45481</v>
      </c>
      <c r="K427" s="8">
        <v>45576</v>
      </c>
      <c r="L427" s="8">
        <v>45699</v>
      </c>
      <c r="M427" t="s">
        <v>1678</v>
      </c>
      <c r="N427">
        <v>89</v>
      </c>
      <c r="O427">
        <v>4</v>
      </c>
      <c r="P427" t="s">
        <v>45</v>
      </c>
    </row>
    <row r="428" spans="1:16" x14ac:dyDescent="0.35">
      <c r="A428" t="s">
        <v>1679</v>
      </c>
      <c r="B428" t="s">
        <v>801</v>
      </c>
      <c r="C428" t="s">
        <v>133</v>
      </c>
      <c r="D428" t="s">
        <v>1680</v>
      </c>
      <c r="E428" t="s">
        <v>1440</v>
      </c>
      <c r="F428">
        <v>60</v>
      </c>
      <c r="G428">
        <v>64</v>
      </c>
      <c r="H428">
        <v>36</v>
      </c>
      <c r="I428" t="s">
        <v>3503</v>
      </c>
      <c r="J428" s="8">
        <v>45537</v>
      </c>
      <c r="K428" s="8">
        <v>45347</v>
      </c>
      <c r="L428" s="8">
        <v>45703</v>
      </c>
      <c r="M428" t="s">
        <v>1681</v>
      </c>
      <c r="N428">
        <v>34</v>
      </c>
      <c r="O428">
        <v>48</v>
      </c>
      <c r="P428" t="s">
        <v>27</v>
      </c>
    </row>
    <row r="429" spans="1:16" x14ac:dyDescent="0.35">
      <c r="A429" t="s">
        <v>1682</v>
      </c>
      <c r="B429" t="s">
        <v>230</v>
      </c>
      <c r="C429" t="s">
        <v>48</v>
      </c>
      <c r="D429" t="s">
        <v>1683</v>
      </c>
      <c r="E429" t="s">
        <v>1203</v>
      </c>
      <c r="F429">
        <v>91</v>
      </c>
      <c r="G429">
        <v>6</v>
      </c>
      <c r="H429">
        <v>37</v>
      </c>
      <c r="I429" t="s">
        <v>3502</v>
      </c>
      <c r="J429" s="8">
        <v>45413</v>
      </c>
      <c r="K429" s="8">
        <v>45511</v>
      </c>
      <c r="L429" s="8">
        <v>45510</v>
      </c>
      <c r="M429" t="s">
        <v>1684</v>
      </c>
      <c r="N429">
        <v>38</v>
      </c>
      <c r="O429">
        <v>70</v>
      </c>
      <c r="P429" t="s">
        <v>39</v>
      </c>
    </row>
    <row r="430" spans="1:16" x14ac:dyDescent="0.35">
      <c r="A430" t="s">
        <v>1685</v>
      </c>
      <c r="B430" t="s">
        <v>64</v>
      </c>
      <c r="C430" t="s">
        <v>65</v>
      </c>
      <c r="D430" t="s">
        <v>1686</v>
      </c>
      <c r="E430" t="s">
        <v>1687</v>
      </c>
      <c r="F430">
        <v>43</v>
      </c>
      <c r="G430">
        <v>78</v>
      </c>
      <c r="H430">
        <v>85</v>
      </c>
      <c r="I430" t="s">
        <v>3480</v>
      </c>
      <c r="J430" s="8">
        <v>45360</v>
      </c>
      <c r="K430" s="8">
        <v>45534</v>
      </c>
      <c r="L430" s="8">
        <v>45465</v>
      </c>
      <c r="M430" t="s">
        <v>1688</v>
      </c>
      <c r="N430">
        <v>48</v>
      </c>
      <c r="O430">
        <v>98</v>
      </c>
      <c r="P430" t="s">
        <v>39</v>
      </c>
    </row>
    <row r="431" spans="1:16" x14ac:dyDescent="0.35">
      <c r="A431" t="s">
        <v>1689</v>
      </c>
      <c r="B431" t="s">
        <v>109</v>
      </c>
      <c r="C431" t="s">
        <v>23</v>
      </c>
      <c r="D431" t="s">
        <v>1690</v>
      </c>
      <c r="E431" t="s">
        <v>722</v>
      </c>
      <c r="F431">
        <v>25</v>
      </c>
      <c r="G431">
        <v>60</v>
      </c>
      <c r="H431">
        <v>36</v>
      </c>
      <c r="I431" t="s">
        <v>3477</v>
      </c>
      <c r="J431" s="8">
        <v>45704</v>
      </c>
      <c r="K431" s="8">
        <v>45530</v>
      </c>
      <c r="L431" s="8">
        <v>45595</v>
      </c>
      <c r="M431" t="s">
        <v>1691</v>
      </c>
      <c r="N431">
        <v>31</v>
      </c>
      <c r="O431">
        <v>41</v>
      </c>
      <c r="P431" t="s">
        <v>39</v>
      </c>
    </row>
    <row r="432" spans="1:16" x14ac:dyDescent="0.35">
      <c r="A432" t="s">
        <v>1692</v>
      </c>
      <c r="B432" t="s">
        <v>148</v>
      </c>
      <c r="C432" t="s">
        <v>65</v>
      </c>
      <c r="D432" t="s">
        <v>1693</v>
      </c>
      <c r="E432" t="s">
        <v>1316</v>
      </c>
      <c r="F432">
        <v>96</v>
      </c>
      <c r="G432">
        <v>9</v>
      </c>
      <c r="H432">
        <v>57</v>
      </c>
      <c r="I432" t="s">
        <v>3548</v>
      </c>
      <c r="J432" s="8">
        <v>45683</v>
      </c>
      <c r="K432" s="8">
        <v>45459</v>
      </c>
      <c r="L432" s="8">
        <v>45510</v>
      </c>
      <c r="M432" t="s">
        <v>1694</v>
      </c>
      <c r="N432">
        <v>78</v>
      </c>
      <c r="O432">
        <v>67</v>
      </c>
      <c r="P432" t="s">
        <v>45</v>
      </c>
    </row>
    <row r="433" spans="1:16" x14ac:dyDescent="0.35">
      <c r="A433" t="s">
        <v>1695</v>
      </c>
      <c r="B433" t="s">
        <v>1043</v>
      </c>
      <c r="C433" t="s">
        <v>133</v>
      </c>
      <c r="D433" t="s">
        <v>1696</v>
      </c>
      <c r="E433" t="s">
        <v>1697</v>
      </c>
      <c r="F433">
        <v>30</v>
      </c>
      <c r="G433">
        <v>29</v>
      </c>
      <c r="H433">
        <v>70</v>
      </c>
      <c r="I433" t="s">
        <v>3527</v>
      </c>
      <c r="J433" s="8">
        <v>45465</v>
      </c>
      <c r="K433" s="8">
        <v>45578</v>
      </c>
      <c r="L433" s="8">
        <v>45555</v>
      </c>
      <c r="M433" t="s">
        <v>1698</v>
      </c>
      <c r="N433">
        <v>80</v>
      </c>
      <c r="O433">
        <v>43</v>
      </c>
      <c r="P433" t="s">
        <v>39</v>
      </c>
    </row>
    <row r="434" spans="1:16" x14ac:dyDescent="0.35">
      <c r="A434" t="s">
        <v>1699</v>
      </c>
      <c r="B434" t="s">
        <v>386</v>
      </c>
      <c r="C434" t="s">
        <v>23</v>
      </c>
      <c r="D434" t="s">
        <v>1700</v>
      </c>
      <c r="E434" t="s">
        <v>1701</v>
      </c>
      <c r="F434">
        <v>56</v>
      </c>
      <c r="G434">
        <v>4</v>
      </c>
      <c r="H434">
        <v>74</v>
      </c>
      <c r="I434" t="s">
        <v>3474</v>
      </c>
      <c r="J434" s="8">
        <v>45366</v>
      </c>
      <c r="K434" s="8">
        <v>45477</v>
      </c>
      <c r="L434" s="8">
        <v>45557</v>
      </c>
      <c r="M434" t="s">
        <v>1702</v>
      </c>
      <c r="N434">
        <v>61</v>
      </c>
      <c r="O434">
        <v>73</v>
      </c>
      <c r="P434" t="s">
        <v>45</v>
      </c>
    </row>
    <row r="435" spans="1:16" x14ac:dyDescent="0.35">
      <c r="A435" t="s">
        <v>1703</v>
      </c>
      <c r="B435" t="s">
        <v>1552</v>
      </c>
      <c r="C435" t="s">
        <v>90</v>
      </c>
      <c r="D435" t="s">
        <v>1704</v>
      </c>
      <c r="E435" t="s">
        <v>557</v>
      </c>
      <c r="F435">
        <v>91</v>
      </c>
      <c r="G435">
        <v>71</v>
      </c>
      <c r="H435">
        <v>17</v>
      </c>
      <c r="I435" t="s">
        <v>3490</v>
      </c>
      <c r="J435" s="8">
        <v>45667</v>
      </c>
      <c r="K435" s="8">
        <v>45505</v>
      </c>
      <c r="L435" s="8">
        <v>45446</v>
      </c>
      <c r="M435" t="s">
        <v>1705</v>
      </c>
      <c r="N435">
        <v>74</v>
      </c>
      <c r="O435">
        <v>57</v>
      </c>
      <c r="P435" t="s">
        <v>45</v>
      </c>
    </row>
    <row r="436" spans="1:16" x14ac:dyDescent="0.35">
      <c r="A436" t="s">
        <v>1706</v>
      </c>
      <c r="B436" t="s">
        <v>84</v>
      </c>
      <c r="C436" t="s">
        <v>23</v>
      </c>
      <c r="D436" t="s">
        <v>1707</v>
      </c>
      <c r="E436" t="s">
        <v>894</v>
      </c>
      <c r="F436">
        <v>27</v>
      </c>
      <c r="G436">
        <v>64</v>
      </c>
      <c r="H436">
        <v>78</v>
      </c>
      <c r="I436" t="s">
        <v>3484</v>
      </c>
      <c r="J436" s="8">
        <v>45521</v>
      </c>
      <c r="K436" s="8">
        <v>45416</v>
      </c>
      <c r="L436" s="8">
        <v>45435</v>
      </c>
      <c r="M436" t="s">
        <v>1708</v>
      </c>
      <c r="N436">
        <v>57</v>
      </c>
      <c r="O436">
        <v>4</v>
      </c>
      <c r="P436" t="s">
        <v>45</v>
      </c>
    </row>
    <row r="437" spans="1:16" x14ac:dyDescent="0.35">
      <c r="A437" t="s">
        <v>1709</v>
      </c>
      <c r="B437" t="s">
        <v>630</v>
      </c>
      <c r="C437" t="s">
        <v>65</v>
      </c>
      <c r="D437" t="s">
        <v>1710</v>
      </c>
      <c r="E437" t="s">
        <v>482</v>
      </c>
      <c r="F437">
        <v>28</v>
      </c>
      <c r="G437">
        <v>90</v>
      </c>
      <c r="H437">
        <v>70</v>
      </c>
      <c r="I437" t="s">
        <v>3536</v>
      </c>
      <c r="J437" s="8">
        <v>45601</v>
      </c>
      <c r="K437" s="8">
        <v>45702</v>
      </c>
      <c r="L437" s="8">
        <v>45685</v>
      </c>
      <c r="M437" t="s">
        <v>1711</v>
      </c>
      <c r="N437">
        <v>76</v>
      </c>
      <c r="O437">
        <v>78</v>
      </c>
      <c r="P437" t="s">
        <v>45</v>
      </c>
    </row>
    <row r="438" spans="1:16" x14ac:dyDescent="0.35">
      <c r="A438" t="s">
        <v>1712</v>
      </c>
      <c r="B438" t="s">
        <v>646</v>
      </c>
      <c r="C438" t="s">
        <v>65</v>
      </c>
      <c r="D438" t="s">
        <v>1713</v>
      </c>
      <c r="E438" t="s">
        <v>145</v>
      </c>
      <c r="F438">
        <v>92</v>
      </c>
      <c r="G438">
        <v>67</v>
      </c>
      <c r="H438">
        <v>51</v>
      </c>
      <c r="I438" t="s">
        <v>3478</v>
      </c>
      <c r="J438" s="8">
        <v>45387</v>
      </c>
      <c r="K438" s="8">
        <v>45635</v>
      </c>
      <c r="L438" s="8">
        <v>45431</v>
      </c>
      <c r="M438" t="s">
        <v>1714</v>
      </c>
      <c r="N438">
        <v>23</v>
      </c>
      <c r="O438">
        <v>78</v>
      </c>
      <c r="P438" t="s">
        <v>27</v>
      </c>
    </row>
    <row r="439" spans="1:16" x14ac:dyDescent="0.35">
      <c r="A439" t="s">
        <v>1715</v>
      </c>
      <c r="B439" t="s">
        <v>625</v>
      </c>
      <c r="C439" t="s">
        <v>133</v>
      </c>
      <c r="D439" t="s">
        <v>1716</v>
      </c>
      <c r="E439" t="s">
        <v>996</v>
      </c>
      <c r="F439">
        <v>37</v>
      </c>
      <c r="G439">
        <v>33</v>
      </c>
      <c r="H439">
        <v>80</v>
      </c>
      <c r="I439" t="s">
        <v>3513</v>
      </c>
      <c r="J439" s="8">
        <v>45647</v>
      </c>
      <c r="K439" s="8">
        <v>45422</v>
      </c>
      <c r="L439" s="8">
        <v>45416</v>
      </c>
      <c r="M439" t="s">
        <v>1717</v>
      </c>
      <c r="N439">
        <v>27</v>
      </c>
      <c r="O439">
        <v>73</v>
      </c>
      <c r="P439" t="s">
        <v>39</v>
      </c>
    </row>
    <row r="440" spans="1:16" x14ac:dyDescent="0.35">
      <c r="A440" t="s">
        <v>1718</v>
      </c>
      <c r="B440" t="s">
        <v>688</v>
      </c>
      <c r="C440" t="s">
        <v>23</v>
      </c>
      <c r="D440" t="s">
        <v>1719</v>
      </c>
      <c r="E440" t="s">
        <v>1720</v>
      </c>
      <c r="F440">
        <v>28</v>
      </c>
      <c r="G440">
        <v>24</v>
      </c>
      <c r="H440">
        <v>97</v>
      </c>
      <c r="I440" t="s">
        <v>3480</v>
      </c>
      <c r="J440" s="8">
        <v>45557</v>
      </c>
      <c r="K440" s="8">
        <v>45424</v>
      </c>
      <c r="L440" s="8">
        <v>45482</v>
      </c>
      <c r="M440" t="s">
        <v>1721</v>
      </c>
      <c r="N440">
        <v>82</v>
      </c>
      <c r="O440">
        <v>5</v>
      </c>
      <c r="P440" t="s">
        <v>27</v>
      </c>
    </row>
    <row r="441" spans="1:16" x14ac:dyDescent="0.35">
      <c r="A441" t="s">
        <v>1722</v>
      </c>
      <c r="B441" t="s">
        <v>509</v>
      </c>
      <c r="C441" t="s">
        <v>133</v>
      </c>
      <c r="D441" t="s">
        <v>1723</v>
      </c>
      <c r="E441" t="s">
        <v>37</v>
      </c>
      <c r="F441">
        <v>30</v>
      </c>
      <c r="G441">
        <v>42</v>
      </c>
      <c r="H441">
        <v>8</v>
      </c>
      <c r="I441" t="s">
        <v>3485</v>
      </c>
      <c r="J441" s="8">
        <v>45414</v>
      </c>
      <c r="K441" s="8">
        <v>45663</v>
      </c>
      <c r="L441" s="8">
        <v>45484</v>
      </c>
      <c r="M441" t="s">
        <v>1724</v>
      </c>
      <c r="N441">
        <v>48</v>
      </c>
      <c r="O441">
        <v>23</v>
      </c>
      <c r="P441" t="s">
        <v>45</v>
      </c>
    </row>
    <row r="442" spans="1:16" x14ac:dyDescent="0.35">
      <c r="A442" t="s">
        <v>1725</v>
      </c>
      <c r="B442" t="s">
        <v>29</v>
      </c>
      <c r="C442" t="s">
        <v>30</v>
      </c>
      <c r="D442" t="s">
        <v>1726</v>
      </c>
      <c r="E442" t="s">
        <v>849</v>
      </c>
      <c r="F442">
        <v>98</v>
      </c>
      <c r="G442">
        <v>83</v>
      </c>
      <c r="H442">
        <v>5</v>
      </c>
      <c r="I442" t="s">
        <v>3475</v>
      </c>
      <c r="J442" s="8">
        <v>45479</v>
      </c>
      <c r="K442" s="8">
        <v>45688</v>
      </c>
      <c r="L442" s="8">
        <v>45652</v>
      </c>
      <c r="M442" t="s">
        <v>1727</v>
      </c>
      <c r="N442">
        <v>39</v>
      </c>
      <c r="O442">
        <v>79</v>
      </c>
      <c r="P442" t="s">
        <v>45</v>
      </c>
    </row>
    <row r="443" spans="1:16" x14ac:dyDescent="0.35">
      <c r="A443" t="s">
        <v>1728</v>
      </c>
      <c r="B443" t="s">
        <v>230</v>
      </c>
      <c r="C443" t="s">
        <v>48</v>
      </c>
      <c r="D443" t="s">
        <v>1729</v>
      </c>
      <c r="E443" t="s">
        <v>478</v>
      </c>
      <c r="F443">
        <v>65</v>
      </c>
      <c r="G443">
        <v>88</v>
      </c>
      <c r="H443">
        <v>20</v>
      </c>
      <c r="I443" t="s">
        <v>3480</v>
      </c>
      <c r="J443" s="8">
        <v>45685</v>
      </c>
      <c r="K443" s="8">
        <v>45616</v>
      </c>
      <c r="L443" s="8">
        <v>45502</v>
      </c>
      <c r="M443" t="s">
        <v>1730</v>
      </c>
      <c r="N443">
        <v>89</v>
      </c>
      <c r="O443">
        <v>37</v>
      </c>
      <c r="P443" t="s">
        <v>39</v>
      </c>
    </row>
    <row r="444" spans="1:16" x14ac:dyDescent="0.35">
      <c r="A444" t="s">
        <v>1731</v>
      </c>
      <c r="B444" t="s">
        <v>473</v>
      </c>
      <c r="C444" t="s">
        <v>23</v>
      </c>
      <c r="D444" t="s">
        <v>1732</v>
      </c>
      <c r="E444" t="s">
        <v>1109</v>
      </c>
      <c r="F444">
        <v>42</v>
      </c>
      <c r="G444">
        <v>3</v>
      </c>
      <c r="H444">
        <v>21</v>
      </c>
      <c r="I444" t="s">
        <v>3484</v>
      </c>
      <c r="J444" s="8">
        <v>45554</v>
      </c>
      <c r="K444" s="8">
        <v>45684</v>
      </c>
      <c r="L444" s="8">
        <v>45560</v>
      </c>
      <c r="M444" t="s">
        <v>1733</v>
      </c>
      <c r="N444">
        <v>35</v>
      </c>
      <c r="O444">
        <v>22</v>
      </c>
      <c r="P444" t="s">
        <v>45</v>
      </c>
    </row>
    <row r="445" spans="1:16" x14ac:dyDescent="0.35">
      <c r="A445" t="s">
        <v>1734</v>
      </c>
      <c r="B445" t="s">
        <v>230</v>
      </c>
      <c r="C445" t="s">
        <v>48</v>
      </c>
      <c r="D445" t="s">
        <v>1735</v>
      </c>
      <c r="E445" t="s">
        <v>1736</v>
      </c>
      <c r="F445">
        <v>63</v>
      </c>
      <c r="G445">
        <v>60</v>
      </c>
      <c r="H445">
        <v>54</v>
      </c>
      <c r="I445" t="s">
        <v>3480</v>
      </c>
      <c r="J445" s="8">
        <v>45652</v>
      </c>
      <c r="K445" s="8">
        <v>45433</v>
      </c>
      <c r="L445" s="8">
        <v>45397</v>
      </c>
      <c r="M445" t="s">
        <v>1737</v>
      </c>
      <c r="N445">
        <v>33</v>
      </c>
      <c r="O445">
        <v>31</v>
      </c>
      <c r="P445" t="s">
        <v>39</v>
      </c>
    </row>
    <row r="446" spans="1:16" x14ac:dyDescent="0.35">
      <c r="A446" t="s">
        <v>1738</v>
      </c>
      <c r="B446" t="s">
        <v>350</v>
      </c>
      <c r="C446" t="s">
        <v>48</v>
      </c>
      <c r="D446" t="s">
        <v>1739</v>
      </c>
      <c r="E446" t="s">
        <v>1312</v>
      </c>
      <c r="F446">
        <v>85</v>
      </c>
      <c r="G446">
        <v>54</v>
      </c>
      <c r="H446">
        <v>18</v>
      </c>
      <c r="I446" t="s">
        <v>3478</v>
      </c>
      <c r="J446" s="8">
        <v>45501</v>
      </c>
      <c r="K446" s="8">
        <v>45588</v>
      </c>
      <c r="L446" s="8">
        <v>45486</v>
      </c>
      <c r="M446" t="s">
        <v>1740</v>
      </c>
      <c r="N446">
        <v>85</v>
      </c>
      <c r="O446">
        <v>44</v>
      </c>
      <c r="P446" t="s">
        <v>27</v>
      </c>
    </row>
    <row r="447" spans="1:16" x14ac:dyDescent="0.35">
      <c r="A447" t="s">
        <v>1741</v>
      </c>
      <c r="B447" t="s">
        <v>75</v>
      </c>
      <c r="C447" t="s">
        <v>65</v>
      </c>
      <c r="D447" t="s">
        <v>1742</v>
      </c>
      <c r="E447" t="s">
        <v>685</v>
      </c>
      <c r="F447">
        <v>44</v>
      </c>
      <c r="G447">
        <v>75</v>
      </c>
      <c r="H447">
        <v>72</v>
      </c>
      <c r="I447" t="s">
        <v>3482</v>
      </c>
      <c r="J447" s="8">
        <v>45640</v>
      </c>
      <c r="K447" s="8">
        <v>45625</v>
      </c>
      <c r="L447" s="8">
        <v>45506</v>
      </c>
      <c r="M447" t="s">
        <v>1743</v>
      </c>
      <c r="N447">
        <v>96</v>
      </c>
      <c r="O447">
        <v>38</v>
      </c>
      <c r="P447" t="s">
        <v>27</v>
      </c>
    </row>
    <row r="448" spans="1:16" x14ac:dyDescent="0.35">
      <c r="A448" t="s">
        <v>1744</v>
      </c>
      <c r="B448" t="s">
        <v>47</v>
      </c>
      <c r="C448" t="s">
        <v>48</v>
      </c>
      <c r="D448" t="s">
        <v>1745</v>
      </c>
      <c r="E448" t="s">
        <v>150</v>
      </c>
      <c r="F448">
        <v>26</v>
      </c>
      <c r="G448">
        <v>69</v>
      </c>
      <c r="H448">
        <v>90</v>
      </c>
      <c r="I448" t="s">
        <v>3478</v>
      </c>
      <c r="J448" s="8">
        <v>45638</v>
      </c>
      <c r="K448" s="8">
        <v>45451</v>
      </c>
      <c r="L448" s="8">
        <v>45492</v>
      </c>
      <c r="M448" t="s">
        <v>1746</v>
      </c>
      <c r="N448">
        <v>47</v>
      </c>
      <c r="O448">
        <v>35</v>
      </c>
      <c r="P448" t="s">
        <v>45</v>
      </c>
    </row>
    <row r="449" spans="1:16" x14ac:dyDescent="0.35">
      <c r="A449" t="s">
        <v>1747</v>
      </c>
      <c r="B449" t="s">
        <v>1265</v>
      </c>
      <c r="C449" t="s">
        <v>23</v>
      </c>
      <c r="D449" t="s">
        <v>1748</v>
      </c>
      <c r="E449" t="s">
        <v>731</v>
      </c>
      <c r="F449">
        <v>49</v>
      </c>
      <c r="G449">
        <v>59</v>
      </c>
      <c r="H449">
        <v>73</v>
      </c>
      <c r="I449" t="s">
        <v>3489</v>
      </c>
      <c r="J449" s="8">
        <v>45400</v>
      </c>
      <c r="K449" s="8">
        <v>45388</v>
      </c>
      <c r="L449" s="8">
        <v>45438</v>
      </c>
      <c r="M449" t="s">
        <v>1749</v>
      </c>
      <c r="N449">
        <v>93</v>
      </c>
      <c r="O449">
        <v>45</v>
      </c>
      <c r="P449" t="s">
        <v>27</v>
      </c>
    </row>
    <row r="450" spans="1:16" x14ac:dyDescent="0.35">
      <c r="A450" t="s">
        <v>1750</v>
      </c>
      <c r="B450" t="s">
        <v>546</v>
      </c>
      <c r="C450" t="s">
        <v>48</v>
      </c>
      <c r="D450" t="s">
        <v>1751</v>
      </c>
      <c r="E450" t="s">
        <v>690</v>
      </c>
      <c r="F450">
        <v>59</v>
      </c>
      <c r="G450">
        <v>79</v>
      </c>
      <c r="H450">
        <v>87</v>
      </c>
      <c r="I450" t="s">
        <v>3476</v>
      </c>
      <c r="J450" s="8">
        <v>45538</v>
      </c>
      <c r="K450" s="8">
        <v>45568</v>
      </c>
      <c r="L450" s="8">
        <v>45504</v>
      </c>
      <c r="M450" t="s">
        <v>1752</v>
      </c>
      <c r="N450">
        <v>47</v>
      </c>
      <c r="O450">
        <v>18</v>
      </c>
      <c r="P450" t="s">
        <v>45</v>
      </c>
    </row>
    <row r="451" spans="1:16" x14ac:dyDescent="0.35">
      <c r="A451" t="s">
        <v>1753</v>
      </c>
      <c r="B451" t="s">
        <v>153</v>
      </c>
      <c r="C451" t="s">
        <v>23</v>
      </c>
      <c r="D451" t="s">
        <v>1754</v>
      </c>
      <c r="E451" t="s">
        <v>1199</v>
      </c>
      <c r="F451">
        <v>19</v>
      </c>
      <c r="G451">
        <v>81</v>
      </c>
      <c r="H451">
        <v>33</v>
      </c>
      <c r="I451" t="s">
        <v>3477</v>
      </c>
      <c r="J451" s="8">
        <v>45472</v>
      </c>
      <c r="K451" s="8">
        <v>45710</v>
      </c>
      <c r="L451" s="8">
        <v>45650</v>
      </c>
      <c r="M451" t="s">
        <v>1755</v>
      </c>
      <c r="N451">
        <v>39</v>
      </c>
      <c r="O451">
        <v>85</v>
      </c>
      <c r="P451" t="s">
        <v>39</v>
      </c>
    </row>
    <row r="452" spans="1:16" x14ac:dyDescent="0.35">
      <c r="A452" t="s">
        <v>1756</v>
      </c>
      <c r="B452" t="s">
        <v>355</v>
      </c>
      <c r="C452" t="s">
        <v>48</v>
      </c>
      <c r="D452" t="s">
        <v>1757</v>
      </c>
      <c r="E452" t="s">
        <v>246</v>
      </c>
      <c r="F452">
        <v>47</v>
      </c>
      <c r="G452">
        <v>41</v>
      </c>
      <c r="H452">
        <v>63</v>
      </c>
      <c r="I452" t="s">
        <v>3481</v>
      </c>
      <c r="J452" s="8">
        <v>45397</v>
      </c>
      <c r="K452" s="8">
        <v>45444</v>
      </c>
      <c r="L452" s="8">
        <v>45666</v>
      </c>
      <c r="M452" t="s">
        <v>1758</v>
      </c>
      <c r="N452">
        <v>39</v>
      </c>
      <c r="O452">
        <v>54</v>
      </c>
      <c r="P452" t="s">
        <v>45</v>
      </c>
    </row>
    <row r="453" spans="1:16" x14ac:dyDescent="0.35">
      <c r="A453" t="s">
        <v>1759</v>
      </c>
      <c r="B453" t="s">
        <v>1126</v>
      </c>
      <c r="C453" t="s">
        <v>48</v>
      </c>
      <c r="D453" t="s">
        <v>1760</v>
      </c>
      <c r="E453" t="s">
        <v>1477</v>
      </c>
      <c r="F453">
        <v>98</v>
      </c>
      <c r="G453">
        <v>62</v>
      </c>
      <c r="H453">
        <v>97</v>
      </c>
      <c r="I453" t="s">
        <v>3531</v>
      </c>
      <c r="J453" s="8">
        <v>45381</v>
      </c>
      <c r="K453" s="8">
        <v>45529</v>
      </c>
      <c r="L453" s="8">
        <v>45697</v>
      </c>
      <c r="M453" t="s">
        <v>1761</v>
      </c>
      <c r="N453">
        <v>59</v>
      </c>
      <c r="O453">
        <v>19</v>
      </c>
      <c r="P453" t="s">
        <v>45</v>
      </c>
    </row>
    <row r="454" spans="1:16" x14ac:dyDescent="0.35">
      <c r="A454" t="s">
        <v>1762</v>
      </c>
      <c r="B454" t="s">
        <v>781</v>
      </c>
      <c r="C454" t="s">
        <v>48</v>
      </c>
      <c r="D454" t="s">
        <v>1763</v>
      </c>
      <c r="E454" t="s">
        <v>1764</v>
      </c>
      <c r="F454">
        <v>51</v>
      </c>
      <c r="G454">
        <v>72</v>
      </c>
      <c r="H454">
        <v>85</v>
      </c>
      <c r="I454" t="s">
        <v>3481</v>
      </c>
      <c r="J454" s="8">
        <v>45374</v>
      </c>
      <c r="K454" s="8">
        <v>45396</v>
      </c>
      <c r="L454" s="8">
        <v>45588</v>
      </c>
      <c r="M454" t="s">
        <v>1765</v>
      </c>
      <c r="N454">
        <v>23</v>
      </c>
      <c r="O454">
        <v>17</v>
      </c>
      <c r="P454" t="s">
        <v>45</v>
      </c>
    </row>
    <row r="455" spans="1:16" x14ac:dyDescent="0.35">
      <c r="A455" t="s">
        <v>1766</v>
      </c>
      <c r="B455" t="s">
        <v>801</v>
      </c>
      <c r="C455" t="s">
        <v>133</v>
      </c>
      <c r="D455" t="s">
        <v>1767</v>
      </c>
      <c r="E455" t="s">
        <v>639</v>
      </c>
      <c r="F455">
        <v>100</v>
      </c>
      <c r="G455">
        <v>99</v>
      </c>
      <c r="H455">
        <v>8</v>
      </c>
      <c r="I455" t="s">
        <v>3503</v>
      </c>
      <c r="J455" s="8">
        <v>45707</v>
      </c>
      <c r="K455" s="8">
        <v>45591</v>
      </c>
      <c r="L455" s="8">
        <v>45633</v>
      </c>
      <c r="M455" t="s">
        <v>1768</v>
      </c>
      <c r="N455">
        <v>54</v>
      </c>
      <c r="O455">
        <v>92</v>
      </c>
      <c r="P455" t="s">
        <v>27</v>
      </c>
    </row>
    <row r="456" spans="1:16" x14ac:dyDescent="0.35">
      <c r="A456" t="s">
        <v>1769</v>
      </c>
      <c r="B456" t="s">
        <v>1219</v>
      </c>
      <c r="C456" t="s">
        <v>65</v>
      </c>
      <c r="D456" t="s">
        <v>1770</v>
      </c>
      <c r="E456" t="s">
        <v>25</v>
      </c>
      <c r="F456">
        <v>55</v>
      </c>
      <c r="G456">
        <v>50</v>
      </c>
      <c r="H456">
        <v>56</v>
      </c>
      <c r="I456" t="s">
        <v>3549</v>
      </c>
      <c r="J456" s="8">
        <v>45444</v>
      </c>
      <c r="K456" s="8">
        <v>45605</v>
      </c>
      <c r="L456" s="8">
        <v>45590</v>
      </c>
      <c r="M456" t="s">
        <v>1771</v>
      </c>
      <c r="N456">
        <v>62</v>
      </c>
      <c r="O456">
        <v>26</v>
      </c>
      <c r="P456" t="s">
        <v>39</v>
      </c>
    </row>
    <row r="457" spans="1:16" x14ac:dyDescent="0.35">
      <c r="A457" t="s">
        <v>1772</v>
      </c>
      <c r="B457" t="s">
        <v>497</v>
      </c>
      <c r="C457" t="s">
        <v>65</v>
      </c>
      <c r="D457" t="s">
        <v>1773</v>
      </c>
      <c r="E457" t="s">
        <v>1774</v>
      </c>
      <c r="F457">
        <v>14</v>
      </c>
      <c r="G457">
        <v>87</v>
      </c>
      <c r="H457">
        <v>8</v>
      </c>
      <c r="I457" t="s">
        <v>3478</v>
      </c>
      <c r="J457" s="8">
        <v>45361</v>
      </c>
      <c r="K457" s="8">
        <v>45607</v>
      </c>
      <c r="L457" s="8">
        <v>45687</v>
      </c>
      <c r="M457" t="s">
        <v>1775</v>
      </c>
      <c r="N457">
        <v>90</v>
      </c>
      <c r="O457">
        <v>14</v>
      </c>
      <c r="P457" t="s">
        <v>45</v>
      </c>
    </row>
    <row r="458" spans="1:16" x14ac:dyDescent="0.35">
      <c r="A458" t="s">
        <v>1776</v>
      </c>
      <c r="B458" t="s">
        <v>158</v>
      </c>
      <c r="C458" t="s">
        <v>65</v>
      </c>
      <c r="D458" t="s">
        <v>1777</v>
      </c>
      <c r="E458" t="s">
        <v>296</v>
      </c>
      <c r="F458">
        <v>29</v>
      </c>
      <c r="G458">
        <v>33</v>
      </c>
      <c r="H458">
        <v>88</v>
      </c>
      <c r="I458" t="s">
        <v>3488</v>
      </c>
      <c r="J458" s="8">
        <v>45492</v>
      </c>
      <c r="K458" s="8">
        <v>45527</v>
      </c>
      <c r="L458" s="8">
        <v>45427</v>
      </c>
      <c r="M458" t="s">
        <v>1778</v>
      </c>
      <c r="N458">
        <v>50</v>
      </c>
      <c r="O458">
        <v>35</v>
      </c>
      <c r="P458" t="s">
        <v>27</v>
      </c>
    </row>
    <row r="459" spans="1:16" x14ac:dyDescent="0.35">
      <c r="A459" t="s">
        <v>1779</v>
      </c>
      <c r="B459" t="s">
        <v>446</v>
      </c>
      <c r="C459" t="s">
        <v>90</v>
      </c>
      <c r="D459" t="s">
        <v>1780</v>
      </c>
      <c r="E459" t="s">
        <v>944</v>
      </c>
      <c r="F459">
        <v>100</v>
      </c>
      <c r="G459">
        <v>1</v>
      </c>
      <c r="H459">
        <v>26</v>
      </c>
      <c r="I459" t="s">
        <v>3489</v>
      </c>
      <c r="J459" s="8">
        <v>45506</v>
      </c>
      <c r="K459" s="8">
        <v>45372</v>
      </c>
      <c r="L459" s="8">
        <v>45492</v>
      </c>
      <c r="M459" t="s">
        <v>1781</v>
      </c>
      <c r="N459">
        <v>47</v>
      </c>
      <c r="O459">
        <v>79</v>
      </c>
      <c r="P459" t="s">
        <v>45</v>
      </c>
    </row>
    <row r="460" spans="1:16" x14ac:dyDescent="0.35">
      <c r="A460" t="s">
        <v>1782</v>
      </c>
      <c r="B460" t="s">
        <v>329</v>
      </c>
      <c r="C460" t="s">
        <v>65</v>
      </c>
      <c r="D460" t="s">
        <v>1783</v>
      </c>
      <c r="E460" t="s">
        <v>1045</v>
      </c>
      <c r="F460">
        <v>49</v>
      </c>
      <c r="G460">
        <v>28</v>
      </c>
      <c r="H460">
        <v>74</v>
      </c>
      <c r="I460" t="s">
        <v>3476</v>
      </c>
      <c r="J460" s="8">
        <v>45666</v>
      </c>
      <c r="K460" s="8">
        <v>45671</v>
      </c>
      <c r="L460" s="8">
        <v>45407</v>
      </c>
      <c r="M460" t="s">
        <v>1784</v>
      </c>
      <c r="N460">
        <v>70</v>
      </c>
      <c r="O460">
        <v>38</v>
      </c>
      <c r="P460" t="s">
        <v>27</v>
      </c>
    </row>
    <row r="461" spans="1:16" x14ac:dyDescent="0.35">
      <c r="A461" t="s">
        <v>1785</v>
      </c>
      <c r="B461" t="s">
        <v>711</v>
      </c>
      <c r="C461" t="s">
        <v>59</v>
      </c>
      <c r="D461" t="s">
        <v>1786</v>
      </c>
      <c r="E461" t="s">
        <v>1243</v>
      </c>
      <c r="F461">
        <v>75</v>
      </c>
      <c r="G461">
        <v>61</v>
      </c>
      <c r="H461">
        <v>19</v>
      </c>
      <c r="I461" t="s">
        <v>3484</v>
      </c>
      <c r="J461" s="8">
        <v>45711</v>
      </c>
      <c r="K461" s="8">
        <v>45686</v>
      </c>
      <c r="L461" s="8">
        <v>45567</v>
      </c>
      <c r="M461" t="s">
        <v>1787</v>
      </c>
      <c r="N461">
        <v>79</v>
      </c>
      <c r="O461">
        <v>69</v>
      </c>
      <c r="P461" t="s">
        <v>39</v>
      </c>
    </row>
    <row r="462" spans="1:16" x14ac:dyDescent="0.35">
      <c r="A462" t="s">
        <v>1788</v>
      </c>
      <c r="B462" t="s">
        <v>364</v>
      </c>
      <c r="C462" t="s">
        <v>65</v>
      </c>
      <c r="D462" t="s">
        <v>1789</v>
      </c>
      <c r="E462" t="s">
        <v>1790</v>
      </c>
      <c r="F462">
        <v>82</v>
      </c>
      <c r="G462">
        <v>12</v>
      </c>
      <c r="H462">
        <v>94</v>
      </c>
      <c r="I462" t="s">
        <v>3550</v>
      </c>
      <c r="J462" s="8">
        <v>45350</v>
      </c>
      <c r="K462" s="8">
        <v>45463</v>
      </c>
      <c r="L462" s="8">
        <v>45678</v>
      </c>
      <c r="M462" t="s">
        <v>1791</v>
      </c>
      <c r="N462">
        <v>69</v>
      </c>
      <c r="O462">
        <v>93</v>
      </c>
      <c r="P462" t="s">
        <v>45</v>
      </c>
    </row>
    <row r="463" spans="1:16" x14ac:dyDescent="0.35">
      <c r="A463" t="s">
        <v>1792</v>
      </c>
      <c r="B463" t="s">
        <v>493</v>
      </c>
      <c r="C463" t="s">
        <v>65</v>
      </c>
      <c r="D463" t="s">
        <v>1793</v>
      </c>
      <c r="E463" t="s">
        <v>32</v>
      </c>
      <c r="F463">
        <v>68</v>
      </c>
      <c r="G463">
        <v>82</v>
      </c>
      <c r="H463">
        <v>58</v>
      </c>
      <c r="I463" t="s">
        <v>3518</v>
      </c>
      <c r="J463" s="8">
        <v>45390</v>
      </c>
      <c r="K463" s="8">
        <v>45528</v>
      </c>
      <c r="L463" s="8">
        <v>45387</v>
      </c>
      <c r="M463" t="s">
        <v>1794</v>
      </c>
      <c r="N463">
        <v>90</v>
      </c>
      <c r="O463">
        <v>2</v>
      </c>
      <c r="P463" t="s">
        <v>39</v>
      </c>
    </row>
    <row r="464" spans="1:16" x14ac:dyDescent="0.35">
      <c r="A464" t="s">
        <v>1795</v>
      </c>
      <c r="B464" t="s">
        <v>58</v>
      </c>
      <c r="C464" t="s">
        <v>59</v>
      </c>
      <c r="D464" t="s">
        <v>1796</v>
      </c>
      <c r="E464" t="s">
        <v>1797</v>
      </c>
      <c r="F464">
        <v>70</v>
      </c>
      <c r="G464">
        <v>96</v>
      </c>
      <c r="H464">
        <v>85</v>
      </c>
      <c r="I464" t="s">
        <v>3480</v>
      </c>
      <c r="J464" s="8">
        <v>45348</v>
      </c>
      <c r="K464" s="8">
        <v>45538</v>
      </c>
      <c r="L464" s="8">
        <v>45592</v>
      </c>
      <c r="M464" t="s">
        <v>1798</v>
      </c>
      <c r="N464">
        <v>34</v>
      </c>
      <c r="O464">
        <v>3</v>
      </c>
      <c r="P464" t="s">
        <v>45</v>
      </c>
    </row>
    <row r="465" spans="1:16" x14ac:dyDescent="0.35">
      <c r="A465" t="s">
        <v>1799</v>
      </c>
      <c r="B465" t="s">
        <v>1480</v>
      </c>
      <c r="C465" t="s">
        <v>133</v>
      </c>
      <c r="D465" t="s">
        <v>1800</v>
      </c>
      <c r="E465" t="s">
        <v>898</v>
      </c>
      <c r="F465">
        <v>49</v>
      </c>
      <c r="G465">
        <v>48</v>
      </c>
      <c r="H465">
        <v>62</v>
      </c>
      <c r="I465" t="s">
        <v>3495</v>
      </c>
      <c r="J465" s="8">
        <v>45551</v>
      </c>
      <c r="K465" s="8">
        <v>45347</v>
      </c>
      <c r="L465" s="8">
        <v>45518</v>
      </c>
      <c r="M465" t="s">
        <v>1801</v>
      </c>
      <c r="N465">
        <v>96</v>
      </c>
      <c r="O465">
        <v>37</v>
      </c>
      <c r="P465" t="s">
        <v>45</v>
      </c>
    </row>
    <row r="466" spans="1:16" x14ac:dyDescent="0.35">
      <c r="A466" t="s">
        <v>1802</v>
      </c>
      <c r="B466" t="s">
        <v>1043</v>
      </c>
      <c r="C466" t="s">
        <v>133</v>
      </c>
      <c r="D466" t="s">
        <v>1803</v>
      </c>
      <c r="E466" t="s">
        <v>1804</v>
      </c>
      <c r="F466">
        <v>89</v>
      </c>
      <c r="G466">
        <v>26</v>
      </c>
      <c r="H466">
        <v>36</v>
      </c>
      <c r="I466" t="s">
        <v>3527</v>
      </c>
      <c r="J466" s="8">
        <v>45589</v>
      </c>
      <c r="K466" s="8">
        <v>45503</v>
      </c>
      <c r="L466" s="8">
        <v>45457</v>
      </c>
      <c r="M466" t="s">
        <v>1805</v>
      </c>
      <c r="N466">
        <v>48</v>
      </c>
      <c r="O466">
        <v>94</v>
      </c>
      <c r="P466" t="s">
        <v>45</v>
      </c>
    </row>
    <row r="467" spans="1:16" x14ac:dyDescent="0.35">
      <c r="A467" t="s">
        <v>1806</v>
      </c>
      <c r="B467" t="s">
        <v>451</v>
      </c>
      <c r="C467" t="s">
        <v>65</v>
      </c>
      <c r="D467" t="s">
        <v>1807</v>
      </c>
      <c r="E467" t="s">
        <v>952</v>
      </c>
      <c r="F467">
        <v>88</v>
      </c>
      <c r="G467">
        <v>53</v>
      </c>
      <c r="H467">
        <v>44</v>
      </c>
      <c r="I467" t="s">
        <v>3492</v>
      </c>
      <c r="J467" s="8">
        <v>45661</v>
      </c>
      <c r="K467" s="8">
        <v>45650</v>
      </c>
      <c r="L467" s="8">
        <v>45694</v>
      </c>
      <c r="M467" t="s">
        <v>1808</v>
      </c>
      <c r="N467">
        <v>56</v>
      </c>
      <c r="O467">
        <v>14</v>
      </c>
      <c r="P467" t="s">
        <v>27</v>
      </c>
    </row>
    <row r="468" spans="1:16" x14ac:dyDescent="0.35">
      <c r="A468" t="s">
        <v>1809</v>
      </c>
      <c r="B468" t="s">
        <v>673</v>
      </c>
      <c r="C468" t="s">
        <v>30</v>
      </c>
      <c r="D468" t="s">
        <v>1810</v>
      </c>
      <c r="E468" t="s">
        <v>933</v>
      </c>
      <c r="F468">
        <v>39</v>
      </c>
      <c r="G468">
        <v>88</v>
      </c>
      <c r="H468">
        <v>100</v>
      </c>
      <c r="I468" t="s">
        <v>3486</v>
      </c>
      <c r="J468" s="8">
        <v>45621</v>
      </c>
      <c r="K468" s="8">
        <v>45687</v>
      </c>
      <c r="L468" s="8">
        <v>45427</v>
      </c>
      <c r="M468" t="s">
        <v>1811</v>
      </c>
      <c r="N468">
        <v>28</v>
      </c>
      <c r="O468">
        <v>18</v>
      </c>
      <c r="P468" t="s">
        <v>39</v>
      </c>
    </row>
    <row r="469" spans="1:16" x14ac:dyDescent="0.35">
      <c r="A469" t="s">
        <v>1812</v>
      </c>
      <c r="B469" t="s">
        <v>595</v>
      </c>
      <c r="C469" t="s">
        <v>48</v>
      </c>
      <c r="D469" t="s">
        <v>1813</v>
      </c>
      <c r="E469" t="s">
        <v>548</v>
      </c>
      <c r="F469">
        <v>87</v>
      </c>
      <c r="G469">
        <v>91</v>
      </c>
      <c r="H469">
        <v>94</v>
      </c>
      <c r="I469" t="s">
        <v>3480</v>
      </c>
      <c r="J469" s="8">
        <v>45477</v>
      </c>
      <c r="K469" s="8">
        <v>45560</v>
      </c>
      <c r="L469" s="8">
        <v>45468</v>
      </c>
      <c r="M469" t="s">
        <v>1814</v>
      </c>
      <c r="N469">
        <v>47</v>
      </c>
      <c r="O469">
        <v>4</v>
      </c>
      <c r="P469" t="s">
        <v>27</v>
      </c>
    </row>
    <row r="470" spans="1:16" x14ac:dyDescent="0.35">
      <c r="A470" t="s">
        <v>1815</v>
      </c>
      <c r="B470" t="s">
        <v>168</v>
      </c>
      <c r="C470" t="s">
        <v>90</v>
      </c>
      <c r="D470" t="s">
        <v>1816</v>
      </c>
      <c r="E470" t="s">
        <v>448</v>
      </c>
      <c r="F470">
        <v>93</v>
      </c>
      <c r="G470">
        <v>50</v>
      </c>
      <c r="H470">
        <v>43</v>
      </c>
      <c r="I470" t="s">
        <v>3489</v>
      </c>
      <c r="J470" s="8">
        <v>45470</v>
      </c>
      <c r="K470" s="8">
        <v>45428</v>
      </c>
      <c r="L470" s="8">
        <v>45574</v>
      </c>
      <c r="M470" t="s">
        <v>1817</v>
      </c>
      <c r="N470">
        <v>76</v>
      </c>
      <c r="O470">
        <v>35</v>
      </c>
      <c r="P470" t="s">
        <v>27</v>
      </c>
    </row>
    <row r="471" spans="1:16" x14ac:dyDescent="0.35">
      <c r="A471" t="s">
        <v>1818</v>
      </c>
      <c r="B471" t="s">
        <v>729</v>
      </c>
      <c r="C471" t="s">
        <v>65</v>
      </c>
      <c r="D471" t="s">
        <v>1819</v>
      </c>
      <c r="E471" t="s">
        <v>1820</v>
      </c>
      <c r="F471">
        <v>23</v>
      </c>
      <c r="G471">
        <v>21</v>
      </c>
      <c r="H471">
        <v>59</v>
      </c>
      <c r="I471" t="s">
        <v>3502</v>
      </c>
      <c r="J471" s="8">
        <v>45519</v>
      </c>
      <c r="K471" s="8">
        <v>45361</v>
      </c>
      <c r="L471" s="8">
        <v>45572</v>
      </c>
      <c r="M471" t="s">
        <v>1821</v>
      </c>
      <c r="N471">
        <v>81</v>
      </c>
      <c r="O471">
        <v>8</v>
      </c>
      <c r="P471" t="s">
        <v>45</v>
      </c>
    </row>
    <row r="472" spans="1:16" x14ac:dyDescent="0.35">
      <c r="A472" t="s">
        <v>1822</v>
      </c>
      <c r="B472" t="s">
        <v>1434</v>
      </c>
      <c r="C472" t="s">
        <v>90</v>
      </c>
      <c r="D472" t="s">
        <v>1823</v>
      </c>
      <c r="E472" t="s">
        <v>1824</v>
      </c>
      <c r="F472">
        <v>94</v>
      </c>
      <c r="G472">
        <v>34</v>
      </c>
      <c r="H472">
        <v>21</v>
      </c>
      <c r="I472" t="s">
        <v>3531</v>
      </c>
      <c r="J472" s="8">
        <v>45369</v>
      </c>
      <c r="K472" s="8">
        <v>45371</v>
      </c>
      <c r="L472" s="8">
        <v>45597</v>
      </c>
      <c r="M472" t="s">
        <v>1825</v>
      </c>
      <c r="N472">
        <v>74</v>
      </c>
      <c r="O472">
        <v>70</v>
      </c>
      <c r="P472" t="s">
        <v>39</v>
      </c>
    </row>
    <row r="473" spans="1:16" x14ac:dyDescent="0.35">
      <c r="A473" t="s">
        <v>1826</v>
      </c>
      <c r="B473" t="s">
        <v>984</v>
      </c>
      <c r="C473" t="s">
        <v>90</v>
      </c>
      <c r="D473" t="s">
        <v>1827</v>
      </c>
      <c r="E473" t="s">
        <v>635</v>
      </c>
      <c r="F473">
        <v>38</v>
      </c>
      <c r="G473">
        <v>43</v>
      </c>
      <c r="H473">
        <v>91</v>
      </c>
      <c r="I473" t="s">
        <v>3478</v>
      </c>
      <c r="J473" s="8">
        <v>45402</v>
      </c>
      <c r="K473" s="8">
        <v>45522</v>
      </c>
      <c r="L473" s="8">
        <v>45706</v>
      </c>
      <c r="M473" t="s">
        <v>1828</v>
      </c>
      <c r="N473">
        <v>72</v>
      </c>
      <c r="O473">
        <v>64</v>
      </c>
      <c r="P473" t="s">
        <v>45</v>
      </c>
    </row>
    <row r="474" spans="1:16" x14ac:dyDescent="0.35">
      <c r="A474" t="s">
        <v>1829</v>
      </c>
      <c r="B474" t="s">
        <v>1193</v>
      </c>
      <c r="C474" t="s">
        <v>65</v>
      </c>
      <c r="D474" t="s">
        <v>1830</v>
      </c>
      <c r="E474" t="s">
        <v>670</v>
      </c>
      <c r="F474">
        <v>11</v>
      </c>
      <c r="G474">
        <v>9</v>
      </c>
      <c r="H474">
        <v>65</v>
      </c>
      <c r="I474" t="s">
        <v>3484</v>
      </c>
      <c r="J474" s="8">
        <v>45578</v>
      </c>
      <c r="K474" s="8">
        <v>45630</v>
      </c>
      <c r="L474" s="8">
        <v>45453</v>
      </c>
      <c r="M474" t="s">
        <v>1831</v>
      </c>
      <c r="N474">
        <v>48</v>
      </c>
      <c r="O474">
        <v>96</v>
      </c>
      <c r="P474" t="s">
        <v>27</v>
      </c>
    </row>
    <row r="475" spans="1:16" x14ac:dyDescent="0.35">
      <c r="A475" t="s">
        <v>1832</v>
      </c>
      <c r="B475" t="s">
        <v>337</v>
      </c>
      <c r="C475" t="s">
        <v>30</v>
      </c>
      <c r="D475" t="s">
        <v>1833</v>
      </c>
      <c r="E475" t="s">
        <v>1589</v>
      </c>
      <c r="F475">
        <v>60</v>
      </c>
      <c r="G475">
        <v>27</v>
      </c>
      <c r="H475">
        <v>58</v>
      </c>
      <c r="I475" t="s">
        <v>3551</v>
      </c>
      <c r="J475" s="8">
        <v>45652</v>
      </c>
      <c r="K475" s="8">
        <v>45470</v>
      </c>
      <c r="L475" s="8">
        <v>45615</v>
      </c>
      <c r="M475" t="s">
        <v>1834</v>
      </c>
      <c r="N475">
        <v>43</v>
      </c>
      <c r="O475">
        <v>91</v>
      </c>
      <c r="P475" t="s">
        <v>45</v>
      </c>
    </row>
    <row r="476" spans="1:16" x14ac:dyDescent="0.35">
      <c r="A476" t="s">
        <v>1835</v>
      </c>
      <c r="B476" t="s">
        <v>604</v>
      </c>
      <c r="C476" t="s">
        <v>59</v>
      </c>
      <c r="D476" t="s">
        <v>1836</v>
      </c>
      <c r="E476" t="s">
        <v>300</v>
      </c>
      <c r="F476">
        <v>50</v>
      </c>
      <c r="G476">
        <v>36</v>
      </c>
      <c r="H476">
        <v>81</v>
      </c>
      <c r="I476" t="s">
        <v>3503</v>
      </c>
      <c r="J476" s="8">
        <v>45561</v>
      </c>
      <c r="K476" s="8">
        <v>45424</v>
      </c>
      <c r="L476" s="8">
        <v>45447</v>
      </c>
      <c r="M476" t="s">
        <v>1837</v>
      </c>
      <c r="N476">
        <v>27</v>
      </c>
      <c r="O476">
        <v>6</v>
      </c>
      <c r="P476" t="s">
        <v>27</v>
      </c>
    </row>
    <row r="477" spans="1:16" x14ac:dyDescent="0.35">
      <c r="A477" t="s">
        <v>1838</v>
      </c>
      <c r="B477" t="s">
        <v>64</v>
      </c>
      <c r="C477" t="s">
        <v>65</v>
      </c>
      <c r="D477" t="s">
        <v>1839</v>
      </c>
      <c r="E477" t="s">
        <v>925</v>
      </c>
      <c r="F477">
        <v>90</v>
      </c>
      <c r="G477">
        <v>3</v>
      </c>
      <c r="H477">
        <v>49</v>
      </c>
      <c r="I477" t="s">
        <v>3480</v>
      </c>
      <c r="J477" s="8">
        <v>45418</v>
      </c>
      <c r="K477" s="8">
        <v>45415</v>
      </c>
      <c r="L477" s="8">
        <v>45701</v>
      </c>
      <c r="M477" t="s">
        <v>1840</v>
      </c>
      <c r="N477">
        <v>51</v>
      </c>
      <c r="O477">
        <v>87</v>
      </c>
      <c r="P477" t="s">
        <v>27</v>
      </c>
    </row>
    <row r="478" spans="1:16" x14ac:dyDescent="0.35">
      <c r="A478" t="s">
        <v>1841</v>
      </c>
      <c r="B478" t="s">
        <v>386</v>
      </c>
      <c r="C478" t="s">
        <v>23</v>
      </c>
      <c r="D478" t="s">
        <v>1842</v>
      </c>
      <c r="E478" t="s">
        <v>1262</v>
      </c>
      <c r="F478">
        <v>86</v>
      </c>
      <c r="G478">
        <v>80</v>
      </c>
      <c r="H478">
        <v>80</v>
      </c>
      <c r="I478" t="s">
        <v>3474</v>
      </c>
      <c r="J478" s="8">
        <v>45369</v>
      </c>
      <c r="K478" s="8">
        <v>45425</v>
      </c>
      <c r="L478" s="8">
        <v>45432</v>
      </c>
      <c r="M478" t="s">
        <v>1843</v>
      </c>
      <c r="N478">
        <v>22</v>
      </c>
      <c r="O478">
        <v>67</v>
      </c>
      <c r="P478" t="s">
        <v>27</v>
      </c>
    </row>
    <row r="479" spans="1:16" x14ac:dyDescent="0.35">
      <c r="A479" t="s">
        <v>1844</v>
      </c>
      <c r="B479" t="s">
        <v>595</v>
      </c>
      <c r="C479" t="s">
        <v>48</v>
      </c>
      <c r="D479" t="s">
        <v>1845</v>
      </c>
      <c r="E479" t="s">
        <v>652</v>
      </c>
      <c r="F479">
        <v>86</v>
      </c>
      <c r="G479">
        <v>66</v>
      </c>
      <c r="H479">
        <v>24</v>
      </c>
      <c r="I479" t="s">
        <v>3480</v>
      </c>
      <c r="J479" s="8">
        <v>45502</v>
      </c>
      <c r="K479" s="8">
        <v>45692</v>
      </c>
      <c r="L479" s="8">
        <v>45677</v>
      </c>
      <c r="M479" t="s">
        <v>1846</v>
      </c>
      <c r="N479">
        <v>30</v>
      </c>
      <c r="O479">
        <v>6</v>
      </c>
      <c r="P479" t="s">
        <v>27</v>
      </c>
    </row>
    <row r="480" spans="1:16" x14ac:dyDescent="0.35">
      <c r="A480" t="s">
        <v>1847</v>
      </c>
      <c r="B480" t="s">
        <v>502</v>
      </c>
      <c r="C480" t="s">
        <v>23</v>
      </c>
      <c r="D480" t="s">
        <v>1848</v>
      </c>
      <c r="E480" t="s">
        <v>194</v>
      </c>
      <c r="F480">
        <v>54</v>
      </c>
      <c r="G480">
        <v>17</v>
      </c>
      <c r="H480">
        <v>90</v>
      </c>
      <c r="I480" t="s">
        <v>3506</v>
      </c>
      <c r="J480" s="8">
        <v>45680</v>
      </c>
      <c r="K480" s="8">
        <v>45511</v>
      </c>
      <c r="L480" s="8">
        <v>45696</v>
      </c>
      <c r="M480" t="s">
        <v>1849</v>
      </c>
      <c r="N480">
        <v>60</v>
      </c>
      <c r="O480">
        <v>20</v>
      </c>
      <c r="P480" t="s">
        <v>45</v>
      </c>
    </row>
    <row r="481" spans="1:16" x14ac:dyDescent="0.35">
      <c r="A481" t="s">
        <v>1850</v>
      </c>
      <c r="B481" t="s">
        <v>781</v>
      </c>
      <c r="C481" t="s">
        <v>48</v>
      </c>
      <c r="D481" t="s">
        <v>1851</v>
      </c>
      <c r="E481" t="s">
        <v>1312</v>
      </c>
      <c r="F481">
        <v>27</v>
      </c>
      <c r="G481">
        <v>64</v>
      </c>
      <c r="H481">
        <v>43</v>
      </c>
      <c r="I481" t="s">
        <v>3481</v>
      </c>
      <c r="J481" s="8">
        <v>45610</v>
      </c>
      <c r="K481" s="8">
        <v>45626</v>
      </c>
      <c r="L481" s="8">
        <v>45373</v>
      </c>
      <c r="M481" t="s">
        <v>1852</v>
      </c>
      <c r="N481">
        <v>70</v>
      </c>
      <c r="O481">
        <v>58</v>
      </c>
      <c r="P481" t="s">
        <v>27</v>
      </c>
    </row>
    <row r="482" spans="1:16" x14ac:dyDescent="0.35">
      <c r="A482" t="s">
        <v>1853</v>
      </c>
      <c r="B482" t="s">
        <v>89</v>
      </c>
      <c r="C482" t="s">
        <v>90</v>
      </c>
      <c r="D482" t="s">
        <v>1854</v>
      </c>
      <c r="E482" t="s">
        <v>1396</v>
      </c>
      <c r="F482">
        <v>50</v>
      </c>
      <c r="G482">
        <v>58</v>
      </c>
      <c r="H482">
        <v>78</v>
      </c>
      <c r="I482" t="s">
        <v>3481</v>
      </c>
      <c r="J482" s="8">
        <v>45579</v>
      </c>
      <c r="K482" s="8">
        <v>45399</v>
      </c>
      <c r="L482" s="8">
        <v>45441</v>
      </c>
      <c r="M482" t="s">
        <v>1855</v>
      </c>
      <c r="N482">
        <v>83</v>
      </c>
      <c r="O482">
        <v>49</v>
      </c>
      <c r="P482" t="s">
        <v>45</v>
      </c>
    </row>
    <row r="483" spans="1:16" x14ac:dyDescent="0.35">
      <c r="A483" t="s">
        <v>1856</v>
      </c>
      <c r="B483" t="s">
        <v>202</v>
      </c>
      <c r="C483" t="s">
        <v>48</v>
      </c>
      <c r="D483" t="s">
        <v>1857</v>
      </c>
      <c r="E483" t="s">
        <v>940</v>
      </c>
      <c r="F483">
        <v>68</v>
      </c>
      <c r="G483">
        <v>10</v>
      </c>
      <c r="H483">
        <v>29</v>
      </c>
      <c r="I483" t="s">
        <v>3484</v>
      </c>
      <c r="J483" s="8">
        <v>45596</v>
      </c>
      <c r="K483" s="8">
        <v>45450</v>
      </c>
      <c r="L483" s="8">
        <v>45374</v>
      </c>
      <c r="M483" t="s">
        <v>1858</v>
      </c>
      <c r="N483">
        <v>37</v>
      </c>
      <c r="O483">
        <v>11</v>
      </c>
      <c r="P483" t="s">
        <v>27</v>
      </c>
    </row>
    <row r="484" spans="1:16" x14ac:dyDescent="0.35">
      <c r="A484" t="s">
        <v>1859</v>
      </c>
      <c r="B484" t="s">
        <v>266</v>
      </c>
      <c r="C484" t="s">
        <v>90</v>
      </c>
      <c r="D484" t="s">
        <v>1860</v>
      </c>
      <c r="E484" t="s">
        <v>766</v>
      </c>
      <c r="F484">
        <v>22</v>
      </c>
      <c r="G484">
        <v>60</v>
      </c>
      <c r="H484">
        <v>73</v>
      </c>
      <c r="I484" t="s">
        <v>3512</v>
      </c>
      <c r="J484" s="8">
        <v>45482</v>
      </c>
      <c r="K484" s="8">
        <v>45604</v>
      </c>
      <c r="L484" s="8">
        <v>45485</v>
      </c>
      <c r="M484" t="s">
        <v>1861</v>
      </c>
      <c r="N484">
        <v>62</v>
      </c>
      <c r="O484">
        <v>3</v>
      </c>
      <c r="P484" t="s">
        <v>39</v>
      </c>
    </row>
    <row r="485" spans="1:16" x14ac:dyDescent="0.35">
      <c r="A485" t="s">
        <v>1862</v>
      </c>
      <c r="B485" t="s">
        <v>451</v>
      </c>
      <c r="C485" t="s">
        <v>65</v>
      </c>
      <c r="D485" t="s">
        <v>1863</v>
      </c>
      <c r="E485" t="s">
        <v>1025</v>
      </c>
      <c r="F485">
        <v>50</v>
      </c>
      <c r="G485">
        <v>14</v>
      </c>
      <c r="H485">
        <v>6</v>
      </c>
      <c r="I485" t="s">
        <v>3530</v>
      </c>
      <c r="J485" s="8">
        <v>45445</v>
      </c>
      <c r="K485" s="8">
        <v>45645</v>
      </c>
      <c r="L485" s="8">
        <v>45543</v>
      </c>
      <c r="M485" t="s">
        <v>1864</v>
      </c>
      <c r="N485">
        <v>60</v>
      </c>
      <c r="O485">
        <v>72</v>
      </c>
      <c r="P485" t="s">
        <v>39</v>
      </c>
    </row>
    <row r="486" spans="1:16" x14ac:dyDescent="0.35">
      <c r="A486" t="s">
        <v>1865</v>
      </c>
      <c r="B486" t="s">
        <v>369</v>
      </c>
      <c r="C486" t="s">
        <v>48</v>
      </c>
      <c r="D486" t="s">
        <v>1866</v>
      </c>
      <c r="E486" t="s">
        <v>1867</v>
      </c>
      <c r="F486">
        <v>26</v>
      </c>
      <c r="G486">
        <v>12</v>
      </c>
      <c r="H486">
        <v>43</v>
      </c>
      <c r="I486" t="s">
        <v>3552</v>
      </c>
      <c r="J486" s="8">
        <v>45674</v>
      </c>
      <c r="K486" s="8">
        <v>45551</v>
      </c>
      <c r="L486" s="8">
        <v>45712</v>
      </c>
      <c r="M486" t="s">
        <v>1868</v>
      </c>
      <c r="N486">
        <v>73</v>
      </c>
      <c r="O486">
        <v>20</v>
      </c>
      <c r="P486" t="s">
        <v>39</v>
      </c>
    </row>
    <row r="487" spans="1:16" x14ac:dyDescent="0.35">
      <c r="A487" t="s">
        <v>1869</v>
      </c>
      <c r="B487" t="s">
        <v>337</v>
      </c>
      <c r="C487" t="s">
        <v>30</v>
      </c>
      <c r="D487" t="s">
        <v>1870</v>
      </c>
      <c r="E487" t="s">
        <v>1871</v>
      </c>
      <c r="F487">
        <v>62</v>
      </c>
      <c r="G487">
        <v>31</v>
      </c>
      <c r="H487">
        <v>24</v>
      </c>
      <c r="I487" t="s">
        <v>3499</v>
      </c>
      <c r="J487" s="8">
        <v>45412</v>
      </c>
      <c r="K487" s="8">
        <v>45453</v>
      </c>
      <c r="L487" s="8">
        <v>45694</v>
      </c>
      <c r="M487" t="s">
        <v>1872</v>
      </c>
      <c r="N487">
        <v>89</v>
      </c>
      <c r="O487">
        <v>100</v>
      </c>
      <c r="P487" t="s">
        <v>39</v>
      </c>
    </row>
    <row r="488" spans="1:16" x14ac:dyDescent="0.35">
      <c r="A488" t="s">
        <v>1873</v>
      </c>
      <c r="B488" t="s">
        <v>350</v>
      </c>
      <c r="C488" t="s">
        <v>48</v>
      </c>
      <c r="D488" t="s">
        <v>1874</v>
      </c>
      <c r="E488" t="s">
        <v>280</v>
      </c>
      <c r="F488">
        <v>79</v>
      </c>
      <c r="G488">
        <v>72</v>
      </c>
      <c r="H488">
        <v>6</v>
      </c>
      <c r="I488" t="s">
        <v>3478</v>
      </c>
      <c r="J488" s="8">
        <v>45484</v>
      </c>
      <c r="K488" s="8">
        <v>45418</v>
      </c>
      <c r="L488" s="8">
        <v>45413</v>
      </c>
      <c r="M488" t="s">
        <v>1875</v>
      </c>
      <c r="N488">
        <v>67</v>
      </c>
      <c r="O488">
        <v>63</v>
      </c>
      <c r="P488" t="s">
        <v>45</v>
      </c>
    </row>
    <row r="489" spans="1:16" x14ac:dyDescent="0.35">
      <c r="A489" t="s">
        <v>1876</v>
      </c>
      <c r="B489" t="s">
        <v>555</v>
      </c>
      <c r="C489" t="s">
        <v>48</v>
      </c>
      <c r="D489" t="s">
        <v>1877</v>
      </c>
      <c r="E489" t="s">
        <v>1444</v>
      </c>
      <c r="F489">
        <v>73</v>
      </c>
      <c r="G489">
        <v>90</v>
      </c>
      <c r="H489">
        <v>77</v>
      </c>
      <c r="I489" t="s">
        <v>3478</v>
      </c>
      <c r="J489" s="8">
        <v>45348</v>
      </c>
      <c r="K489" s="8">
        <v>45519</v>
      </c>
      <c r="L489" s="8">
        <v>45357</v>
      </c>
      <c r="M489" t="s">
        <v>1878</v>
      </c>
      <c r="N489">
        <v>75</v>
      </c>
      <c r="O489">
        <v>19</v>
      </c>
      <c r="P489" t="s">
        <v>39</v>
      </c>
    </row>
    <row r="490" spans="1:16" x14ac:dyDescent="0.35">
      <c r="A490" t="s">
        <v>1879</v>
      </c>
      <c r="B490" t="s">
        <v>312</v>
      </c>
      <c r="C490" t="s">
        <v>48</v>
      </c>
      <c r="D490" t="s">
        <v>1880</v>
      </c>
      <c r="E490" t="s">
        <v>762</v>
      </c>
      <c r="F490">
        <v>18</v>
      </c>
      <c r="G490">
        <v>50</v>
      </c>
      <c r="H490">
        <v>77</v>
      </c>
      <c r="I490" t="s">
        <v>3553</v>
      </c>
      <c r="J490" s="8">
        <v>45599</v>
      </c>
      <c r="K490" s="8">
        <v>45534</v>
      </c>
      <c r="L490" s="8">
        <v>45707</v>
      </c>
      <c r="M490" t="s">
        <v>1881</v>
      </c>
      <c r="N490">
        <v>44</v>
      </c>
      <c r="O490">
        <v>19</v>
      </c>
      <c r="P490" t="s">
        <v>45</v>
      </c>
    </row>
    <row r="491" spans="1:16" x14ac:dyDescent="0.35">
      <c r="A491" t="s">
        <v>1882</v>
      </c>
      <c r="B491" t="s">
        <v>1003</v>
      </c>
      <c r="C491" t="s">
        <v>48</v>
      </c>
      <c r="D491" t="s">
        <v>1883</v>
      </c>
      <c r="E491" t="s">
        <v>569</v>
      </c>
      <c r="F491">
        <v>79</v>
      </c>
      <c r="G491">
        <v>74</v>
      </c>
      <c r="H491">
        <v>87</v>
      </c>
      <c r="I491" t="s">
        <v>3478</v>
      </c>
      <c r="J491" s="8">
        <v>45511</v>
      </c>
      <c r="K491" s="8">
        <v>45391</v>
      </c>
      <c r="L491" s="8">
        <v>45583</v>
      </c>
      <c r="M491" t="s">
        <v>1884</v>
      </c>
      <c r="N491">
        <v>80</v>
      </c>
      <c r="O491">
        <v>26</v>
      </c>
      <c r="P491" t="s">
        <v>39</v>
      </c>
    </row>
    <row r="492" spans="1:16" x14ac:dyDescent="0.35">
      <c r="A492" t="s">
        <v>1885</v>
      </c>
      <c r="B492" t="s">
        <v>29</v>
      </c>
      <c r="C492" t="s">
        <v>30</v>
      </c>
      <c r="D492" t="s">
        <v>1886</v>
      </c>
      <c r="E492" t="s">
        <v>250</v>
      </c>
      <c r="F492">
        <v>23</v>
      </c>
      <c r="G492">
        <v>13</v>
      </c>
      <c r="H492">
        <v>15</v>
      </c>
      <c r="I492" t="s">
        <v>3475</v>
      </c>
      <c r="J492" s="8">
        <v>45378</v>
      </c>
      <c r="K492" s="8">
        <v>45433</v>
      </c>
      <c r="L492" s="8">
        <v>45617</v>
      </c>
      <c r="M492" t="s">
        <v>1887</v>
      </c>
      <c r="N492">
        <v>31</v>
      </c>
      <c r="O492">
        <v>28</v>
      </c>
      <c r="P492" t="s">
        <v>39</v>
      </c>
    </row>
    <row r="493" spans="1:16" x14ac:dyDescent="0.35">
      <c r="A493" t="s">
        <v>1888</v>
      </c>
      <c r="B493" t="s">
        <v>1100</v>
      </c>
      <c r="C493" t="s">
        <v>65</v>
      </c>
      <c r="D493" t="s">
        <v>1889</v>
      </c>
      <c r="E493" t="s">
        <v>1890</v>
      </c>
      <c r="F493">
        <v>18</v>
      </c>
      <c r="G493">
        <v>64</v>
      </c>
      <c r="H493">
        <v>86</v>
      </c>
      <c r="I493" t="s">
        <v>3482</v>
      </c>
      <c r="J493" s="8">
        <v>45548</v>
      </c>
      <c r="K493" s="8">
        <v>45452</v>
      </c>
      <c r="L493" s="8">
        <v>45605</v>
      </c>
      <c r="M493" t="s">
        <v>1891</v>
      </c>
      <c r="N493">
        <v>73</v>
      </c>
      <c r="O493">
        <v>38</v>
      </c>
      <c r="P493" t="s">
        <v>45</v>
      </c>
    </row>
    <row r="494" spans="1:16" x14ac:dyDescent="0.35">
      <c r="A494" t="s">
        <v>1892</v>
      </c>
      <c r="B494" t="s">
        <v>865</v>
      </c>
      <c r="C494" t="s">
        <v>59</v>
      </c>
      <c r="D494" t="s">
        <v>1893</v>
      </c>
      <c r="E494" t="s">
        <v>778</v>
      </c>
      <c r="F494">
        <v>24</v>
      </c>
      <c r="G494">
        <v>35</v>
      </c>
      <c r="H494">
        <v>14</v>
      </c>
      <c r="I494" t="s">
        <v>3480</v>
      </c>
      <c r="J494" s="8">
        <v>45416</v>
      </c>
      <c r="K494" s="8">
        <v>45467</v>
      </c>
      <c r="L494" s="8">
        <v>45627</v>
      </c>
      <c r="M494" t="s">
        <v>1894</v>
      </c>
      <c r="N494">
        <v>91</v>
      </c>
      <c r="O494">
        <v>71</v>
      </c>
      <c r="P494" t="s">
        <v>39</v>
      </c>
    </row>
    <row r="495" spans="1:16" x14ac:dyDescent="0.35">
      <c r="A495" t="s">
        <v>1895</v>
      </c>
      <c r="B495" t="s">
        <v>781</v>
      </c>
      <c r="C495" t="s">
        <v>48</v>
      </c>
      <c r="D495" t="s">
        <v>1896</v>
      </c>
      <c r="E495" t="s">
        <v>610</v>
      </c>
      <c r="F495">
        <v>53</v>
      </c>
      <c r="G495">
        <v>41</v>
      </c>
      <c r="H495">
        <v>30</v>
      </c>
      <c r="I495" t="s">
        <v>3481</v>
      </c>
      <c r="J495" s="8">
        <v>45367</v>
      </c>
      <c r="K495" s="8">
        <v>45670</v>
      </c>
      <c r="L495" s="8">
        <v>45554</v>
      </c>
      <c r="M495" t="s">
        <v>1897</v>
      </c>
      <c r="N495">
        <v>24</v>
      </c>
      <c r="O495">
        <v>77</v>
      </c>
      <c r="P495" t="s">
        <v>27</v>
      </c>
    </row>
    <row r="496" spans="1:16" x14ac:dyDescent="0.35">
      <c r="A496" t="s">
        <v>1898</v>
      </c>
      <c r="B496" t="s">
        <v>1219</v>
      </c>
      <c r="C496" t="s">
        <v>65</v>
      </c>
      <c r="D496" t="s">
        <v>1899</v>
      </c>
      <c r="E496" t="s">
        <v>429</v>
      </c>
      <c r="F496">
        <v>85</v>
      </c>
      <c r="G496">
        <v>83</v>
      </c>
      <c r="H496">
        <v>13</v>
      </c>
      <c r="I496" t="s">
        <v>3479</v>
      </c>
      <c r="J496" s="8">
        <v>45387</v>
      </c>
      <c r="K496" s="8">
        <v>45368</v>
      </c>
      <c r="L496" s="8">
        <v>45690</v>
      </c>
      <c r="M496" t="s">
        <v>1900</v>
      </c>
      <c r="N496">
        <v>49</v>
      </c>
      <c r="O496">
        <v>75</v>
      </c>
      <c r="P496" t="s">
        <v>39</v>
      </c>
    </row>
    <row r="497" spans="1:16" x14ac:dyDescent="0.35">
      <c r="A497" t="s">
        <v>1901</v>
      </c>
      <c r="B497" t="s">
        <v>738</v>
      </c>
      <c r="C497" t="s">
        <v>59</v>
      </c>
      <c r="D497" t="s">
        <v>1902</v>
      </c>
      <c r="E497" t="s">
        <v>1221</v>
      </c>
      <c r="F497">
        <v>15</v>
      </c>
      <c r="G497">
        <v>34</v>
      </c>
      <c r="H497">
        <v>57</v>
      </c>
      <c r="I497" t="s">
        <v>3516</v>
      </c>
      <c r="J497" s="8">
        <v>45526</v>
      </c>
      <c r="K497" s="8">
        <v>45669</v>
      </c>
      <c r="L497" s="8">
        <v>45673</v>
      </c>
      <c r="M497" t="s">
        <v>1903</v>
      </c>
      <c r="N497">
        <v>49</v>
      </c>
      <c r="O497">
        <v>96</v>
      </c>
      <c r="P497" t="s">
        <v>27</v>
      </c>
    </row>
    <row r="498" spans="1:16" x14ac:dyDescent="0.35">
      <c r="A498" t="s">
        <v>1904</v>
      </c>
      <c r="B498" t="s">
        <v>801</v>
      </c>
      <c r="C498" t="s">
        <v>133</v>
      </c>
      <c r="D498" t="s">
        <v>1905</v>
      </c>
      <c r="E498" t="s">
        <v>908</v>
      </c>
      <c r="F498">
        <v>66</v>
      </c>
      <c r="G498">
        <v>49</v>
      </c>
      <c r="H498">
        <v>41</v>
      </c>
      <c r="I498" t="s">
        <v>3503</v>
      </c>
      <c r="J498" s="8">
        <v>45470</v>
      </c>
      <c r="K498" s="8">
        <v>45573</v>
      </c>
      <c r="L498" s="8">
        <v>45499</v>
      </c>
      <c r="M498" t="s">
        <v>1906</v>
      </c>
      <c r="N498">
        <v>27</v>
      </c>
      <c r="O498">
        <v>37</v>
      </c>
      <c r="P498" t="s">
        <v>27</v>
      </c>
    </row>
    <row r="499" spans="1:16" x14ac:dyDescent="0.35">
      <c r="A499" t="s">
        <v>1907</v>
      </c>
      <c r="B499" t="s">
        <v>58</v>
      </c>
      <c r="C499" t="s">
        <v>59</v>
      </c>
      <c r="D499" t="s">
        <v>1908</v>
      </c>
      <c r="E499" t="s">
        <v>1790</v>
      </c>
      <c r="F499">
        <v>17</v>
      </c>
      <c r="G499">
        <v>63</v>
      </c>
      <c r="H499">
        <v>66</v>
      </c>
      <c r="I499" t="s">
        <v>3480</v>
      </c>
      <c r="J499" s="8">
        <v>45682</v>
      </c>
      <c r="K499" s="8">
        <v>45681</v>
      </c>
      <c r="L499" s="8">
        <v>45617</v>
      </c>
      <c r="M499" t="s">
        <v>1909</v>
      </c>
      <c r="N499">
        <v>23</v>
      </c>
      <c r="O499">
        <v>46</v>
      </c>
      <c r="P499" t="s">
        <v>39</v>
      </c>
    </row>
    <row r="500" spans="1:16" x14ac:dyDescent="0.35">
      <c r="A500" t="s">
        <v>1910</v>
      </c>
      <c r="B500" t="s">
        <v>1126</v>
      </c>
      <c r="C500" t="s">
        <v>48</v>
      </c>
      <c r="D500" t="s">
        <v>1911</v>
      </c>
      <c r="E500" t="s">
        <v>977</v>
      </c>
      <c r="F500">
        <v>13</v>
      </c>
      <c r="G500">
        <v>61</v>
      </c>
      <c r="H500">
        <v>77</v>
      </c>
      <c r="I500" t="s">
        <v>3531</v>
      </c>
      <c r="J500" s="8">
        <v>45495</v>
      </c>
      <c r="K500" s="8">
        <v>45709</v>
      </c>
      <c r="L500" s="8">
        <v>45686</v>
      </c>
      <c r="M500" t="s">
        <v>1912</v>
      </c>
      <c r="N500">
        <v>42</v>
      </c>
      <c r="O500">
        <v>18</v>
      </c>
      <c r="P500" t="s">
        <v>39</v>
      </c>
    </row>
    <row r="501" spans="1:16" x14ac:dyDescent="0.35">
      <c r="A501" t="s">
        <v>1913</v>
      </c>
      <c r="B501" t="s">
        <v>984</v>
      </c>
      <c r="C501" t="s">
        <v>90</v>
      </c>
      <c r="D501" t="s">
        <v>1914</v>
      </c>
      <c r="E501" t="s">
        <v>1025</v>
      </c>
      <c r="F501">
        <v>34</v>
      </c>
      <c r="G501">
        <v>49</v>
      </c>
      <c r="H501">
        <v>27</v>
      </c>
      <c r="I501" t="s">
        <v>3478</v>
      </c>
      <c r="J501" s="8">
        <v>45360</v>
      </c>
      <c r="K501" s="8">
        <v>45620</v>
      </c>
      <c r="L501" s="8">
        <v>45701</v>
      </c>
      <c r="M501" t="s">
        <v>1915</v>
      </c>
      <c r="N501">
        <v>78</v>
      </c>
      <c r="O501">
        <v>20</v>
      </c>
      <c r="P501" t="s">
        <v>27</v>
      </c>
    </row>
    <row r="502" spans="1:16" x14ac:dyDescent="0.35">
      <c r="A502" t="s">
        <v>1916</v>
      </c>
      <c r="B502" t="s">
        <v>114</v>
      </c>
      <c r="C502" t="s">
        <v>65</v>
      </c>
      <c r="D502" t="s">
        <v>1917</v>
      </c>
      <c r="E502" t="s">
        <v>1918</v>
      </c>
      <c r="F502">
        <v>85</v>
      </c>
      <c r="G502">
        <v>89</v>
      </c>
      <c r="H502">
        <v>41</v>
      </c>
      <c r="I502" t="s">
        <v>3486</v>
      </c>
      <c r="J502" s="8">
        <v>45404</v>
      </c>
      <c r="K502" s="8">
        <v>45389</v>
      </c>
      <c r="L502" s="8">
        <v>45703</v>
      </c>
      <c r="M502" t="s">
        <v>1919</v>
      </c>
      <c r="N502">
        <v>68</v>
      </c>
      <c r="O502">
        <v>93</v>
      </c>
      <c r="P502" t="s">
        <v>27</v>
      </c>
    </row>
    <row r="503" spans="1:16" x14ac:dyDescent="0.35">
      <c r="A503" t="s">
        <v>1920</v>
      </c>
      <c r="B503" t="s">
        <v>143</v>
      </c>
      <c r="C503" t="s">
        <v>48</v>
      </c>
      <c r="D503" t="s">
        <v>1921</v>
      </c>
      <c r="E503" t="s">
        <v>766</v>
      </c>
      <c r="F503">
        <v>12</v>
      </c>
      <c r="G503">
        <v>95</v>
      </c>
      <c r="H503">
        <v>49</v>
      </c>
      <c r="I503" t="s">
        <v>3482</v>
      </c>
      <c r="J503" s="8">
        <v>45452</v>
      </c>
      <c r="K503" s="8">
        <v>45456</v>
      </c>
      <c r="L503" s="8">
        <v>45606</v>
      </c>
      <c r="M503" t="s">
        <v>1922</v>
      </c>
      <c r="N503">
        <v>25</v>
      </c>
      <c r="O503">
        <v>23</v>
      </c>
      <c r="P503" t="s">
        <v>39</v>
      </c>
    </row>
    <row r="504" spans="1:16" x14ac:dyDescent="0.35">
      <c r="A504" t="s">
        <v>1923</v>
      </c>
      <c r="B504" t="s">
        <v>168</v>
      </c>
      <c r="C504" t="s">
        <v>90</v>
      </c>
      <c r="D504" t="s">
        <v>1924</v>
      </c>
      <c r="E504" t="s">
        <v>1029</v>
      </c>
      <c r="F504">
        <v>82</v>
      </c>
      <c r="G504">
        <v>6</v>
      </c>
      <c r="H504">
        <v>53</v>
      </c>
      <c r="I504" t="s">
        <v>3489</v>
      </c>
      <c r="J504" s="8">
        <v>45603</v>
      </c>
      <c r="K504" s="8">
        <v>45411</v>
      </c>
      <c r="L504" s="8">
        <v>45421</v>
      </c>
      <c r="M504" t="s">
        <v>1925</v>
      </c>
      <c r="N504">
        <v>21</v>
      </c>
      <c r="O504">
        <v>58</v>
      </c>
      <c r="P504" t="s">
        <v>45</v>
      </c>
    </row>
    <row r="505" spans="1:16" x14ac:dyDescent="0.35">
      <c r="A505" t="s">
        <v>1926</v>
      </c>
      <c r="B505" t="s">
        <v>266</v>
      </c>
      <c r="C505" t="s">
        <v>90</v>
      </c>
      <c r="D505" t="s">
        <v>1927</v>
      </c>
      <c r="E505" t="s">
        <v>1928</v>
      </c>
      <c r="F505">
        <v>71</v>
      </c>
      <c r="G505">
        <v>97</v>
      </c>
      <c r="H505">
        <v>44</v>
      </c>
      <c r="I505" t="s">
        <v>3478</v>
      </c>
      <c r="J505" s="8">
        <v>45623</v>
      </c>
      <c r="K505" s="8">
        <v>45348</v>
      </c>
      <c r="L505" s="8">
        <v>45480</v>
      </c>
      <c r="M505" t="s">
        <v>1929</v>
      </c>
      <c r="N505">
        <v>58</v>
      </c>
      <c r="O505">
        <v>14</v>
      </c>
      <c r="P505" t="s">
        <v>27</v>
      </c>
    </row>
    <row r="506" spans="1:16" x14ac:dyDescent="0.35">
      <c r="A506" t="s">
        <v>1930</v>
      </c>
      <c r="B506" t="s">
        <v>345</v>
      </c>
      <c r="C506" t="s">
        <v>65</v>
      </c>
      <c r="D506" t="s">
        <v>1931</v>
      </c>
      <c r="E506" t="s">
        <v>309</v>
      </c>
      <c r="F506">
        <v>58</v>
      </c>
      <c r="G506">
        <v>17</v>
      </c>
      <c r="H506">
        <v>26</v>
      </c>
      <c r="I506" t="s">
        <v>3485</v>
      </c>
      <c r="J506" s="8">
        <v>45466</v>
      </c>
      <c r="K506" s="8">
        <v>45480</v>
      </c>
      <c r="L506" s="8">
        <v>45660</v>
      </c>
      <c r="M506" t="s">
        <v>1932</v>
      </c>
      <c r="N506">
        <v>62</v>
      </c>
      <c r="O506">
        <v>89</v>
      </c>
      <c r="P506" t="s">
        <v>39</v>
      </c>
    </row>
    <row r="507" spans="1:16" x14ac:dyDescent="0.35">
      <c r="A507" t="s">
        <v>1933</v>
      </c>
      <c r="B507" t="s">
        <v>473</v>
      </c>
      <c r="C507" t="s">
        <v>23</v>
      </c>
      <c r="D507" t="s">
        <v>1934</v>
      </c>
      <c r="E507" t="s">
        <v>486</v>
      </c>
      <c r="F507">
        <v>15</v>
      </c>
      <c r="G507">
        <v>76</v>
      </c>
      <c r="H507">
        <v>81</v>
      </c>
      <c r="I507" t="s">
        <v>3484</v>
      </c>
      <c r="J507" s="8">
        <v>45612</v>
      </c>
      <c r="K507" s="8">
        <v>45460</v>
      </c>
      <c r="L507" s="8">
        <v>45694</v>
      </c>
      <c r="M507" t="s">
        <v>1935</v>
      </c>
      <c r="N507">
        <v>90</v>
      </c>
      <c r="O507">
        <v>26</v>
      </c>
      <c r="P507" t="s">
        <v>39</v>
      </c>
    </row>
    <row r="508" spans="1:16" x14ac:dyDescent="0.35">
      <c r="A508" t="s">
        <v>1936</v>
      </c>
      <c r="B508" t="s">
        <v>182</v>
      </c>
      <c r="C508" t="s">
        <v>48</v>
      </c>
      <c r="D508" t="s">
        <v>1937</v>
      </c>
      <c r="E508" t="s">
        <v>1116</v>
      </c>
      <c r="F508">
        <v>68</v>
      </c>
      <c r="G508">
        <v>25</v>
      </c>
      <c r="H508">
        <v>16</v>
      </c>
      <c r="I508" t="s">
        <v>3490</v>
      </c>
      <c r="J508" s="8">
        <v>45386</v>
      </c>
      <c r="K508" s="8">
        <v>45523</v>
      </c>
      <c r="L508" s="8">
        <v>45470</v>
      </c>
      <c r="M508" t="s">
        <v>1938</v>
      </c>
      <c r="N508">
        <v>25</v>
      </c>
      <c r="O508">
        <v>83</v>
      </c>
      <c r="P508" t="s">
        <v>45</v>
      </c>
    </row>
    <row r="509" spans="1:16" x14ac:dyDescent="0.35">
      <c r="A509" t="s">
        <v>1939</v>
      </c>
      <c r="B509" t="s">
        <v>84</v>
      </c>
      <c r="C509" t="s">
        <v>23</v>
      </c>
      <c r="D509" t="s">
        <v>1940</v>
      </c>
      <c r="E509" t="s">
        <v>1941</v>
      </c>
      <c r="F509">
        <v>13</v>
      </c>
      <c r="G509">
        <v>32</v>
      </c>
      <c r="H509">
        <v>79</v>
      </c>
      <c r="I509" t="s">
        <v>3484</v>
      </c>
      <c r="J509" s="8">
        <v>45419</v>
      </c>
      <c r="K509" s="8">
        <v>45704</v>
      </c>
      <c r="L509" s="8">
        <v>45576</v>
      </c>
      <c r="M509" t="s">
        <v>1942</v>
      </c>
      <c r="N509">
        <v>38</v>
      </c>
      <c r="O509">
        <v>61</v>
      </c>
      <c r="P509" t="s">
        <v>27</v>
      </c>
    </row>
    <row r="510" spans="1:16" x14ac:dyDescent="0.35">
      <c r="A510" t="s">
        <v>1943</v>
      </c>
      <c r="B510" t="s">
        <v>738</v>
      </c>
      <c r="C510" t="s">
        <v>59</v>
      </c>
      <c r="D510" t="s">
        <v>1944</v>
      </c>
      <c r="E510" t="s">
        <v>1701</v>
      </c>
      <c r="F510">
        <v>45</v>
      </c>
      <c r="G510">
        <v>7</v>
      </c>
      <c r="H510">
        <v>58</v>
      </c>
      <c r="I510" t="s">
        <v>3516</v>
      </c>
      <c r="J510" s="8">
        <v>45537</v>
      </c>
      <c r="K510" s="8">
        <v>45387</v>
      </c>
      <c r="L510" s="8">
        <v>45530</v>
      </c>
      <c r="M510" t="s">
        <v>1945</v>
      </c>
      <c r="N510">
        <v>86</v>
      </c>
      <c r="O510">
        <v>77</v>
      </c>
      <c r="P510" t="s">
        <v>27</v>
      </c>
    </row>
    <row r="511" spans="1:16" x14ac:dyDescent="0.35">
      <c r="A511" t="s">
        <v>1946</v>
      </c>
      <c r="B511" t="s">
        <v>64</v>
      </c>
      <c r="C511" t="s">
        <v>65</v>
      </c>
      <c r="D511" t="s">
        <v>1947</v>
      </c>
      <c r="E511" t="s">
        <v>101</v>
      </c>
      <c r="F511">
        <v>40</v>
      </c>
      <c r="G511">
        <v>22</v>
      </c>
      <c r="H511">
        <v>74</v>
      </c>
      <c r="I511" t="s">
        <v>3536</v>
      </c>
      <c r="J511" s="8">
        <v>45373</v>
      </c>
      <c r="K511" s="8">
        <v>45558</v>
      </c>
      <c r="L511" s="8">
        <v>45367</v>
      </c>
      <c r="M511" t="s">
        <v>1948</v>
      </c>
      <c r="N511">
        <v>76</v>
      </c>
      <c r="O511">
        <v>70</v>
      </c>
      <c r="P511" t="s">
        <v>39</v>
      </c>
    </row>
    <row r="512" spans="1:16" x14ac:dyDescent="0.35">
      <c r="A512" t="s">
        <v>1949</v>
      </c>
      <c r="B512" t="s">
        <v>235</v>
      </c>
      <c r="C512" t="s">
        <v>30</v>
      </c>
      <c r="D512" t="s">
        <v>1950</v>
      </c>
      <c r="E512" t="s">
        <v>1951</v>
      </c>
      <c r="F512">
        <v>62</v>
      </c>
      <c r="G512">
        <v>23</v>
      </c>
      <c r="H512">
        <v>25</v>
      </c>
      <c r="I512" t="s">
        <v>3547</v>
      </c>
      <c r="J512" s="8">
        <v>45496</v>
      </c>
      <c r="K512" s="8">
        <v>45411</v>
      </c>
      <c r="L512" s="8">
        <v>45359</v>
      </c>
      <c r="M512" t="s">
        <v>1952</v>
      </c>
      <c r="N512">
        <v>34</v>
      </c>
      <c r="O512">
        <v>68</v>
      </c>
      <c r="P512" t="s">
        <v>27</v>
      </c>
    </row>
    <row r="513" spans="1:16" x14ac:dyDescent="0.35">
      <c r="A513" t="s">
        <v>1953</v>
      </c>
      <c r="B513" t="s">
        <v>436</v>
      </c>
      <c r="C513" t="s">
        <v>59</v>
      </c>
      <c r="D513" t="s">
        <v>1954</v>
      </c>
      <c r="E513" t="s">
        <v>1955</v>
      </c>
      <c r="F513">
        <v>79</v>
      </c>
      <c r="G513">
        <v>3</v>
      </c>
      <c r="H513">
        <v>36</v>
      </c>
      <c r="I513" t="s">
        <v>3478</v>
      </c>
      <c r="J513" s="8">
        <v>45520</v>
      </c>
      <c r="K513" s="8">
        <v>45682</v>
      </c>
      <c r="L513" s="8">
        <v>45534</v>
      </c>
      <c r="M513" t="s">
        <v>1956</v>
      </c>
      <c r="N513">
        <v>46</v>
      </c>
      <c r="O513">
        <v>29</v>
      </c>
      <c r="P513" t="s">
        <v>27</v>
      </c>
    </row>
    <row r="514" spans="1:16" x14ac:dyDescent="0.35">
      <c r="A514" t="s">
        <v>1957</v>
      </c>
      <c r="B514" t="s">
        <v>403</v>
      </c>
      <c r="C514" t="s">
        <v>48</v>
      </c>
      <c r="D514" t="s">
        <v>1958</v>
      </c>
      <c r="E514" t="s">
        <v>698</v>
      </c>
      <c r="F514">
        <v>75</v>
      </c>
      <c r="G514">
        <v>91</v>
      </c>
      <c r="H514">
        <v>68</v>
      </c>
      <c r="I514" t="s">
        <v>3481</v>
      </c>
      <c r="J514" s="8">
        <v>45596</v>
      </c>
      <c r="K514" s="8">
        <v>45405</v>
      </c>
      <c r="L514" s="8">
        <v>45636</v>
      </c>
      <c r="M514" t="s">
        <v>1959</v>
      </c>
      <c r="N514">
        <v>96</v>
      </c>
      <c r="O514">
        <v>73</v>
      </c>
      <c r="P514" t="s">
        <v>39</v>
      </c>
    </row>
    <row r="515" spans="1:16" x14ac:dyDescent="0.35">
      <c r="A515" t="s">
        <v>1960</v>
      </c>
      <c r="B515" t="s">
        <v>502</v>
      </c>
      <c r="C515" t="s">
        <v>23</v>
      </c>
      <c r="D515" t="s">
        <v>1961</v>
      </c>
      <c r="E515" t="s">
        <v>1962</v>
      </c>
      <c r="F515">
        <v>76</v>
      </c>
      <c r="G515">
        <v>8</v>
      </c>
      <c r="H515">
        <v>2</v>
      </c>
      <c r="I515" t="s">
        <v>3506</v>
      </c>
      <c r="J515" s="8">
        <v>45569</v>
      </c>
      <c r="K515" s="8">
        <v>45604</v>
      </c>
      <c r="L515" s="8">
        <v>45440</v>
      </c>
      <c r="M515" t="s">
        <v>1963</v>
      </c>
      <c r="N515">
        <v>24</v>
      </c>
      <c r="O515">
        <v>53</v>
      </c>
      <c r="P515" t="s">
        <v>45</v>
      </c>
    </row>
    <row r="516" spans="1:16" x14ac:dyDescent="0.35">
      <c r="A516" t="s">
        <v>1964</v>
      </c>
      <c r="B516" t="s">
        <v>600</v>
      </c>
      <c r="C516" t="s">
        <v>59</v>
      </c>
      <c r="D516" t="s">
        <v>1965</v>
      </c>
      <c r="E516" t="s">
        <v>561</v>
      </c>
      <c r="F516">
        <v>96</v>
      </c>
      <c r="G516">
        <v>51</v>
      </c>
      <c r="H516">
        <v>40</v>
      </c>
      <c r="I516" t="s">
        <v>3494</v>
      </c>
      <c r="J516" s="8">
        <v>45367</v>
      </c>
      <c r="K516" s="8">
        <v>45416</v>
      </c>
      <c r="L516" s="8">
        <v>45622</v>
      </c>
      <c r="M516" t="s">
        <v>1966</v>
      </c>
      <c r="N516">
        <v>61</v>
      </c>
      <c r="O516">
        <v>4</v>
      </c>
      <c r="P516" t="s">
        <v>27</v>
      </c>
    </row>
    <row r="517" spans="1:16" x14ac:dyDescent="0.35">
      <c r="A517" t="s">
        <v>1967</v>
      </c>
      <c r="B517" t="s">
        <v>600</v>
      </c>
      <c r="C517" t="s">
        <v>59</v>
      </c>
      <c r="D517" t="s">
        <v>1968</v>
      </c>
      <c r="E517" t="s">
        <v>1969</v>
      </c>
      <c r="F517">
        <v>69</v>
      </c>
      <c r="G517">
        <v>17</v>
      </c>
      <c r="H517">
        <v>27</v>
      </c>
      <c r="I517" t="s">
        <v>3494</v>
      </c>
      <c r="J517" s="8">
        <v>45671</v>
      </c>
      <c r="K517" s="8">
        <v>45461</v>
      </c>
      <c r="L517" s="8">
        <v>45441</v>
      </c>
      <c r="M517" t="s">
        <v>1970</v>
      </c>
      <c r="N517">
        <v>79</v>
      </c>
      <c r="O517">
        <v>75</v>
      </c>
      <c r="P517" t="s">
        <v>39</v>
      </c>
    </row>
    <row r="518" spans="1:16" x14ac:dyDescent="0.35">
      <c r="A518" t="s">
        <v>1971</v>
      </c>
      <c r="B518" t="s">
        <v>239</v>
      </c>
      <c r="C518" t="s">
        <v>65</v>
      </c>
      <c r="D518" t="s">
        <v>1972</v>
      </c>
      <c r="E518" t="s">
        <v>807</v>
      </c>
      <c r="F518">
        <v>48</v>
      </c>
      <c r="G518">
        <v>71</v>
      </c>
      <c r="H518">
        <v>86</v>
      </c>
      <c r="I518" t="s">
        <v>3481</v>
      </c>
      <c r="J518" s="8">
        <v>45411</v>
      </c>
      <c r="K518" s="8">
        <v>45475</v>
      </c>
      <c r="L518" s="8">
        <v>45533</v>
      </c>
      <c r="M518" t="s">
        <v>1973</v>
      </c>
      <c r="N518">
        <v>95</v>
      </c>
      <c r="O518">
        <v>3</v>
      </c>
      <c r="P518" t="s">
        <v>27</v>
      </c>
    </row>
    <row r="519" spans="1:16" x14ac:dyDescent="0.35">
      <c r="A519" t="s">
        <v>1974</v>
      </c>
      <c r="B519" t="s">
        <v>408</v>
      </c>
      <c r="C519" t="s">
        <v>65</v>
      </c>
      <c r="D519" t="s">
        <v>1975</v>
      </c>
      <c r="E519" t="s">
        <v>1976</v>
      </c>
      <c r="F519">
        <v>82</v>
      </c>
      <c r="G519">
        <v>3</v>
      </c>
      <c r="H519">
        <v>82</v>
      </c>
      <c r="I519" t="s">
        <v>3502</v>
      </c>
      <c r="J519" s="8">
        <v>45568</v>
      </c>
      <c r="K519" s="8">
        <v>45636</v>
      </c>
      <c r="L519" s="8">
        <v>45530</v>
      </c>
      <c r="M519" t="s">
        <v>1977</v>
      </c>
      <c r="N519">
        <v>48</v>
      </c>
      <c r="O519">
        <v>31</v>
      </c>
      <c r="P519" t="s">
        <v>45</v>
      </c>
    </row>
    <row r="520" spans="1:16" x14ac:dyDescent="0.35">
      <c r="A520" t="s">
        <v>1978</v>
      </c>
      <c r="B520" t="s">
        <v>215</v>
      </c>
      <c r="C520" t="s">
        <v>48</v>
      </c>
      <c r="D520" t="s">
        <v>1979</v>
      </c>
      <c r="E520" t="s">
        <v>101</v>
      </c>
      <c r="F520">
        <v>43</v>
      </c>
      <c r="G520">
        <v>21</v>
      </c>
      <c r="H520">
        <v>31</v>
      </c>
      <c r="I520" t="s">
        <v>3480</v>
      </c>
      <c r="J520" s="8">
        <v>45707</v>
      </c>
      <c r="K520" s="8">
        <v>45468</v>
      </c>
      <c r="L520" s="8">
        <v>45674</v>
      </c>
      <c r="M520" t="s">
        <v>1980</v>
      </c>
      <c r="N520">
        <v>22</v>
      </c>
      <c r="O520">
        <v>25</v>
      </c>
      <c r="P520" t="s">
        <v>39</v>
      </c>
    </row>
    <row r="521" spans="1:16" x14ac:dyDescent="0.35">
      <c r="A521" t="s">
        <v>1981</v>
      </c>
      <c r="B521" t="s">
        <v>287</v>
      </c>
      <c r="C521" t="s">
        <v>30</v>
      </c>
      <c r="D521" t="s">
        <v>1982</v>
      </c>
      <c r="E521" t="s">
        <v>940</v>
      </c>
      <c r="F521">
        <v>90</v>
      </c>
      <c r="G521">
        <v>68</v>
      </c>
      <c r="H521">
        <v>74</v>
      </c>
      <c r="I521" t="s">
        <v>3487</v>
      </c>
      <c r="J521" s="8">
        <v>45384</v>
      </c>
      <c r="K521" s="8">
        <v>45622</v>
      </c>
      <c r="L521" s="8">
        <v>45595</v>
      </c>
      <c r="M521" t="s">
        <v>1983</v>
      </c>
      <c r="N521">
        <v>81</v>
      </c>
      <c r="O521">
        <v>26</v>
      </c>
      <c r="P521" t="s">
        <v>39</v>
      </c>
    </row>
    <row r="522" spans="1:16" x14ac:dyDescent="0.35">
      <c r="A522" t="s">
        <v>1984</v>
      </c>
      <c r="B522" t="s">
        <v>1100</v>
      </c>
      <c r="C522" t="s">
        <v>65</v>
      </c>
      <c r="D522" t="s">
        <v>1985</v>
      </c>
      <c r="E522" t="s">
        <v>1986</v>
      </c>
      <c r="F522">
        <v>13</v>
      </c>
      <c r="G522">
        <v>39</v>
      </c>
      <c r="H522">
        <v>98</v>
      </c>
      <c r="I522" t="s">
        <v>3554</v>
      </c>
      <c r="J522" s="8">
        <v>45445</v>
      </c>
      <c r="K522" s="8">
        <v>45601</v>
      </c>
      <c r="L522" s="8">
        <v>45553</v>
      </c>
      <c r="M522" t="s">
        <v>1987</v>
      </c>
      <c r="N522">
        <v>46</v>
      </c>
      <c r="O522">
        <v>46</v>
      </c>
      <c r="P522" t="s">
        <v>39</v>
      </c>
    </row>
    <row r="523" spans="1:16" x14ac:dyDescent="0.35">
      <c r="A523" t="s">
        <v>1988</v>
      </c>
      <c r="B523" t="s">
        <v>143</v>
      </c>
      <c r="C523" t="s">
        <v>48</v>
      </c>
      <c r="D523" t="s">
        <v>1989</v>
      </c>
      <c r="E523" t="s">
        <v>120</v>
      </c>
      <c r="F523">
        <v>62</v>
      </c>
      <c r="G523">
        <v>79</v>
      </c>
      <c r="H523">
        <v>95</v>
      </c>
      <c r="I523" t="s">
        <v>3482</v>
      </c>
      <c r="J523" s="8">
        <v>45428</v>
      </c>
      <c r="K523" s="8">
        <v>45479</v>
      </c>
      <c r="L523" s="8">
        <v>45656</v>
      </c>
      <c r="M523" t="s">
        <v>1990</v>
      </c>
      <c r="N523">
        <v>34</v>
      </c>
      <c r="O523">
        <v>12</v>
      </c>
      <c r="P523" t="s">
        <v>45</v>
      </c>
    </row>
    <row r="524" spans="1:16" x14ac:dyDescent="0.35">
      <c r="A524" t="s">
        <v>1991</v>
      </c>
      <c r="B524" t="s">
        <v>1265</v>
      </c>
      <c r="C524" t="s">
        <v>23</v>
      </c>
      <c r="D524" t="s">
        <v>1992</v>
      </c>
      <c r="E524" t="s">
        <v>1258</v>
      </c>
      <c r="F524">
        <v>17</v>
      </c>
      <c r="G524">
        <v>85</v>
      </c>
      <c r="H524">
        <v>74</v>
      </c>
      <c r="I524" t="s">
        <v>3489</v>
      </c>
      <c r="J524" s="8">
        <v>45413</v>
      </c>
      <c r="K524" s="8">
        <v>45686</v>
      </c>
      <c r="L524" s="8">
        <v>45381</v>
      </c>
      <c r="M524" t="s">
        <v>1993</v>
      </c>
      <c r="N524">
        <v>76</v>
      </c>
      <c r="O524">
        <v>89</v>
      </c>
      <c r="P524" t="s">
        <v>45</v>
      </c>
    </row>
    <row r="525" spans="1:16" x14ac:dyDescent="0.35">
      <c r="A525" t="s">
        <v>1994</v>
      </c>
      <c r="B525" t="s">
        <v>738</v>
      </c>
      <c r="C525" t="s">
        <v>59</v>
      </c>
      <c r="D525" t="s">
        <v>1995</v>
      </c>
      <c r="E525" t="s">
        <v>1343</v>
      </c>
      <c r="F525">
        <v>100</v>
      </c>
      <c r="G525">
        <v>86</v>
      </c>
      <c r="H525">
        <v>94</v>
      </c>
      <c r="I525" t="s">
        <v>3516</v>
      </c>
      <c r="J525" s="8">
        <v>45515</v>
      </c>
      <c r="K525" s="8">
        <v>45394</v>
      </c>
      <c r="L525" s="8">
        <v>45447</v>
      </c>
      <c r="M525" t="s">
        <v>1996</v>
      </c>
      <c r="N525">
        <v>77</v>
      </c>
      <c r="O525">
        <v>57</v>
      </c>
      <c r="P525" t="s">
        <v>45</v>
      </c>
    </row>
    <row r="526" spans="1:16" x14ac:dyDescent="0.35">
      <c r="A526" t="s">
        <v>1997</v>
      </c>
      <c r="B526" t="s">
        <v>53</v>
      </c>
      <c r="C526" t="s">
        <v>23</v>
      </c>
      <c r="D526" t="s">
        <v>1998</v>
      </c>
      <c r="E526" t="s">
        <v>1392</v>
      </c>
      <c r="F526">
        <v>54</v>
      </c>
      <c r="G526">
        <v>69</v>
      </c>
      <c r="H526">
        <v>68</v>
      </c>
      <c r="I526" t="s">
        <v>3479</v>
      </c>
      <c r="J526" s="8">
        <v>45497</v>
      </c>
      <c r="K526" s="8">
        <v>45601</v>
      </c>
      <c r="L526" s="8">
        <v>45425</v>
      </c>
      <c r="M526" t="s">
        <v>1999</v>
      </c>
      <c r="N526">
        <v>77</v>
      </c>
      <c r="O526">
        <v>56</v>
      </c>
      <c r="P526" t="s">
        <v>27</v>
      </c>
    </row>
    <row r="527" spans="1:16" x14ac:dyDescent="0.35">
      <c r="A527" t="s">
        <v>2000</v>
      </c>
      <c r="B527" t="s">
        <v>497</v>
      </c>
      <c r="C527" t="s">
        <v>65</v>
      </c>
      <c r="D527" t="s">
        <v>2001</v>
      </c>
      <c r="E527" t="s">
        <v>726</v>
      </c>
      <c r="F527">
        <v>98</v>
      </c>
      <c r="G527">
        <v>24</v>
      </c>
      <c r="H527">
        <v>4</v>
      </c>
      <c r="I527" t="s">
        <v>3550</v>
      </c>
      <c r="J527" s="8">
        <v>45359</v>
      </c>
      <c r="K527" s="8">
        <v>45647</v>
      </c>
      <c r="L527" s="8">
        <v>45435</v>
      </c>
      <c r="M527" t="s">
        <v>2002</v>
      </c>
      <c r="N527">
        <v>89</v>
      </c>
      <c r="O527">
        <v>80</v>
      </c>
      <c r="P527" t="s">
        <v>45</v>
      </c>
    </row>
    <row r="528" spans="1:16" x14ac:dyDescent="0.35">
      <c r="A528" t="s">
        <v>2003</v>
      </c>
      <c r="B528" t="s">
        <v>192</v>
      </c>
      <c r="C528" t="s">
        <v>30</v>
      </c>
      <c r="D528" t="s">
        <v>2004</v>
      </c>
      <c r="E528" t="s">
        <v>2005</v>
      </c>
      <c r="F528">
        <v>20</v>
      </c>
      <c r="G528">
        <v>9</v>
      </c>
      <c r="H528">
        <v>12</v>
      </c>
      <c r="I528" t="s">
        <v>3555</v>
      </c>
      <c r="J528" s="8">
        <v>45469</v>
      </c>
      <c r="K528" s="8">
        <v>45710</v>
      </c>
      <c r="L528" s="8">
        <v>45367</v>
      </c>
      <c r="M528" t="s">
        <v>2006</v>
      </c>
      <c r="N528">
        <v>46</v>
      </c>
      <c r="O528">
        <v>32</v>
      </c>
      <c r="P528" t="s">
        <v>27</v>
      </c>
    </row>
    <row r="529" spans="1:16" x14ac:dyDescent="0.35">
      <c r="A529" t="s">
        <v>2007</v>
      </c>
      <c r="B529" t="s">
        <v>197</v>
      </c>
      <c r="C529" t="s">
        <v>133</v>
      </c>
      <c r="D529" t="s">
        <v>2008</v>
      </c>
      <c r="E529" t="s">
        <v>933</v>
      </c>
      <c r="F529">
        <v>43</v>
      </c>
      <c r="G529">
        <v>7</v>
      </c>
      <c r="H529">
        <v>63</v>
      </c>
      <c r="I529" t="s">
        <v>3492</v>
      </c>
      <c r="J529" s="8">
        <v>45561</v>
      </c>
      <c r="K529" s="8">
        <v>45497</v>
      </c>
      <c r="L529" s="8">
        <v>45359</v>
      </c>
      <c r="M529" t="s">
        <v>2009</v>
      </c>
      <c r="N529">
        <v>66</v>
      </c>
      <c r="O529">
        <v>71</v>
      </c>
      <c r="P529" t="s">
        <v>45</v>
      </c>
    </row>
    <row r="530" spans="1:16" x14ac:dyDescent="0.35">
      <c r="A530" t="s">
        <v>2010</v>
      </c>
      <c r="B530" t="s">
        <v>287</v>
      </c>
      <c r="C530" t="s">
        <v>30</v>
      </c>
      <c r="D530" t="s">
        <v>2011</v>
      </c>
      <c r="E530" t="s">
        <v>422</v>
      </c>
      <c r="F530">
        <v>29</v>
      </c>
      <c r="G530">
        <v>91</v>
      </c>
      <c r="H530">
        <v>48</v>
      </c>
      <c r="I530" t="s">
        <v>3487</v>
      </c>
      <c r="J530" s="8">
        <v>45570</v>
      </c>
      <c r="K530" s="8">
        <v>45483</v>
      </c>
      <c r="L530" s="8">
        <v>45520</v>
      </c>
      <c r="M530" t="s">
        <v>2012</v>
      </c>
      <c r="N530">
        <v>28</v>
      </c>
      <c r="O530">
        <v>40</v>
      </c>
      <c r="P530" t="s">
        <v>45</v>
      </c>
    </row>
    <row r="531" spans="1:16" x14ac:dyDescent="0.35">
      <c r="A531" t="s">
        <v>2013</v>
      </c>
      <c r="B531" t="s">
        <v>1126</v>
      </c>
      <c r="C531" t="s">
        <v>48</v>
      </c>
      <c r="D531" t="s">
        <v>2014</v>
      </c>
      <c r="E531" t="s">
        <v>639</v>
      </c>
      <c r="F531">
        <v>37</v>
      </c>
      <c r="G531">
        <v>45</v>
      </c>
      <c r="H531">
        <v>62</v>
      </c>
      <c r="I531" t="s">
        <v>3531</v>
      </c>
      <c r="J531" s="8">
        <v>45634</v>
      </c>
      <c r="K531" s="8">
        <v>45669</v>
      </c>
      <c r="L531" s="8">
        <v>45402</v>
      </c>
      <c r="M531" t="s">
        <v>2015</v>
      </c>
      <c r="N531">
        <v>34</v>
      </c>
      <c r="O531">
        <v>23</v>
      </c>
      <c r="P531" t="s">
        <v>39</v>
      </c>
    </row>
    <row r="532" spans="1:16" x14ac:dyDescent="0.35">
      <c r="A532" t="s">
        <v>2016</v>
      </c>
      <c r="B532" t="s">
        <v>720</v>
      </c>
      <c r="C532" t="s">
        <v>65</v>
      </c>
      <c r="D532" t="s">
        <v>2017</v>
      </c>
      <c r="E532" t="s">
        <v>2018</v>
      </c>
      <c r="F532">
        <v>85</v>
      </c>
      <c r="G532">
        <v>28</v>
      </c>
      <c r="H532">
        <v>32</v>
      </c>
      <c r="I532" t="s">
        <v>3539</v>
      </c>
      <c r="J532" s="8">
        <v>45674</v>
      </c>
      <c r="K532" s="8">
        <v>45468</v>
      </c>
      <c r="L532" s="8">
        <v>45685</v>
      </c>
      <c r="M532" t="s">
        <v>2019</v>
      </c>
      <c r="N532">
        <v>57</v>
      </c>
      <c r="O532">
        <v>41</v>
      </c>
      <c r="P532" t="s">
        <v>39</v>
      </c>
    </row>
    <row r="533" spans="1:16" x14ac:dyDescent="0.35">
      <c r="A533" t="s">
        <v>2020</v>
      </c>
      <c r="B533" t="s">
        <v>829</v>
      </c>
      <c r="C533" t="s">
        <v>23</v>
      </c>
      <c r="D533" t="s">
        <v>2021</v>
      </c>
      <c r="E533" t="s">
        <v>694</v>
      </c>
      <c r="F533">
        <v>26</v>
      </c>
      <c r="G533">
        <v>67</v>
      </c>
      <c r="H533">
        <v>46</v>
      </c>
      <c r="I533" t="s">
        <v>3552</v>
      </c>
      <c r="J533" s="8">
        <v>45634</v>
      </c>
      <c r="K533" s="8">
        <v>45547</v>
      </c>
      <c r="L533" s="8">
        <v>45386</v>
      </c>
      <c r="M533" t="s">
        <v>2022</v>
      </c>
      <c r="N533">
        <v>54</v>
      </c>
      <c r="O533">
        <v>46</v>
      </c>
      <c r="P533" t="s">
        <v>39</v>
      </c>
    </row>
    <row r="534" spans="1:16" x14ac:dyDescent="0.35">
      <c r="A534" t="s">
        <v>2023</v>
      </c>
      <c r="B534" t="s">
        <v>337</v>
      </c>
      <c r="C534" t="s">
        <v>30</v>
      </c>
      <c r="D534" t="s">
        <v>2024</v>
      </c>
      <c r="E534" t="s">
        <v>43</v>
      </c>
      <c r="F534">
        <v>91</v>
      </c>
      <c r="G534">
        <v>78</v>
      </c>
      <c r="H534">
        <v>61</v>
      </c>
      <c r="I534" t="s">
        <v>3499</v>
      </c>
      <c r="J534" s="8">
        <v>45417</v>
      </c>
      <c r="K534" s="8">
        <v>45592</v>
      </c>
      <c r="L534" s="8">
        <v>45514</v>
      </c>
      <c r="M534" t="s">
        <v>2025</v>
      </c>
      <c r="N534">
        <v>63</v>
      </c>
      <c r="O534">
        <v>15</v>
      </c>
      <c r="P534" t="s">
        <v>39</v>
      </c>
    </row>
    <row r="535" spans="1:16" x14ac:dyDescent="0.35">
      <c r="A535" t="s">
        <v>2026</v>
      </c>
      <c r="B535" t="s">
        <v>329</v>
      </c>
      <c r="C535" t="s">
        <v>65</v>
      </c>
      <c r="D535" t="s">
        <v>2027</v>
      </c>
      <c r="E535" t="s">
        <v>663</v>
      </c>
      <c r="F535">
        <v>50</v>
      </c>
      <c r="G535">
        <v>46</v>
      </c>
      <c r="H535">
        <v>38</v>
      </c>
      <c r="I535" t="s">
        <v>3543</v>
      </c>
      <c r="J535" s="8">
        <v>45566</v>
      </c>
      <c r="K535" s="8">
        <v>45476</v>
      </c>
      <c r="L535" s="8">
        <v>45504</v>
      </c>
      <c r="M535" t="s">
        <v>2028</v>
      </c>
      <c r="N535">
        <v>88</v>
      </c>
      <c r="O535">
        <v>70</v>
      </c>
      <c r="P535" t="s">
        <v>45</v>
      </c>
    </row>
    <row r="536" spans="1:16" x14ac:dyDescent="0.35">
      <c r="A536" t="s">
        <v>2029</v>
      </c>
      <c r="B536" t="s">
        <v>132</v>
      </c>
      <c r="C536" t="s">
        <v>133</v>
      </c>
      <c r="D536" t="s">
        <v>2030</v>
      </c>
      <c r="E536" t="s">
        <v>822</v>
      </c>
      <c r="F536">
        <v>98</v>
      </c>
      <c r="G536">
        <v>65</v>
      </c>
      <c r="H536">
        <v>76</v>
      </c>
      <c r="I536" t="s">
        <v>3487</v>
      </c>
      <c r="J536" s="8">
        <v>45562</v>
      </c>
      <c r="K536" s="8">
        <v>45492</v>
      </c>
      <c r="L536" s="8">
        <v>45470</v>
      </c>
      <c r="M536" t="s">
        <v>2031</v>
      </c>
      <c r="N536">
        <v>62</v>
      </c>
      <c r="O536">
        <v>47</v>
      </c>
      <c r="P536" t="s">
        <v>45</v>
      </c>
    </row>
    <row r="537" spans="1:16" x14ac:dyDescent="0.35">
      <c r="A537" t="s">
        <v>2032</v>
      </c>
      <c r="B537" t="s">
        <v>75</v>
      </c>
      <c r="C537" t="s">
        <v>65</v>
      </c>
      <c r="D537" t="s">
        <v>2033</v>
      </c>
      <c r="E537" t="s">
        <v>272</v>
      </c>
      <c r="F537">
        <v>37</v>
      </c>
      <c r="G537">
        <v>53</v>
      </c>
      <c r="H537">
        <v>61</v>
      </c>
      <c r="I537" t="s">
        <v>3482</v>
      </c>
      <c r="J537" s="8">
        <v>45385</v>
      </c>
      <c r="K537" s="8">
        <v>45490</v>
      </c>
      <c r="L537" s="8">
        <v>45372</v>
      </c>
      <c r="M537" t="s">
        <v>2034</v>
      </c>
      <c r="N537">
        <v>90</v>
      </c>
      <c r="O537">
        <v>89</v>
      </c>
      <c r="P537" t="s">
        <v>39</v>
      </c>
    </row>
    <row r="538" spans="1:16" x14ac:dyDescent="0.35">
      <c r="A538" t="s">
        <v>2035</v>
      </c>
      <c r="B538" t="s">
        <v>283</v>
      </c>
      <c r="C538" t="s">
        <v>90</v>
      </c>
      <c r="D538" t="s">
        <v>2036</v>
      </c>
      <c r="E538" t="s">
        <v>754</v>
      </c>
      <c r="F538">
        <v>78</v>
      </c>
      <c r="G538">
        <v>68</v>
      </c>
      <c r="H538">
        <v>68</v>
      </c>
      <c r="I538" t="s">
        <v>3480</v>
      </c>
      <c r="J538" s="8">
        <v>45547</v>
      </c>
      <c r="K538" s="8">
        <v>45356</v>
      </c>
      <c r="L538" s="8">
        <v>45651</v>
      </c>
      <c r="M538" t="s">
        <v>2037</v>
      </c>
      <c r="N538">
        <v>89</v>
      </c>
      <c r="O538">
        <v>24</v>
      </c>
      <c r="P538" t="s">
        <v>39</v>
      </c>
    </row>
    <row r="539" spans="1:16" x14ac:dyDescent="0.35">
      <c r="A539" t="s">
        <v>2038</v>
      </c>
      <c r="B539" t="s">
        <v>595</v>
      </c>
      <c r="C539" t="s">
        <v>48</v>
      </c>
      <c r="D539" t="s">
        <v>2039</v>
      </c>
      <c r="E539" t="s">
        <v>160</v>
      </c>
      <c r="F539">
        <v>48</v>
      </c>
      <c r="G539">
        <v>27</v>
      </c>
      <c r="H539">
        <v>73</v>
      </c>
      <c r="I539" t="s">
        <v>3556</v>
      </c>
      <c r="J539" s="8">
        <v>45670</v>
      </c>
      <c r="K539" s="8">
        <v>45394</v>
      </c>
      <c r="L539" s="8">
        <v>45442</v>
      </c>
      <c r="M539" t="s">
        <v>2040</v>
      </c>
      <c r="N539">
        <v>52</v>
      </c>
      <c r="O539">
        <v>97</v>
      </c>
      <c r="P539" t="s">
        <v>27</v>
      </c>
    </row>
    <row r="540" spans="1:16" x14ac:dyDescent="0.35">
      <c r="A540" t="s">
        <v>2041</v>
      </c>
      <c r="B540" t="s">
        <v>29</v>
      </c>
      <c r="C540" t="s">
        <v>30</v>
      </c>
      <c r="D540" t="s">
        <v>2042</v>
      </c>
      <c r="E540" t="s">
        <v>2043</v>
      </c>
      <c r="F540">
        <v>74</v>
      </c>
      <c r="G540">
        <v>10</v>
      </c>
      <c r="H540">
        <v>74</v>
      </c>
      <c r="I540" t="s">
        <v>3475</v>
      </c>
      <c r="J540" s="8">
        <v>45500</v>
      </c>
      <c r="K540" s="8">
        <v>45567</v>
      </c>
      <c r="L540" s="8">
        <v>45371</v>
      </c>
      <c r="M540" t="s">
        <v>2044</v>
      </c>
      <c r="N540">
        <v>100</v>
      </c>
      <c r="O540">
        <v>66</v>
      </c>
      <c r="P540" t="s">
        <v>39</v>
      </c>
    </row>
    <row r="541" spans="1:16" x14ac:dyDescent="0.35">
      <c r="A541" t="s">
        <v>2045</v>
      </c>
      <c r="B541" t="s">
        <v>182</v>
      </c>
      <c r="C541" t="s">
        <v>48</v>
      </c>
      <c r="D541" t="s">
        <v>2046</v>
      </c>
      <c r="E541" t="s">
        <v>1094</v>
      </c>
      <c r="F541">
        <v>18</v>
      </c>
      <c r="G541">
        <v>7</v>
      </c>
      <c r="H541">
        <v>58</v>
      </c>
      <c r="I541" t="s">
        <v>3490</v>
      </c>
      <c r="J541" s="8">
        <v>45622</v>
      </c>
      <c r="K541" s="8">
        <v>45509</v>
      </c>
      <c r="L541" s="8">
        <v>45469</v>
      </c>
      <c r="M541" t="s">
        <v>2047</v>
      </c>
      <c r="N541">
        <v>88</v>
      </c>
      <c r="O541">
        <v>96</v>
      </c>
      <c r="P541" t="s">
        <v>27</v>
      </c>
    </row>
    <row r="542" spans="1:16" x14ac:dyDescent="0.35">
      <c r="A542" t="s">
        <v>2048</v>
      </c>
      <c r="B542" t="s">
        <v>595</v>
      </c>
      <c r="C542" t="s">
        <v>48</v>
      </c>
      <c r="D542" t="s">
        <v>2049</v>
      </c>
      <c r="E542" t="s">
        <v>486</v>
      </c>
      <c r="F542">
        <v>95</v>
      </c>
      <c r="G542">
        <v>66</v>
      </c>
      <c r="H542">
        <v>69</v>
      </c>
      <c r="I542" t="s">
        <v>3557</v>
      </c>
      <c r="J542" s="8">
        <v>45451</v>
      </c>
      <c r="K542" s="8">
        <v>45379</v>
      </c>
      <c r="L542" s="8">
        <v>45692</v>
      </c>
      <c r="M542" t="s">
        <v>2050</v>
      </c>
      <c r="N542">
        <v>92</v>
      </c>
      <c r="O542">
        <v>72</v>
      </c>
      <c r="P542" t="s">
        <v>39</v>
      </c>
    </row>
    <row r="543" spans="1:16" x14ac:dyDescent="0.35">
      <c r="A543" t="s">
        <v>2051</v>
      </c>
      <c r="B543" t="s">
        <v>729</v>
      </c>
      <c r="C543" t="s">
        <v>65</v>
      </c>
      <c r="D543" t="s">
        <v>2052</v>
      </c>
      <c r="E543" t="s">
        <v>1116</v>
      </c>
      <c r="F543">
        <v>39</v>
      </c>
      <c r="G543">
        <v>93</v>
      </c>
      <c r="H543">
        <v>57</v>
      </c>
      <c r="I543" t="s">
        <v>3480</v>
      </c>
      <c r="J543" s="8">
        <v>45447</v>
      </c>
      <c r="K543" s="8">
        <v>45440</v>
      </c>
      <c r="L543" s="8">
        <v>45660</v>
      </c>
      <c r="M543" t="s">
        <v>2053</v>
      </c>
      <c r="N543">
        <v>26</v>
      </c>
      <c r="O543">
        <v>44</v>
      </c>
      <c r="P543" t="s">
        <v>39</v>
      </c>
    </row>
    <row r="544" spans="1:16" x14ac:dyDescent="0.35">
      <c r="A544" t="s">
        <v>2054</v>
      </c>
      <c r="B544" t="s">
        <v>403</v>
      </c>
      <c r="C544" t="s">
        <v>48</v>
      </c>
      <c r="D544" t="s">
        <v>2055</v>
      </c>
      <c r="E544" t="s">
        <v>2056</v>
      </c>
      <c r="F544">
        <v>48</v>
      </c>
      <c r="G544">
        <v>72</v>
      </c>
      <c r="H544">
        <v>55</v>
      </c>
      <c r="I544" t="s">
        <v>3481</v>
      </c>
      <c r="J544" s="8">
        <v>45553</v>
      </c>
      <c r="K544" s="8">
        <v>45424</v>
      </c>
      <c r="L544" s="8">
        <v>45473</v>
      </c>
      <c r="M544" t="s">
        <v>2057</v>
      </c>
      <c r="N544">
        <v>51</v>
      </c>
      <c r="O544">
        <v>41</v>
      </c>
      <c r="P544" t="s">
        <v>45</v>
      </c>
    </row>
    <row r="545" spans="1:16" x14ac:dyDescent="0.35">
      <c r="A545" t="s">
        <v>2058</v>
      </c>
      <c r="B545" t="s">
        <v>99</v>
      </c>
      <c r="C545" t="s">
        <v>48</v>
      </c>
      <c r="D545" t="s">
        <v>2059</v>
      </c>
      <c r="E545" t="s">
        <v>766</v>
      </c>
      <c r="F545">
        <v>58</v>
      </c>
      <c r="G545">
        <v>15</v>
      </c>
      <c r="H545">
        <v>87</v>
      </c>
      <c r="I545" t="s">
        <v>3525</v>
      </c>
      <c r="J545" s="8">
        <v>45483</v>
      </c>
      <c r="K545" s="8">
        <v>45473</v>
      </c>
      <c r="L545" s="8">
        <v>45502</v>
      </c>
      <c r="M545" t="s">
        <v>2060</v>
      </c>
      <c r="N545">
        <v>52</v>
      </c>
      <c r="O545">
        <v>81</v>
      </c>
      <c r="P545" t="s">
        <v>39</v>
      </c>
    </row>
    <row r="546" spans="1:16" x14ac:dyDescent="0.35">
      <c r="A546" t="s">
        <v>2061</v>
      </c>
      <c r="B546" t="s">
        <v>70</v>
      </c>
      <c r="C546" t="s">
        <v>65</v>
      </c>
      <c r="D546" t="s">
        <v>2062</v>
      </c>
      <c r="E546" t="s">
        <v>597</v>
      </c>
      <c r="F546">
        <v>39</v>
      </c>
      <c r="G546">
        <v>55</v>
      </c>
      <c r="H546">
        <v>39</v>
      </c>
      <c r="I546" t="s">
        <v>3481</v>
      </c>
      <c r="J546" s="8">
        <v>45519</v>
      </c>
      <c r="K546" s="8">
        <v>45480</v>
      </c>
      <c r="L546" s="8">
        <v>45463</v>
      </c>
      <c r="M546" t="s">
        <v>2063</v>
      </c>
      <c r="N546">
        <v>47</v>
      </c>
      <c r="O546">
        <v>59</v>
      </c>
      <c r="P546" t="s">
        <v>39</v>
      </c>
    </row>
    <row r="547" spans="1:16" x14ac:dyDescent="0.35">
      <c r="A547" t="s">
        <v>2064</v>
      </c>
      <c r="B547" t="s">
        <v>1206</v>
      </c>
      <c r="C547" t="s">
        <v>48</v>
      </c>
      <c r="D547" t="s">
        <v>2065</v>
      </c>
      <c r="E547" t="s">
        <v>305</v>
      </c>
      <c r="F547">
        <v>84</v>
      </c>
      <c r="G547">
        <v>28</v>
      </c>
      <c r="H547">
        <v>29</v>
      </c>
      <c r="I547" t="s">
        <v>3552</v>
      </c>
      <c r="J547" s="8">
        <v>45697</v>
      </c>
      <c r="K547" s="8">
        <v>45703</v>
      </c>
      <c r="L547" s="8">
        <v>45640</v>
      </c>
      <c r="M547" t="s">
        <v>2066</v>
      </c>
      <c r="N547">
        <v>54</v>
      </c>
      <c r="O547">
        <v>32</v>
      </c>
      <c r="P547" t="s">
        <v>27</v>
      </c>
    </row>
    <row r="548" spans="1:16" x14ac:dyDescent="0.35">
      <c r="A548" t="s">
        <v>2067</v>
      </c>
      <c r="B548" t="s">
        <v>303</v>
      </c>
      <c r="C548" t="s">
        <v>133</v>
      </c>
      <c r="D548" t="s">
        <v>2068</v>
      </c>
      <c r="E548" t="s">
        <v>208</v>
      </c>
      <c r="F548">
        <v>30</v>
      </c>
      <c r="G548">
        <v>55</v>
      </c>
      <c r="H548">
        <v>4</v>
      </c>
      <c r="I548" t="s">
        <v>3476</v>
      </c>
      <c r="J548" s="8">
        <v>45529</v>
      </c>
      <c r="K548" s="8">
        <v>45501</v>
      </c>
      <c r="L548" s="8">
        <v>45688</v>
      </c>
      <c r="M548" t="s">
        <v>2069</v>
      </c>
      <c r="N548">
        <v>56</v>
      </c>
      <c r="O548">
        <v>31</v>
      </c>
      <c r="P548" t="s">
        <v>45</v>
      </c>
    </row>
    <row r="549" spans="1:16" x14ac:dyDescent="0.35">
      <c r="A549" t="s">
        <v>2070</v>
      </c>
      <c r="B549" t="s">
        <v>738</v>
      </c>
      <c r="C549" t="s">
        <v>59</v>
      </c>
      <c r="D549" t="s">
        <v>2071</v>
      </c>
      <c r="E549" t="s">
        <v>717</v>
      </c>
      <c r="F549">
        <v>14</v>
      </c>
      <c r="G549">
        <v>84</v>
      </c>
      <c r="H549">
        <v>15</v>
      </c>
      <c r="I549" t="s">
        <v>3516</v>
      </c>
      <c r="J549" s="8">
        <v>45685</v>
      </c>
      <c r="K549" s="8">
        <v>45695</v>
      </c>
      <c r="L549" s="8">
        <v>45638</v>
      </c>
      <c r="M549" t="s">
        <v>2072</v>
      </c>
      <c r="N549">
        <v>51</v>
      </c>
      <c r="O549">
        <v>73</v>
      </c>
      <c r="P549" t="s">
        <v>45</v>
      </c>
    </row>
    <row r="550" spans="1:16" x14ac:dyDescent="0.35">
      <c r="A550" t="s">
        <v>2073</v>
      </c>
      <c r="B550" t="s">
        <v>688</v>
      </c>
      <c r="C550" t="s">
        <v>23</v>
      </c>
      <c r="D550" t="s">
        <v>2074</v>
      </c>
      <c r="E550" t="s">
        <v>694</v>
      </c>
      <c r="F550">
        <v>21</v>
      </c>
      <c r="G550">
        <v>15</v>
      </c>
      <c r="H550">
        <v>27</v>
      </c>
      <c r="I550" t="s">
        <v>3480</v>
      </c>
      <c r="J550" s="8">
        <v>45693</v>
      </c>
      <c r="K550" s="8">
        <v>45576</v>
      </c>
      <c r="L550" s="8">
        <v>45512</v>
      </c>
      <c r="M550" t="s">
        <v>2075</v>
      </c>
      <c r="N550">
        <v>37</v>
      </c>
      <c r="O550">
        <v>41</v>
      </c>
      <c r="P550" t="s">
        <v>45</v>
      </c>
    </row>
    <row r="551" spans="1:16" x14ac:dyDescent="0.35">
      <c r="A551" t="s">
        <v>2076</v>
      </c>
      <c r="B551" t="s">
        <v>468</v>
      </c>
      <c r="C551" t="s">
        <v>23</v>
      </c>
      <c r="D551" t="s">
        <v>2077</v>
      </c>
      <c r="E551" t="s">
        <v>2078</v>
      </c>
      <c r="F551">
        <v>17</v>
      </c>
      <c r="G551">
        <v>19</v>
      </c>
      <c r="H551">
        <v>74</v>
      </c>
      <c r="I551" t="s">
        <v>3504</v>
      </c>
      <c r="J551" s="8">
        <v>45569</v>
      </c>
      <c r="K551" s="8">
        <v>45634</v>
      </c>
      <c r="L551" s="8">
        <v>45496</v>
      </c>
      <c r="M551" t="s">
        <v>2079</v>
      </c>
      <c r="N551">
        <v>58</v>
      </c>
      <c r="O551">
        <v>27</v>
      </c>
      <c r="P551" t="s">
        <v>27</v>
      </c>
    </row>
    <row r="552" spans="1:16" x14ac:dyDescent="0.35">
      <c r="A552" t="s">
        <v>2080</v>
      </c>
      <c r="B552" t="s">
        <v>595</v>
      </c>
      <c r="C552" t="s">
        <v>48</v>
      </c>
      <c r="D552" t="s">
        <v>2081</v>
      </c>
      <c r="E552" t="s">
        <v>433</v>
      </c>
      <c r="F552">
        <v>34</v>
      </c>
      <c r="G552">
        <v>92</v>
      </c>
      <c r="H552">
        <v>26</v>
      </c>
      <c r="I552" t="s">
        <v>3480</v>
      </c>
      <c r="J552" s="8">
        <v>45536</v>
      </c>
      <c r="K552" s="8">
        <v>45392</v>
      </c>
      <c r="L552" s="8">
        <v>45653</v>
      </c>
      <c r="M552" t="s">
        <v>2082</v>
      </c>
      <c r="N552">
        <v>28</v>
      </c>
      <c r="O552">
        <v>71</v>
      </c>
      <c r="P552" t="s">
        <v>45</v>
      </c>
    </row>
    <row r="553" spans="1:16" x14ac:dyDescent="0.35">
      <c r="A553" t="s">
        <v>2083</v>
      </c>
      <c r="B553" t="s">
        <v>468</v>
      </c>
      <c r="C553" t="s">
        <v>23</v>
      </c>
      <c r="D553" t="s">
        <v>2084</v>
      </c>
      <c r="E553" t="s">
        <v>101</v>
      </c>
      <c r="F553">
        <v>56</v>
      </c>
      <c r="G553">
        <v>48</v>
      </c>
      <c r="H553">
        <v>82</v>
      </c>
      <c r="I553" t="s">
        <v>3504</v>
      </c>
      <c r="J553" s="8">
        <v>45583</v>
      </c>
      <c r="K553" s="8">
        <v>45647</v>
      </c>
      <c r="L553" s="8">
        <v>45668</v>
      </c>
      <c r="M553" t="s">
        <v>2085</v>
      </c>
      <c r="N553">
        <v>71</v>
      </c>
      <c r="O553">
        <v>65</v>
      </c>
      <c r="P553" t="s">
        <v>39</v>
      </c>
    </row>
    <row r="554" spans="1:16" x14ac:dyDescent="0.35">
      <c r="A554" t="s">
        <v>2086</v>
      </c>
      <c r="B554" t="s">
        <v>47</v>
      </c>
      <c r="C554" t="s">
        <v>48</v>
      </c>
      <c r="D554" t="s">
        <v>2087</v>
      </c>
      <c r="E554" t="s">
        <v>1774</v>
      </c>
      <c r="F554">
        <v>64</v>
      </c>
      <c r="G554">
        <v>71</v>
      </c>
      <c r="H554">
        <v>69</v>
      </c>
      <c r="I554" t="s">
        <v>3535</v>
      </c>
      <c r="J554" s="8">
        <v>45575</v>
      </c>
      <c r="K554" s="8">
        <v>45457</v>
      </c>
      <c r="L554" s="8">
        <v>45575</v>
      </c>
      <c r="M554" t="s">
        <v>2088</v>
      </c>
      <c r="N554">
        <v>60</v>
      </c>
      <c r="O554">
        <v>67</v>
      </c>
      <c r="P554" t="s">
        <v>45</v>
      </c>
    </row>
    <row r="555" spans="1:16" x14ac:dyDescent="0.35">
      <c r="A555" t="s">
        <v>2089</v>
      </c>
      <c r="B555" t="s">
        <v>1126</v>
      </c>
      <c r="C555" t="s">
        <v>48</v>
      </c>
      <c r="D555" t="s">
        <v>2090</v>
      </c>
      <c r="E555" t="s">
        <v>1280</v>
      </c>
      <c r="F555">
        <v>87</v>
      </c>
      <c r="G555">
        <v>62</v>
      </c>
      <c r="H555">
        <v>2</v>
      </c>
      <c r="I555" t="s">
        <v>3531</v>
      </c>
      <c r="J555" s="8">
        <v>45482</v>
      </c>
      <c r="K555" s="8">
        <v>45376</v>
      </c>
      <c r="L555" s="8">
        <v>45565</v>
      </c>
      <c r="M555" t="s">
        <v>2091</v>
      </c>
      <c r="N555">
        <v>22</v>
      </c>
      <c r="O555">
        <v>38</v>
      </c>
      <c r="P555" t="s">
        <v>39</v>
      </c>
    </row>
    <row r="556" spans="1:16" x14ac:dyDescent="0.35">
      <c r="A556" t="s">
        <v>2092</v>
      </c>
      <c r="B556" t="s">
        <v>1206</v>
      </c>
      <c r="C556" t="s">
        <v>48</v>
      </c>
      <c r="D556" t="s">
        <v>2093</v>
      </c>
      <c r="E556" t="s">
        <v>289</v>
      </c>
      <c r="F556">
        <v>24</v>
      </c>
      <c r="G556">
        <v>25</v>
      </c>
      <c r="H556">
        <v>52</v>
      </c>
      <c r="I556" t="s">
        <v>3474</v>
      </c>
      <c r="J556" s="8">
        <v>45437</v>
      </c>
      <c r="K556" s="8">
        <v>45435</v>
      </c>
      <c r="L556" s="8">
        <v>45552</v>
      </c>
      <c r="M556" t="s">
        <v>2094</v>
      </c>
      <c r="N556">
        <v>24</v>
      </c>
      <c r="O556">
        <v>77</v>
      </c>
      <c r="P556" t="s">
        <v>39</v>
      </c>
    </row>
    <row r="557" spans="1:16" x14ac:dyDescent="0.35">
      <c r="A557" t="s">
        <v>2095</v>
      </c>
      <c r="B557" t="s">
        <v>22</v>
      </c>
      <c r="C557" t="s">
        <v>23</v>
      </c>
      <c r="D557" t="s">
        <v>2096</v>
      </c>
      <c r="E557" t="s">
        <v>486</v>
      </c>
      <c r="F557">
        <v>47</v>
      </c>
      <c r="G557">
        <v>1</v>
      </c>
      <c r="H557">
        <v>60</v>
      </c>
      <c r="I557" t="s">
        <v>3512</v>
      </c>
      <c r="J557" s="8">
        <v>45686</v>
      </c>
      <c r="K557" s="8">
        <v>45431</v>
      </c>
      <c r="L557" s="8">
        <v>45400</v>
      </c>
      <c r="M557" t="s">
        <v>2097</v>
      </c>
      <c r="N557">
        <v>32</v>
      </c>
      <c r="O557">
        <v>87</v>
      </c>
      <c r="P557" t="s">
        <v>27</v>
      </c>
    </row>
    <row r="558" spans="1:16" x14ac:dyDescent="0.35">
      <c r="A558" t="s">
        <v>2098</v>
      </c>
      <c r="B558" t="s">
        <v>984</v>
      </c>
      <c r="C558" t="s">
        <v>90</v>
      </c>
      <c r="D558" t="s">
        <v>2099</v>
      </c>
      <c r="E558" t="s">
        <v>908</v>
      </c>
      <c r="F558">
        <v>61</v>
      </c>
      <c r="G558">
        <v>8</v>
      </c>
      <c r="H558">
        <v>45</v>
      </c>
      <c r="I558" t="s">
        <v>3478</v>
      </c>
      <c r="J558" s="8">
        <v>45463</v>
      </c>
      <c r="K558" s="8">
        <v>45562</v>
      </c>
      <c r="L558" s="8">
        <v>45552</v>
      </c>
      <c r="M558" t="s">
        <v>2100</v>
      </c>
      <c r="N558">
        <v>73</v>
      </c>
      <c r="O558">
        <v>64</v>
      </c>
      <c r="P558" t="s">
        <v>27</v>
      </c>
    </row>
    <row r="559" spans="1:16" x14ac:dyDescent="0.35">
      <c r="A559" t="s">
        <v>2101</v>
      </c>
      <c r="B559" t="s">
        <v>89</v>
      </c>
      <c r="C559" t="s">
        <v>90</v>
      </c>
      <c r="D559" t="s">
        <v>2102</v>
      </c>
      <c r="E559" t="s">
        <v>352</v>
      </c>
      <c r="F559">
        <v>48</v>
      </c>
      <c r="G559">
        <v>2</v>
      </c>
      <c r="H559">
        <v>16</v>
      </c>
      <c r="I559" t="s">
        <v>3521</v>
      </c>
      <c r="J559" s="8">
        <v>45377</v>
      </c>
      <c r="K559" s="8">
        <v>45620</v>
      </c>
      <c r="L559" s="8">
        <v>45451</v>
      </c>
      <c r="M559" t="s">
        <v>2103</v>
      </c>
      <c r="N559">
        <v>27</v>
      </c>
      <c r="O559">
        <v>1</v>
      </c>
      <c r="P559" t="s">
        <v>27</v>
      </c>
    </row>
    <row r="560" spans="1:16" x14ac:dyDescent="0.35">
      <c r="A560" t="s">
        <v>2104</v>
      </c>
      <c r="B560" t="s">
        <v>446</v>
      </c>
      <c r="C560" t="s">
        <v>90</v>
      </c>
      <c r="D560" t="s">
        <v>2105</v>
      </c>
      <c r="E560" t="s">
        <v>422</v>
      </c>
      <c r="F560">
        <v>37</v>
      </c>
      <c r="G560">
        <v>96</v>
      </c>
      <c r="H560">
        <v>82</v>
      </c>
      <c r="I560" t="s">
        <v>3489</v>
      </c>
      <c r="J560" s="8">
        <v>45571</v>
      </c>
      <c r="K560" s="8">
        <v>45671</v>
      </c>
      <c r="L560" s="8">
        <v>45632</v>
      </c>
      <c r="M560" t="s">
        <v>2106</v>
      </c>
      <c r="N560">
        <v>35</v>
      </c>
      <c r="O560">
        <v>23</v>
      </c>
      <c r="P560" t="s">
        <v>39</v>
      </c>
    </row>
    <row r="561" spans="1:16" x14ac:dyDescent="0.35">
      <c r="A561" t="s">
        <v>2107</v>
      </c>
      <c r="B561" t="s">
        <v>29</v>
      </c>
      <c r="C561" t="s">
        <v>30</v>
      </c>
      <c r="D561" t="s">
        <v>2108</v>
      </c>
      <c r="E561" t="s">
        <v>1589</v>
      </c>
      <c r="F561">
        <v>45</v>
      </c>
      <c r="G561">
        <v>36</v>
      </c>
      <c r="H561">
        <v>97</v>
      </c>
      <c r="I561" t="s">
        <v>3475</v>
      </c>
      <c r="J561" s="8">
        <v>45653</v>
      </c>
      <c r="K561" s="8">
        <v>45438</v>
      </c>
      <c r="L561" s="8">
        <v>45682</v>
      </c>
      <c r="M561" t="s">
        <v>2109</v>
      </c>
      <c r="N561">
        <v>36</v>
      </c>
      <c r="O561">
        <v>6</v>
      </c>
      <c r="P561" t="s">
        <v>45</v>
      </c>
    </row>
    <row r="562" spans="1:16" x14ac:dyDescent="0.35">
      <c r="A562" t="s">
        <v>2110</v>
      </c>
      <c r="B562" t="s">
        <v>109</v>
      </c>
      <c r="C562" t="s">
        <v>23</v>
      </c>
      <c r="D562" t="s">
        <v>2111</v>
      </c>
      <c r="E562" t="s">
        <v>849</v>
      </c>
      <c r="F562">
        <v>87</v>
      </c>
      <c r="G562">
        <v>97</v>
      </c>
      <c r="H562">
        <v>28</v>
      </c>
      <c r="I562" t="s">
        <v>3477</v>
      </c>
      <c r="J562" s="8">
        <v>45455</v>
      </c>
      <c r="K562" s="8">
        <v>45558</v>
      </c>
      <c r="L562" s="8">
        <v>45400</v>
      </c>
      <c r="M562" t="s">
        <v>2112</v>
      </c>
      <c r="N562">
        <v>58</v>
      </c>
      <c r="O562">
        <v>21</v>
      </c>
      <c r="P562" t="s">
        <v>45</v>
      </c>
    </row>
    <row r="563" spans="1:16" x14ac:dyDescent="0.35">
      <c r="A563" t="s">
        <v>2113</v>
      </c>
      <c r="B563" t="s">
        <v>502</v>
      </c>
      <c r="C563" t="s">
        <v>23</v>
      </c>
      <c r="D563" t="s">
        <v>2114</v>
      </c>
      <c r="E563" t="s">
        <v>831</v>
      </c>
      <c r="F563">
        <v>37</v>
      </c>
      <c r="G563">
        <v>47</v>
      </c>
      <c r="H563">
        <v>34</v>
      </c>
      <c r="I563" t="s">
        <v>3506</v>
      </c>
      <c r="J563" s="8">
        <v>45503</v>
      </c>
      <c r="K563" s="8">
        <v>45596</v>
      </c>
      <c r="L563" s="8">
        <v>45493</v>
      </c>
      <c r="M563" t="s">
        <v>2115</v>
      </c>
      <c r="N563">
        <v>38</v>
      </c>
      <c r="O563">
        <v>89</v>
      </c>
      <c r="P563" t="s">
        <v>39</v>
      </c>
    </row>
    <row r="564" spans="1:16" x14ac:dyDescent="0.35">
      <c r="A564" t="s">
        <v>2116</v>
      </c>
      <c r="B564" t="s">
        <v>776</v>
      </c>
      <c r="C564" t="s">
        <v>30</v>
      </c>
      <c r="D564" t="s">
        <v>2117</v>
      </c>
      <c r="E564" t="s">
        <v>272</v>
      </c>
      <c r="F564">
        <v>59</v>
      </c>
      <c r="G564">
        <v>62</v>
      </c>
      <c r="H564">
        <v>57</v>
      </c>
      <c r="I564" t="s">
        <v>3558</v>
      </c>
      <c r="J564" s="8">
        <v>45546</v>
      </c>
      <c r="K564" s="8">
        <v>45489</v>
      </c>
      <c r="L564" s="8">
        <v>45347</v>
      </c>
      <c r="M564" t="s">
        <v>2118</v>
      </c>
      <c r="N564">
        <v>90</v>
      </c>
      <c r="O564">
        <v>94</v>
      </c>
      <c r="P564" t="s">
        <v>39</v>
      </c>
    </row>
    <row r="565" spans="1:16" x14ac:dyDescent="0.35">
      <c r="A565" t="s">
        <v>2119</v>
      </c>
      <c r="B565" t="s">
        <v>546</v>
      </c>
      <c r="C565" t="s">
        <v>48</v>
      </c>
      <c r="D565" t="s">
        <v>2120</v>
      </c>
      <c r="E565" t="s">
        <v>2121</v>
      </c>
      <c r="F565">
        <v>62</v>
      </c>
      <c r="G565">
        <v>40</v>
      </c>
      <c r="H565">
        <v>86</v>
      </c>
      <c r="I565" t="s">
        <v>3476</v>
      </c>
      <c r="J565" s="8">
        <v>45488</v>
      </c>
      <c r="K565" s="8">
        <v>45612</v>
      </c>
      <c r="L565" s="8">
        <v>45448</v>
      </c>
      <c r="M565" t="s">
        <v>2122</v>
      </c>
      <c r="N565">
        <v>45</v>
      </c>
      <c r="O565">
        <v>86</v>
      </c>
      <c r="P565" t="s">
        <v>39</v>
      </c>
    </row>
    <row r="566" spans="1:16" x14ac:dyDescent="0.35">
      <c r="A566" t="s">
        <v>2123</v>
      </c>
      <c r="B566" t="s">
        <v>1219</v>
      </c>
      <c r="C566" t="s">
        <v>65</v>
      </c>
      <c r="D566" t="s">
        <v>2124</v>
      </c>
      <c r="E566" t="s">
        <v>1606</v>
      </c>
      <c r="F566">
        <v>63</v>
      </c>
      <c r="G566">
        <v>12</v>
      </c>
      <c r="H566">
        <v>82</v>
      </c>
      <c r="I566" t="s">
        <v>3549</v>
      </c>
      <c r="J566" s="8">
        <v>45558</v>
      </c>
      <c r="K566" s="8">
        <v>45474</v>
      </c>
      <c r="L566" s="8">
        <v>45435</v>
      </c>
      <c r="M566" t="s">
        <v>2125</v>
      </c>
      <c r="N566">
        <v>56</v>
      </c>
      <c r="O566">
        <v>31</v>
      </c>
      <c r="P566" t="s">
        <v>39</v>
      </c>
    </row>
    <row r="567" spans="1:16" x14ac:dyDescent="0.35">
      <c r="A567" t="s">
        <v>2126</v>
      </c>
      <c r="B567" t="s">
        <v>1126</v>
      </c>
      <c r="C567" t="s">
        <v>48</v>
      </c>
      <c r="D567" t="s">
        <v>2127</v>
      </c>
      <c r="E567" t="s">
        <v>232</v>
      </c>
      <c r="F567">
        <v>38</v>
      </c>
      <c r="G567">
        <v>72</v>
      </c>
      <c r="H567">
        <v>39</v>
      </c>
      <c r="I567" t="s">
        <v>3531</v>
      </c>
      <c r="J567" s="8">
        <v>45483</v>
      </c>
      <c r="K567" s="8">
        <v>45467</v>
      </c>
      <c r="L567" s="8">
        <v>45575</v>
      </c>
      <c r="M567" t="s">
        <v>2128</v>
      </c>
      <c r="N567">
        <v>59</v>
      </c>
      <c r="O567">
        <v>8</v>
      </c>
      <c r="P567" t="s">
        <v>45</v>
      </c>
    </row>
    <row r="568" spans="1:16" x14ac:dyDescent="0.35">
      <c r="A568" t="s">
        <v>2129</v>
      </c>
      <c r="B568" t="s">
        <v>1043</v>
      </c>
      <c r="C568" t="s">
        <v>133</v>
      </c>
      <c r="D568" t="s">
        <v>2130</v>
      </c>
      <c r="E568" t="s">
        <v>2131</v>
      </c>
      <c r="F568">
        <v>76</v>
      </c>
      <c r="G568">
        <v>21</v>
      </c>
      <c r="H568">
        <v>3</v>
      </c>
      <c r="I568" t="s">
        <v>3527</v>
      </c>
      <c r="J568" s="8">
        <v>45678</v>
      </c>
      <c r="K568" s="8">
        <v>45514</v>
      </c>
      <c r="L568" s="8">
        <v>45365</v>
      </c>
      <c r="M568" t="s">
        <v>2132</v>
      </c>
      <c r="N568">
        <v>31</v>
      </c>
      <c r="O568">
        <v>47</v>
      </c>
      <c r="P568" t="s">
        <v>27</v>
      </c>
    </row>
    <row r="569" spans="1:16" x14ac:dyDescent="0.35">
      <c r="A569" t="s">
        <v>2133</v>
      </c>
      <c r="B569" t="s">
        <v>158</v>
      </c>
      <c r="C569" t="s">
        <v>65</v>
      </c>
      <c r="D569" t="s">
        <v>2134</v>
      </c>
      <c r="E569" t="s">
        <v>663</v>
      </c>
      <c r="F569">
        <v>34</v>
      </c>
      <c r="G569">
        <v>94</v>
      </c>
      <c r="H569">
        <v>69</v>
      </c>
      <c r="I569" t="s">
        <v>3488</v>
      </c>
      <c r="J569" s="8">
        <v>45660</v>
      </c>
      <c r="K569" s="8">
        <v>45363</v>
      </c>
      <c r="L569" s="8">
        <v>45490</v>
      </c>
      <c r="M569" t="s">
        <v>2135</v>
      </c>
      <c r="N569">
        <v>96</v>
      </c>
      <c r="O569">
        <v>30</v>
      </c>
      <c r="P569" t="s">
        <v>39</v>
      </c>
    </row>
    <row r="570" spans="1:16" x14ac:dyDescent="0.35">
      <c r="A570" t="s">
        <v>2136</v>
      </c>
      <c r="B570" t="s">
        <v>355</v>
      </c>
      <c r="C570" t="s">
        <v>48</v>
      </c>
      <c r="D570" t="s">
        <v>2137</v>
      </c>
      <c r="E570" t="s">
        <v>2138</v>
      </c>
      <c r="F570">
        <v>25</v>
      </c>
      <c r="G570">
        <v>62</v>
      </c>
      <c r="H570">
        <v>11</v>
      </c>
      <c r="I570" t="s">
        <v>3481</v>
      </c>
      <c r="J570" s="8">
        <v>45566</v>
      </c>
      <c r="K570" s="8">
        <v>45627</v>
      </c>
      <c r="L570" s="8">
        <v>45542</v>
      </c>
      <c r="M570" t="s">
        <v>2139</v>
      </c>
      <c r="N570">
        <v>57</v>
      </c>
      <c r="O570">
        <v>98</v>
      </c>
      <c r="P570" t="s">
        <v>39</v>
      </c>
    </row>
    <row r="571" spans="1:16" x14ac:dyDescent="0.35">
      <c r="A571" t="s">
        <v>2140</v>
      </c>
      <c r="B571" t="s">
        <v>729</v>
      </c>
      <c r="C571" t="s">
        <v>65</v>
      </c>
      <c r="D571" t="s">
        <v>2141</v>
      </c>
      <c r="E571" t="s">
        <v>2142</v>
      </c>
      <c r="F571">
        <v>86</v>
      </c>
      <c r="G571">
        <v>16</v>
      </c>
      <c r="H571">
        <v>37</v>
      </c>
      <c r="I571" t="s">
        <v>3480</v>
      </c>
      <c r="J571" s="8">
        <v>45378</v>
      </c>
      <c r="K571" s="8">
        <v>45421</v>
      </c>
      <c r="L571" s="8">
        <v>45646</v>
      </c>
      <c r="M571" t="s">
        <v>2143</v>
      </c>
      <c r="N571">
        <v>34</v>
      </c>
      <c r="O571">
        <v>66</v>
      </c>
      <c r="P571" t="s">
        <v>45</v>
      </c>
    </row>
    <row r="572" spans="1:16" x14ac:dyDescent="0.35">
      <c r="A572" t="s">
        <v>2144</v>
      </c>
      <c r="B572" t="s">
        <v>168</v>
      </c>
      <c r="C572" t="s">
        <v>90</v>
      </c>
      <c r="D572" t="s">
        <v>2145</v>
      </c>
      <c r="E572" t="s">
        <v>1674</v>
      </c>
      <c r="F572">
        <v>41</v>
      </c>
      <c r="G572">
        <v>21</v>
      </c>
      <c r="H572">
        <v>47</v>
      </c>
      <c r="I572" t="s">
        <v>3489</v>
      </c>
      <c r="J572" s="8">
        <v>45358</v>
      </c>
      <c r="K572" s="8">
        <v>45658</v>
      </c>
      <c r="L572" s="8">
        <v>45408</v>
      </c>
      <c r="M572" t="s">
        <v>2146</v>
      </c>
      <c r="N572">
        <v>50</v>
      </c>
      <c r="O572">
        <v>99</v>
      </c>
      <c r="P572" t="s">
        <v>45</v>
      </c>
    </row>
    <row r="573" spans="1:16" x14ac:dyDescent="0.35">
      <c r="A573" t="s">
        <v>2147</v>
      </c>
      <c r="B573" t="s">
        <v>595</v>
      </c>
      <c r="C573" t="s">
        <v>48</v>
      </c>
      <c r="D573" t="s">
        <v>2148</v>
      </c>
      <c r="E573" t="s">
        <v>2149</v>
      </c>
      <c r="F573">
        <v>77</v>
      </c>
      <c r="G573">
        <v>54</v>
      </c>
      <c r="H573">
        <v>10</v>
      </c>
      <c r="I573" t="s">
        <v>3480</v>
      </c>
      <c r="J573" s="8">
        <v>45500</v>
      </c>
      <c r="K573" s="8">
        <v>45567</v>
      </c>
      <c r="L573" s="8">
        <v>45648</v>
      </c>
      <c r="M573" t="s">
        <v>2150</v>
      </c>
      <c r="N573">
        <v>64</v>
      </c>
      <c r="O573">
        <v>73</v>
      </c>
      <c r="P573" t="s">
        <v>45</v>
      </c>
    </row>
    <row r="574" spans="1:16" x14ac:dyDescent="0.35">
      <c r="A574" t="s">
        <v>2151</v>
      </c>
      <c r="B574" t="s">
        <v>75</v>
      </c>
      <c r="C574" t="s">
        <v>65</v>
      </c>
      <c r="D574" t="s">
        <v>2152</v>
      </c>
      <c r="E574" t="s">
        <v>2005</v>
      </c>
      <c r="F574">
        <v>41</v>
      </c>
      <c r="G574">
        <v>61</v>
      </c>
      <c r="H574">
        <v>69</v>
      </c>
      <c r="I574" t="s">
        <v>3482</v>
      </c>
      <c r="J574" s="8">
        <v>45499</v>
      </c>
      <c r="K574" s="8">
        <v>45691</v>
      </c>
      <c r="L574" s="8">
        <v>45500</v>
      </c>
      <c r="M574" t="s">
        <v>2153</v>
      </c>
      <c r="N574">
        <v>30</v>
      </c>
      <c r="O574">
        <v>100</v>
      </c>
      <c r="P574" t="s">
        <v>27</v>
      </c>
    </row>
    <row r="575" spans="1:16" x14ac:dyDescent="0.35">
      <c r="A575" t="s">
        <v>2154</v>
      </c>
      <c r="B575" t="s">
        <v>275</v>
      </c>
      <c r="C575" t="s">
        <v>48</v>
      </c>
      <c r="D575" t="s">
        <v>2155</v>
      </c>
      <c r="E575" t="s">
        <v>410</v>
      </c>
      <c r="F575">
        <v>44</v>
      </c>
      <c r="G575">
        <v>8</v>
      </c>
      <c r="H575">
        <v>52</v>
      </c>
      <c r="I575" t="s">
        <v>3559</v>
      </c>
      <c r="J575" s="8">
        <v>45423</v>
      </c>
      <c r="K575" s="8">
        <v>45636</v>
      </c>
      <c r="L575" s="8">
        <v>45508</v>
      </c>
      <c r="M575" t="s">
        <v>2156</v>
      </c>
      <c r="N575">
        <v>42</v>
      </c>
      <c r="O575">
        <v>66</v>
      </c>
      <c r="P575" t="s">
        <v>45</v>
      </c>
    </row>
    <row r="576" spans="1:16" x14ac:dyDescent="0.35">
      <c r="A576" t="s">
        <v>2157</v>
      </c>
      <c r="B576" t="s">
        <v>604</v>
      </c>
      <c r="C576" t="s">
        <v>59</v>
      </c>
      <c r="D576" t="s">
        <v>2158</v>
      </c>
      <c r="E576" t="s">
        <v>1701</v>
      </c>
      <c r="F576">
        <v>53</v>
      </c>
      <c r="G576">
        <v>89</v>
      </c>
      <c r="H576">
        <v>100</v>
      </c>
      <c r="I576" t="s">
        <v>3503</v>
      </c>
      <c r="J576" s="8">
        <v>45474</v>
      </c>
      <c r="K576" s="8">
        <v>45388</v>
      </c>
      <c r="L576" s="8">
        <v>45571</v>
      </c>
      <c r="M576" t="s">
        <v>2159</v>
      </c>
      <c r="N576">
        <v>22</v>
      </c>
      <c r="O576">
        <v>83</v>
      </c>
      <c r="P576" t="s">
        <v>39</v>
      </c>
    </row>
    <row r="577" spans="1:16" x14ac:dyDescent="0.35">
      <c r="A577" t="s">
        <v>2160</v>
      </c>
      <c r="B577" t="s">
        <v>446</v>
      </c>
      <c r="C577" t="s">
        <v>90</v>
      </c>
      <c r="D577" t="s">
        <v>2161</v>
      </c>
      <c r="E577" t="s">
        <v>145</v>
      </c>
      <c r="F577">
        <v>68</v>
      </c>
      <c r="G577">
        <v>29</v>
      </c>
      <c r="H577">
        <v>100</v>
      </c>
      <c r="I577" t="s">
        <v>3489</v>
      </c>
      <c r="J577" s="8">
        <v>45609</v>
      </c>
      <c r="K577" s="8">
        <v>45562</v>
      </c>
      <c r="L577" s="8">
        <v>45489</v>
      </c>
      <c r="M577" t="s">
        <v>2162</v>
      </c>
      <c r="N577">
        <v>70</v>
      </c>
      <c r="O577">
        <v>26</v>
      </c>
      <c r="P577" t="s">
        <v>39</v>
      </c>
    </row>
    <row r="578" spans="1:16" x14ac:dyDescent="0.35">
      <c r="A578" t="s">
        <v>2163</v>
      </c>
      <c r="B578" t="s">
        <v>114</v>
      </c>
      <c r="C578" t="s">
        <v>65</v>
      </c>
      <c r="D578" t="s">
        <v>2164</v>
      </c>
      <c r="E578" t="s">
        <v>592</v>
      </c>
      <c r="F578">
        <v>96</v>
      </c>
      <c r="G578">
        <v>34</v>
      </c>
      <c r="H578">
        <v>57</v>
      </c>
      <c r="I578" t="s">
        <v>3486</v>
      </c>
      <c r="J578" s="8">
        <v>45619</v>
      </c>
      <c r="K578" s="8">
        <v>45585</v>
      </c>
      <c r="L578" s="8">
        <v>45462</v>
      </c>
      <c r="M578" t="s">
        <v>2165</v>
      </c>
      <c r="N578">
        <v>71</v>
      </c>
      <c r="O578">
        <v>17</v>
      </c>
      <c r="P578" t="s">
        <v>27</v>
      </c>
    </row>
    <row r="579" spans="1:16" x14ac:dyDescent="0.35">
      <c r="A579" t="s">
        <v>2166</v>
      </c>
      <c r="B579" t="s">
        <v>464</v>
      </c>
      <c r="C579" t="s">
        <v>48</v>
      </c>
      <c r="D579" t="s">
        <v>2167</v>
      </c>
      <c r="E579" t="s">
        <v>232</v>
      </c>
      <c r="F579">
        <v>33</v>
      </c>
      <c r="G579">
        <v>4</v>
      </c>
      <c r="H579">
        <v>31</v>
      </c>
      <c r="I579" t="s">
        <v>3485</v>
      </c>
      <c r="J579" s="8">
        <v>45364</v>
      </c>
      <c r="K579" s="8">
        <v>45669</v>
      </c>
      <c r="L579" s="8">
        <v>45457</v>
      </c>
      <c r="M579" t="s">
        <v>2168</v>
      </c>
      <c r="N579">
        <v>46</v>
      </c>
      <c r="O579">
        <v>92</v>
      </c>
      <c r="P579" t="s">
        <v>45</v>
      </c>
    </row>
    <row r="580" spans="1:16" x14ac:dyDescent="0.35">
      <c r="A580" t="s">
        <v>2169</v>
      </c>
      <c r="B580" t="s">
        <v>595</v>
      </c>
      <c r="C580" t="s">
        <v>48</v>
      </c>
      <c r="D580" t="s">
        <v>2170</v>
      </c>
      <c r="E580" t="s">
        <v>1451</v>
      </c>
      <c r="F580">
        <v>33</v>
      </c>
      <c r="G580">
        <v>89</v>
      </c>
      <c r="H580">
        <v>15</v>
      </c>
      <c r="I580" t="s">
        <v>3480</v>
      </c>
      <c r="J580" s="8">
        <v>45531</v>
      </c>
      <c r="K580" s="8">
        <v>45463</v>
      </c>
      <c r="L580" s="8">
        <v>45593</v>
      </c>
      <c r="M580" t="s">
        <v>2171</v>
      </c>
      <c r="N580">
        <v>90</v>
      </c>
      <c r="O580">
        <v>52</v>
      </c>
      <c r="P580" t="s">
        <v>27</v>
      </c>
    </row>
    <row r="581" spans="1:16" x14ac:dyDescent="0.35">
      <c r="A581" t="s">
        <v>2172</v>
      </c>
      <c r="B581" t="s">
        <v>781</v>
      </c>
      <c r="C581" t="s">
        <v>48</v>
      </c>
      <c r="D581" t="s">
        <v>2173</v>
      </c>
      <c r="E581" t="s">
        <v>2174</v>
      </c>
      <c r="F581">
        <v>90</v>
      </c>
      <c r="G581">
        <v>17</v>
      </c>
      <c r="H581">
        <v>17</v>
      </c>
      <c r="I581" t="s">
        <v>3481</v>
      </c>
      <c r="J581" s="8">
        <v>45382</v>
      </c>
      <c r="K581" s="8">
        <v>45538</v>
      </c>
      <c r="L581" s="8">
        <v>45361</v>
      </c>
      <c r="M581" t="s">
        <v>2175</v>
      </c>
      <c r="N581">
        <v>82</v>
      </c>
      <c r="O581">
        <v>84</v>
      </c>
      <c r="P581" t="s">
        <v>39</v>
      </c>
    </row>
    <row r="582" spans="1:16" x14ac:dyDescent="0.35">
      <c r="A582" t="s">
        <v>2176</v>
      </c>
      <c r="B582" t="s">
        <v>1146</v>
      </c>
      <c r="C582" t="s">
        <v>23</v>
      </c>
      <c r="D582" t="s">
        <v>2177</v>
      </c>
      <c r="E582" t="s">
        <v>478</v>
      </c>
      <c r="F582">
        <v>31</v>
      </c>
      <c r="G582">
        <v>29</v>
      </c>
      <c r="H582">
        <v>57</v>
      </c>
      <c r="I582" t="s">
        <v>3480</v>
      </c>
      <c r="J582" s="8">
        <v>45591</v>
      </c>
      <c r="K582" s="8">
        <v>45461</v>
      </c>
      <c r="L582" s="8">
        <v>45576</v>
      </c>
      <c r="M582" t="s">
        <v>2178</v>
      </c>
      <c r="N582">
        <v>25</v>
      </c>
      <c r="O582">
        <v>22</v>
      </c>
      <c r="P582" t="s">
        <v>45</v>
      </c>
    </row>
    <row r="583" spans="1:16" x14ac:dyDescent="0.35">
      <c r="A583" t="s">
        <v>2179</v>
      </c>
      <c r="B583" t="s">
        <v>752</v>
      </c>
      <c r="C583" t="s">
        <v>48</v>
      </c>
      <c r="D583" t="s">
        <v>2180</v>
      </c>
      <c r="E583" t="s">
        <v>2181</v>
      </c>
      <c r="F583">
        <v>92</v>
      </c>
      <c r="G583">
        <v>3</v>
      </c>
      <c r="H583">
        <v>81</v>
      </c>
      <c r="I583" t="s">
        <v>3489</v>
      </c>
      <c r="J583" s="8">
        <v>45387</v>
      </c>
      <c r="K583" s="8">
        <v>45347</v>
      </c>
      <c r="L583" s="8">
        <v>45645</v>
      </c>
      <c r="M583" t="s">
        <v>2182</v>
      </c>
      <c r="N583">
        <v>62</v>
      </c>
      <c r="O583">
        <v>20</v>
      </c>
      <c r="P583" t="s">
        <v>39</v>
      </c>
    </row>
    <row r="584" spans="1:16" x14ac:dyDescent="0.35">
      <c r="A584" t="s">
        <v>2183</v>
      </c>
      <c r="B584" t="s">
        <v>595</v>
      </c>
      <c r="C584" t="s">
        <v>48</v>
      </c>
      <c r="D584" t="s">
        <v>2184</v>
      </c>
      <c r="E584" t="s">
        <v>1128</v>
      </c>
      <c r="F584">
        <v>66</v>
      </c>
      <c r="G584">
        <v>31</v>
      </c>
      <c r="H584">
        <v>18</v>
      </c>
      <c r="I584" t="s">
        <v>3480</v>
      </c>
      <c r="J584" s="8">
        <v>45388</v>
      </c>
      <c r="K584" s="8">
        <v>45654</v>
      </c>
      <c r="L584" s="8">
        <v>45390</v>
      </c>
      <c r="M584" t="s">
        <v>2185</v>
      </c>
      <c r="N584">
        <v>85</v>
      </c>
      <c r="O584">
        <v>39</v>
      </c>
      <c r="P584" t="s">
        <v>39</v>
      </c>
    </row>
    <row r="585" spans="1:16" x14ac:dyDescent="0.35">
      <c r="A585" t="s">
        <v>2186</v>
      </c>
      <c r="B585" t="s">
        <v>801</v>
      </c>
      <c r="C585" t="s">
        <v>133</v>
      </c>
      <c r="D585" t="s">
        <v>2187</v>
      </c>
      <c r="E585" t="s">
        <v>1284</v>
      </c>
      <c r="F585">
        <v>83</v>
      </c>
      <c r="G585">
        <v>17</v>
      </c>
      <c r="H585">
        <v>39</v>
      </c>
      <c r="I585" t="s">
        <v>3503</v>
      </c>
      <c r="J585" s="8">
        <v>45446</v>
      </c>
      <c r="K585" s="8">
        <v>45484</v>
      </c>
      <c r="L585" s="8">
        <v>45382</v>
      </c>
      <c r="M585" t="s">
        <v>2188</v>
      </c>
      <c r="N585">
        <v>33</v>
      </c>
      <c r="O585">
        <v>20</v>
      </c>
      <c r="P585" t="s">
        <v>45</v>
      </c>
    </row>
    <row r="586" spans="1:16" x14ac:dyDescent="0.35">
      <c r="A586" t="s">
        <v>2189</v>
      </c>
      <c r="B586" t="s">
        <v>225</v>
      </c>
      <c r="C586" t="s">
        <v>48</v>
      </c>
      <c r="D586" t="s">
        <v>2190</v>
      </c>
      <c r="E586" t="s">
        <v>1941</v>
      </c>
      <c r="F586">
        <v>84</v>
      </c>
      <c r="G586">
        <v>9</v>
      </c>
      <c r="H586">
        <v>46</v>
      </c>
      <c r="I586" t="s">
        <v>3489</v>
      </c>
      <c r="J586" s="8">
        <v>45451</v>
      </c>
      <c r="K586" s="8">
        <v>45431</v>
      </c>
      <c r="L586" s="8">
        <v>45636</v>
      </c>
      <c r="M586" t="s">
        <v>2191</v>
      </c>
      <c r="N586">
        <v>30</v>
      </c>
      <c r="O586">
        <v>68</v>
      </c>
      <c r="P586" t="s">
        <v>39</v>
      </c>
    </row>
    <row r="587" spans="1:16" x14ac:dyDescent="0.35">
      <c r="A587" t="s">
        <v>2192</v>
      </c>
      <c r="B587" t="s">
        <v>197</v>
      </c>
      <c r="C587" t="s">
        <v>133</v>
      </c>
      <c r="D587" t="s">
        <v>2193</v>
      </c>
      <c r="E587" t="s">
        <v>2181</v>
      </c>
      <c r="F587">
        <v>76</v>
      </c>
      <c r="G587">
        <v>57</v>
      </c>
      <c r="H587">
        <v>78</v>
      </c>
      <c r="I587" t="s">
        <v>3492</v>
      </c>
      <c r="J587" s="8">
        <v>45461</v>
      </c>
      <c r="K587" s="8">
        <v>45470</v>
      </c>
      <c r="L587" s="8">
        <v>45410</v>
      </c>
      <c r="M587" t="s">
        <v>2194</v>
      </c>
      <c r="N587">
        <v>52</v>
      </c>
      <c r="O587">
        <v>86</v>
      </c>
      <c r="P587" t="s">
        <v>27</v>
      </c>
    </row>
    <row r="588" spans="1:16" x14ac:dyDescent="0.35">
      <c r="A588" t="s">
        <v>2195</v>
      </c>
      <c r="B588" t="s">
        <v>546</v>
      </c>
      <c r="C588" t="s">
        <v>48</v>
      </c>
      <c r="D588" t="s">
        <v>2196</v>
      </c>
      <c r="E588" t="s">
        <v>766</v>
      </c>
      <c r="F588">
        <v>26</v>
      </c>
      <c r="G588">
        <v>1</v>
      </c>
      <c r="H588">
        <v>9</v>
      </c>
      <c r="I588" t="s">
        <v>3476</v>
      </c>
      <c r="J588" s="8">
        <v>45698</v>
      </c>
      <c r="K588" s="8">
        <v>45387</v>
      </c>
      <c r="L588" s="8">
        <v>45628</v>
      </c>
      <c r="M588" t="s">
        <v>2197</v>
      </c>
      <c r="N588">
        <v>82</v>
      </c>
      <c r="O588">
        <v>8</v>
      </c>
      <c r="P588" t="s">
        <v>39</v>
      </c>
    </row>
    <row r="589" spans="1:16" x14ac:dyDescent="0.35">
      <c r="A589" t="s">
        <v>2198</v>
      </c>
      <c r="B589" t="s">
        <v>287</v>
      </c>
      <c r="C589" t="s">
        <v>30</v>
      </c>
      <c r="D589" t="s">
        <v>2199</v>
      </c>
      <c r="E589" t="s">
        <v>2200</v>
      </c>
      <c r="F589">
        <v>61</v>
      </c>
      <c r="G589">
        <v>31</v>
      </c>
      <c r="H589">
        <v>100</v>
      </c>
      <c r="I589" t="s">
        <v>3520</v>
      </c>
      <c r="J589" s="8">
        <v>45656</v>
      </c>
      <c r="K589" s="8">
        <v>45367</v>
      </c>
      <c r="L589" s="8">
        <v>45561</v>
      </c>
      <c r="M589" t="s">
        <v>2201</v>
      </c>
      <c r="N589">
        <v>95</v>
      </c>
      <c r="O589">
        <v>61</v>
      </c>
      <c r="P589" t="s">
        <v>45</v>
      </c>
    </row>
    <row r="590" spans="1:16" x14ac:dyDescent="0.35">
      <c r="A590" t="s">
        <v>2202</v>
      </c>
      <c r="B590" t="s">
        <v>1193</v>
      </c>
      <c r="C590" t="s">
        <v>65</v>
      </c>
      <c r="D590" t="s">
        <v>2203</v>
      </c>
      <c r="E590" t="s">
        <v>561</v>
      </c>
      <c r="F590">
        <v>15</v>
      </c>
      <c r="G590">
        <v>75</v>
      </c>
      <c r="H590">
        <v>78</v>
      </c>
      <c r="I590" t="s">
        <v>3541</v>
      </c>
      <c r="J590" s="8">
        <v>45689</v>
      </c>
      <c r="K590" s="8">
        <v>45700</v>
      </c>
      <c r="L590" s="8">
        <v>45702</v>
      </c>
      <c r="M590" t="s">
        <v>2204</v>
      </c>
      <c r="N590">
        <v>71</v>
      </c>
      <c r="O590">
        <v>21</v>
      </c>
      <c r="P590" t="s">
        <v>27</v>
      </c>
    </row>
    <row r="591" spans="1:16" x14ac:dyDescent="0.35">
      <c r="A591" t="s">
        <v>2205</v>
      </c>
      <c r="B591" t="s">
        <v>1185</v>
      </c>
      <c r="C591" t="s">
        <v>48</v>
      </c>
      <c r="D591" t="s">
        <v>2206</v>
      </c>
      <c r="E591" t="s">
        <v>2207</v>
      </c>
      <c r="F591">
        <v>73</v>
      </c>
      <c r="G591">
        <v>83</v>
      </c>
      <c r="H591">
        <v>74</v>
      </c>
      <c r="I591" t="s">
        <v>3489</v>
      </c>
      <c r="J591" s="8">
        <v>45380</v>
      </c>
      <c r="K591" s="8">
        <v>45693</v>
      </c>
      <c r="L591" s="8">
        <v>45495</v>
      </c>
      <c r="M591" t="s">
        <v>2208</v>
      </c>
      <c r="N591">
        <v>87</v>
      </c>
      <c r="O591">
        <v>10</v>
      </c>
      <c r="P591" t="s">
        <v>27</v>
      </c>
    </row>
    <row r="592" spans="1:16" x14ac:dyDescent="0.35">
      <c r="A592" t="s">
        <v>2209</v>
      </c>
      <c r="B592" t="s">
        <v>772</v>
      </c>
      <c r="C592" t="s">
        <v>23</v>
      </c>
      <c r="D592" t="s">
        <v>2210</v>
      </c>
      <c r="E592" t="s">
        <v>194</v>
      </c>
      <c r="F592">
        <v>41</v>
      </c>
      <c r="G592">
        <v>76</v>
      </c>
      <c r="H592">
        <v>47</v>
      </c>
      <c r="I592" t="s">
        <v>3560</v>
      </c>
      <c r="J592" s="8">
        <v>45550</v>
      </c>
      <c r="K592" s="8">
        <v>45402</v>
      </c>
      <c r="L592" s="8">
        <v>45449</v>
      </c>
      <c r="M592" t="s">
        <v>2211</v>
      </c>
      <c r="N592">
        <v>50</v>
      </c>
      <c r="O592">
        <v>50</v>
      </c>
      <c r="P592" t="s">
        <v>39</v>
      </c>
    </row>
    <row r="593" spans="1:16" x14ac:dyDescent="0.35">
      <c r="A593" t="s">
        <v>2212</v>
      </c>
      <c r="B593" t="s">
        <v>604</v>
      </c>
      <c r="C593" t="s">
        <v>59</v>
      </c>
      <c r="D593" t="s">
        <v>2213</v>
      </c>
      <c r="E593" t="s">
        <v>55</v>
      </c>
      <c r="F593">
        <v>14</v>
      </c>
      <c r="G593">
        <v>75</v>
      </c>
      <c r="H593">
        <v>10</v>
      </c>
      <c r="I593" t="s">
        <v>3503</v>
      </c>
      <c r="J593" s="8">
        <v>45569</v>
      </c>
      <c r="K593" s="8">
        <v>45682</v>
      </c>
      <c r="L593" s="8">
        <v>45474</v>
      </c>
      <c r="M593" t="s">
        <v>2214</v>
      </c>
      <c r="N593">
        <v>65</v>
      </c>
      <c r="O593">
        <v>62</v>
      </c>
      <c r="P593" t="s">
        <v>45</v>
      </c>
    </row>
    <row r="594" spans="1:16" x14ac:dyDescent="0.35">
      <c r="A594" t="s">
        <v>2215</v>
      </c>
      <c r="B594" t="s">
        <v>225</v>
      </c>
      <c r="C594" t="s">
        <v>48</v>
      </c>
      <c r="D594" t="s">
        <v>2216</v>
      </c>
      <c r="E594" t="s">
        <v>766</v>
      </c>
      <c r="F594">
        <v>99</v>
      </c>
      <c r="G594">
        <v>59</v>
      </c>
      <c r="H594">
        <v>12</v>
      </c>
      <c r="I594" t="s">
        <v>3489</v>
      </c>
      <c r="J594" s="8">
        <v>45467</v>
      </c>
      <c r="K594" s="8">
        <v>45555</v>
      </c>
      <c r="L594" s="8">
        <v>45700</v>
      </c>
      <c r="M594" t="s">
        <v>2217</v>
      </c>
      <c r="N594">
        <v>52</v>
      </c>
      <c r="O594">
        <v>57</v>
      </c>
      <c r="P594" t="s">
        <v>39</v>
      </c>
    </row>
    <row r="595" spans="1:16" x14ac:dyDescent="0.35">
      <c r="A595" t="s">
        <v>2218</v>
      </c>
      <c r="B595" t="s">
        <v>752</v>
      </c>
      <c r="C595" t="s">
        <v>48</v>
      </c>
      <c r="D595" t="s">
        <v>2219</v>
      </c>
      <c r="E595" t="s">
        <v>2220</v>
      </c>
      <c r="F595">
        <v>80</v>
      </c>
      <c r="G595">
        <v>6</v>
      </c>
      <c r="H595">
        <v>92</v>
      </c>
      <c r="I595" t="s">
        <v>3489</v>
      </c>
      <c r="J595" s="8">
        <v>45671</v>
      </c>
      <c r="K595" s="8">
        <v>45677</v>
      </c>
      <c r="L595" s="8">
        <v>45551</v>
      </c>
      <c r="M595" t="s">
        <v>2221</v>
      </c>
      <c r="N595">
        <v>26</v>
      </c>
      <c r="O595">
        <v>71</v>
      </c>
      <c r="P595" t="s">
        <v>27</v>
      </c>
    </row>
    <row r="596" spans="1:16" x14ac:dyDescent="0.35">
      <c r="A596" t="s">
        <v>2222</v>
      </c>
      <c r="B596" t="s">
        <v>355</v>
      </c>
      <c r="C596" t="s">
        <v>48</v>
      </c>
      <c r="D596" t="s">
        <v>2223</v>
      </c>
      <c r="E596" t="s">
        <v>1175</v>
      </c>
      <c r="F596">
        <v>49</v>
      </c>
      <c r="G596">
        <v>89</v>
      </c>
      <c r="H596">
        <v>65</v>
      </c>
      <c r="I596" t="s">
        <v>3481</v>
      </c>
      <c r="J596" s="8">
        <v>45436</v>
      </c>
      <c r="K596" s="8">
        <v>45515</v>
      </c>
      <c r="L596" s="8">
        <v>45429</v>
      </c>
      <c r="M596" t="s">
        <v>2224</v>
      </c>
      <c r="N596">
        <v>37</v>
      </c>
      <c r="O596">
        <v>48</v>
      </c>
      <c r="P596" t="s">
        <v>45</v>
      </c>
    </row>
    <row r="597" spans="1:16" x14ac:dyDescent="0.35">
      <c r="A597" t="s">
        <v>2225</v>
      </c>
      <c r="B597" t="s">
        <v>1126</v>
      </c>
      <c r="C597" t="s">
        <v>48</v>
      </c>
      <c r="D597" t="s">
        <v>2226</v>
      </c>
      <c r="E597" t="s">
        <v>576</v>
      </c>
      <c r="F597">
        <v>25</v>
      </c>
      <c r="G597">
        <v>74</v>
      </c>
      <c r="H597">
        <v>100</v>
      </c>
      <c r="I597" t="s">
        <v>3531</v>
      </c>
      <c r="J597" s="8">
        <v>45450</v>
      </c>
      <c r="K597" s="8">
        <v>45633</v>
      </c>
      <c r="L597" s="8">
        <v>45630</v>
      </c>
      <c r="M597" t="s">
        <v>2227</v>
      </c>
      <c r="N597">
        <v>41</v>
      </c>
      <c r="O597">
        <v>59</v>
      </c>
      <c r="P597" t="s">
        <v>27</v>
      </c>
    </row>
    <row r="598" spans="1:16" x14ac:dyDescent="0.35">
      <c r="A598" t="s">
        <v>2228</v>
      </c>
      <c r="B598" t="s">
        <v>738</v>
      </c>
      <c r="C598" t="s">
        <v>59</v>
      </c>
      <c r="D598" t="s">
        <v>2229</v>
      </c>
      <c r="E598" t="s">
        <v>453</v>
      </c>
      <c r="F598">
        <v>39</v>
      </c>
      <c r="G598">
        <v>78</v>
      </c>
      <c r="H598">
        <v>97</v>
      </c>
      <c r="I598" t="s">
        <v>3516</v>
      </c>
      <c r="J598" s="8">
        <v>45594</v>
      </c>
      <c r="K598" s="8">
        <v>45584</v>
      </c>
      <c r="L598" s="8">
        <v>45490</v>
      </c>
      <c r="M598" t="s">
        <v>2230</v>
      </c>
      <c r="N598">
        <v>54</v>
      </c>
      <c r="O598">
        <v>89</v>
      </c>
      <c r="P598" t="s">
        <v>39</v>
      </c>
    </row>
    <row r="599" spans="1:16" x14ac:dyDescent="0.35">
      <c r="A599" t="s">
        <v>2231</v>
      </c>
      <c r="B599" t="s">
        <v>275</v>
      </c>
      <c r="C599" t="s">
        <v>48</v>
      </c>
      <c r="D599" t="s">
        <v>2232</v>
      </c>
      <c r="E599" t="s">
        <v>2233</v>
      </c>
      <c r="F599">
        <v>94</v>
      </c>
      <c r="G599">
        <v>58</v>
      </c>
      <c r="H599">
        <v>17</v>
      </c>
      <c r="I599" t="s">
        <v>3497</v>
      </c>
      <c r="J599" s="8">
        <v>45505</v>
      </c>
      <c r="K599" s="8">
        <v>45478</v>
      </c>
      <c r="L599" s="8">
        <v>45645</v>
      </c>
      <c r="M599" t="s">
        <v>2234</v>
      </c>
      <c r="N599">
        <v>57</v>
      </c>
      <c r="O599">
        <v>74</v>
      </c>
      <c r="P599" t="s">
        <v>39</v>
      </c>
    </row>
    <row r="600" spans="1:16" x14ac:dyDescent="0.35">
      <c r="A600" t="s">
        <v>2235</v>
      </c>
      <c r="B600" t="s">
        <v>303</v>
      </c>
      <c r="C600" t="s">
        <v>133</v>
      </c>
      <c r="D600" t="s">
        <v>2236</v>
      </c>
      <c r="E600" t="s">
        <v>37</v>
      </c>
      <c r="F600">
        <v>11</v>
      </c>
      <c r="G600">
        <v>17</v>
      </c>
      <c r="H600">
        <v>59</v>
      </c>
      <c r="I600" t="s">
        <v>3476</v>
      </c>
      <c r="J600" s="8">
        <v>45493</v>
      </c>
      <c r="K600" s="8">
        <v>45378</v>
      </c>
      <c r="L600" s="8">
        <v>45390</v>
      </c>
      <c r="M600" t="s">
        <v>2237</v>
      </c>
      <c r="N600">
        <v>69</v>
      </c>
      <c r="O600">
        <v>100</v>
      </c>
      <c r="P600" t="s">
        <v>39</v>
      </c>
    </row>
    <row r="601" spans="1:16" x14ac:dyDescent="0.35">
      <c r="A601" t="s">
        <v>2238</v>
      </c>
      <c r="B601" t="s">
        <v>436</v>
      </c>
      <c r="C601" t="s">
        <v>59</v>
      </c>
      <c r="D601" t="s">
        <v>2239</v>
      </c>
      <c r="E601" t="s">
        <v>300</v>
      </c>
      <c r="F601">
        <v>21</v>
      </c>
      <c r="G601">
        <v>52</v>
      </c>
      <c r="H601">
        <v>80</v>
      </c>
      <c r="I601" t="s">
        <v>3478</v>
      </c>
      <c r="J601" s="8">
        <v>45446</v>
      </c>
      <c r="K601" s="8">
        <v>45600</v>
      </c>
      <c r="L601" s="8">
        <v>45658</v>
      </c>
      <c r="M601" t="s">
        <v>2240</v>
      </c>
      <c r="N601">
        <v>49</v>
      </c>
      <c r="O601">
        <v>37</v>
      </c>
      <c r="P601" t="s">
        <v>39</v>
      </c>
    </row>
    <row r="602" spans="1:16" x14ac:dyDescent="0.35">
      <c r="A602" t="s">
        <v>2241</v>
      </c>
      <c r="B602" t="s">
        <v>257</v>
      </c>
      <c r="C602" t="s">
        <v>48</v>
      </c>
      <c r="D602" t="s">
        <v>2242</v>
      </c>
      <c r="E602" t="s">
        <v>2078</v>
      </c>
      <c r="F602">
        <v>38</v>
      </c>
      <c r="G602">
        <v>91</v>
      </c>
      <c r="H602">
        <v>94</v>
      </c>
      <c r="I602" t="s">
        <v>3561</v>
      </c>
      <c r="J602" s="8">
        <v>45485</v>
      </c>
      <c r="K602" s="8">
        <v>45705</v>
      </c>
      <c r="L602" s="8">
        <v>45617</v>
      </c>
      <c r="M602" t="s">
        <v>2243</v>
      </c>
      <c r="N602">
        <v>53</v>
      </c>
      <c r="O602">
        <v>87</v>
      </c>
      <c r="P602" t="s">
        <v>27</v>
      </c>
    </row>
    <row r="603" spans="1:16" x14ac:dyDescent="0.35">
      <c r="A603" t="s">
        <v>2244</v>
      </c>
      <c r="B603" t="s">
        <v>456</v>
      </c>
      <c r="C603" t="s">
        <v>59</v>
      </c>
      <c r="D603" t="s">
        <v>2245</v>
      </c>
      <c r="E603" t="s">
        <v>418</v>
      </c>
      <c r="F603">
        <v>58</v>
      </c>
      <c r="G603">
        <v>23</v>
      </c>
      <c r="H603">
        <v>66</v>
      </c>
      <c r="I603" t="s">
        <v>3500</v>
      </c>
      <c r="J603" s="8">
        <v>45411</v>
      </c>
      <c r="K603" s="8">
        <v>45424</v>
      </c>
      <c r="L603" s="8">
        <v>45712</v>
      </c>
      <c r="M603" t="s">
        <v>2246</v>
      </c>
      <c r="N603">
        <v>82</v>
      </c>
      <c r="O603">
        <v>61</v>
      </c>
      <c r="P603" t="s">
        <v>39</v>
      </c>
    </row>
    <row r="604" spans="1:16" x14ac:dyDescent="0.35">
      <c r="A604" t="s">
        <v>2247</v>
      </c>
      <c r="B604" t="s">
        <v>47</v>
      </c>
      <c r="C604" t="s">
        <v>48</v>
      </c>
      <c r="D604" t="s">
        <v>2248</v>
      </c>
      <c r="E604" t="s">
        <v>2200</v>
      </c>
      <c r="F604">
        <v>85</v>
      </c>
      <c r="G604">
        <v>16</v>
      </c>
      <c r="H604">
        <v>74</v>
      </c>
      <c r="I604" t="s">
        <v>3509</v>
      </c>
      <c r="J604" s="8">
        <v>45614</v>
      </c>
      <c r="K604" s="8">
        <v>45573</v>
      </c>
      <c r="L604" s="8">
        <v>45629</v>
      </c>
      <c r="M604" t="s">
        <v>2249</v>
      </c>
      <c r="N604">
        <v>58</v>
      </c>
      <c r="O604">
        <v>36</v>
      </c>
      <c r="P604" t="s">
        <v>39</v>
      </c>
    </row>
    <row r="605" spans="1:16" x14ac:dyDescent="0.35">
      <c r="A605" t="s">
        <v>2250</v>
      </c>
      <c r="B605" t="s">
        <v>595</v>
      </c>
      <c r="C605" t="s">
        <v>48</v>
      </c>
      <c r="D605" t="s">
        <v>2251</v>
      </c>
      <c r="E605" t="s">
        <v>37</v>
      </c>
      <c r="F605">
        <v>63</v>
      </c>
      <c r="G605">
        <v>62</v>
      </c>
      <c r="H605">
        <v>98</v>
      </c>
      <c r="I605" t="s">
        <v>3480</v>
      </c>
      <c r="J605" s="8">
        <v>45442</v>
      </c>
      <c r="K605" s="8">
        <v>45372</v>
      </c>
      <c r="L605" s="8">
        <v>45679</v>
      </c>
      <c r="M605" t="s">
        <v>2252</v>
      </c>
      <c r="N605">
        <v>62</v>
      </c>
      <c r="O605">
        <v>45</v>
      </c>
      <c r="P605" t="s">
        <v>39</v>
      </c>
    </row>
    <row r="606" spans="1:16" x14ac:dyDescent="0.35">
      <c r="A606" t="s">
        <v>2253</v>
      </c>
      <c r="B606" t="s">
        <v>1539</v>
      </c>
      <c r="C606" t="s">
        <v>59</v>
      </c>
      <c r="D606" t="s">
        <v>2254</v>
      </c>
      <c r="E606" t="s">
        <v>2255</v>
      </c>
      <c r="F606">
        <v>54</v>
      </c>
      <c r="G606">
        <v>86</v>
      </c>
      <c r="H606">
        <v>69</v>
      </c>
      <c r="I606" t="s">
        <v>3489</v>
      </c>
      <c r="J606" s="8">
        <v>45622</v>
      </c>
      <c r="K606" s="8">
        <v>45519</v>
      </c>
      <c r="L606" s="8">
        <v>45390</v>
      </c>
      <c r="M606" t="s">
        <v>2256</v>
      </c>
      <c r="N606">
        <v>29</v>
      </c>
      <c r="O606">
        <v>8</v>
      </c>
      <c r="P606" t="s">
        <v>27</v>
      </c>
    </row>
    <row r="607" spans="1:16" x14ac:dyDescent="0.35">
      <c r="A607" t="s">
        <v>2257</v>
      </c>
      <c r="B607" t="s">
        <v>2258</v>
      </c>
      <c r="C607" t="s">
        <v>48</v>
      </c>
      <c r="D607" t="s">
        <v>2259</v>
      </c>
      <c r="E607" t="s">
        <v>552</v>
      </c>
      <c r="F607">
        <v>30</v>
      </c>
      <c r="G607">
        <v>25</v>
      </c>
      <c r="H607">
        <v>11</v>
      </c>
      <c r="I607" t="s">
        <v>3486</v>
      </c>
      <c r="J607" s="8">
        <v>45651</v>
      </c>
      <c r="K607" s="8">
        <v>45485</v>
      </c>
      <c r="L607" s="8">
        <v>45471</v>
      </c>
      <c r="M607" t="s">
        <v>2260</v>
      </c>
      <c r="N607">
        <v>42</v>
      </c>
      <c r="O607">
        <v>76</v>
      </c>
      <c r="P607" t="s">
        <v>45</v>
      </c>
    </row>
    <row r="608" spans="1:16" x14ac:dyDescent="0.35">
      <c r="A608" t="s">
        <v>2261</v>
      </c>
      <c r="B608" t="s">
        <v>595</v>
      </c>
      <c r="C608" t="s">
        <v>48</v>
      </c>
      <c r="D608" t="s">
        <v>2262</v>
      </c>
      <c r="E608" t="s">
        <v>798</v>
      </c>
      <c r="F608">
        <v>57</v>
      </c>
      <c r="G608">
        <v>25</v>
      </c>
      <c r="H608">
        <v>98</v>
      </c>
      <c r="I608" t="s">
        <v>3480</v>
      </c>
      <c r="J608" s="8">
        <v>45457</v>
      </c>
      <c r="K608" s="8">
        <v>45347</v>
      </c>
      <c r="L608" s="8">
        <v>45426</v>
      </c>
      <c r="M608" t="s">
        <v>2263</v>
      </c>
      <c r="N608">
        <v>78</v>
      </c>
      <c r="O608">
        <v>37</v>
      </c>
      <c r="P608" t="s">
        <v>45</v>
      </c>
    </row>
    <row r="609" spans="1:16" x14ac:dyDescent="0.35">
      <c r="A609" t="s">
        <v>2264</v>
      </c>
      <c r="B609" t="s">
        <v>711</v>
      </c>
      <c r="C609" t="s">
        <v>59</v>
      </c>
      <c r="D609" t="s">
        <v>2265</v>
      </c>
      <c r="E609" t="s">
        <v>1072</v>
      </c>
      <c r="F609">
        <v>18</v>
      </c>
      <c r="G609">
        <v>72</v>
      </c>
      <c r="H609">
        <v>71</v>
      </c>
      <c r="I609" t="s">
        <v>3484</v>
      </c>
      <c r="J609" s="8">
        <v>45417</v>
      </c>
      <c r="K609" s="8">
        <v>45516</v>
      </c>
      <c r="L609" s="8">
        <v>45463</v>
      </c>
      <c r="M609" t="s">
        <v>2266</v>
      </c>
      <c r="N609">
        <v>25</v>
      </c>
      <c r="O609">
        <v>81</v>
      </c>
      <c r="P609" t="s">
        <v>45</v>
      </c>
    </row>
    <row r="610" spans="1:16" x14ac:dyDescent="0.35">
      <c r="A610" t="s">
        <v>2267</v>
      </c>
      <c r="B610" t="s">
        <v>625</v>
      </c>
      <c r="C610" t="s">
        <v>133</v>
      </c>
      <c r="D610" t="s">
        <v>2268</v>
      </c>
      <c r="E610" t="s">
        <v>2269</v>
      </c>
      <c r="F610">
        <v>16</v>
      </c>
      <c r="G610">
        <v>34</v>
      </c>
      <c r="H610">
        <v>89</v>
      </c>
      <c r="I610" t="s">
        <v>3513</v>
      </c>
      <c r="J610" s="8">
        <v>45652</v>
      </c>
      <c r="K610" s="8">
        <v>45349</v>
      </c>
      <c r="L610" s="8">
        <v>45411</v>
      </c>
      <c r="M610" t="s">
        <v>2270</v>
      </c>
      <c r="N610">
        <v>35</v>
      </c>
      <c r="O610">
        <v>52</v>
      </c>
      <c r="P610" t="s">
        <v>39</v>
      </c>
    </row>
    <row r="611" spans="1:16" x14ac:dyDescent="0.35">
      <c r="A611" t="s">
        <v>2271</v>
      </c>
      <c r="B611" t="s">
        <v>630</v>
      </c>
      <c r="C611" t="s">
        <v>65</v>
      </c>
      <c r="D611" t="s">
        <v>2272</v>
      </c>
      <c r="E611" t="s">
        <v>929</v>
      </c>
      <c r="F611">
        <v>39</v>
      </c>
      <c r="G611">
        <v>80</v>
      </c>
      <c r="H611">
        <v>68</v>
      </c>
      <c r="I611" t="s">
        <v>3480</v>
      </c>
      <c r="J611" s="8">
        <v>45493</v>
      </c>
      <c r="K611" s="8">
        <v>45510</v>
      </c>
      <c r="L611" s="8">
        <v>45519</v>
      </c>
      <c r="M611" t="s">
        <v>2273</v>
      </c>
      <c r="N611">
        <v>46</v>
      </c>
      <c r="O611">
        <v>54</v>
      </c>
      <c r="P611" t="s">
        <v>27</v>
      </c>
    </row>
    <row r="612" spans="1:16" x14ac:dyDescent="0.35">
      <c r="A612" t="s">
        <v>2274</v>
      </c>
      <c r="B612" t="s">
        <v>230</v>
      </c>
      <c r="C612" t="s">
        <v>48</v>
      </c>
      <c r="D612" t="s">
        <v>2275</v>
      </c>
      <c r="E612" t="s">
        <v>1986</v>
      </c>
      <c r="F612">
        <v>59</v>
      </c>
      <c r="G612">
        <v>82</v>
      </c>
      <c r="H612">
        <v>69</v>
      </c>
      <c r="I612" t="s">
        <v>3536</v>
      </c>
      <c r="J612" s="8">
        <v>45416</v>
      </c>
      <c r="K612" s="8">
        <v>45376</v>
      </c>
      <c r="L612" s="8">
        <v>45354</v>
      </c>
      <c r="M612" t="s">
        <v>2276</v>
      </c>
      <c r="N612">
        <v>30</v>
      </c>
      <c r="O612">
        <v>34</v>
      </c>
      <c r="P612" t="s">
        <v>27</v>
      </c>
    </row>
    <row r="613" spans="1:16" x14ac:dyDescent="0.35">
      <c r="A613" t="s">
        <v>2277</v>
      </c>
      <c r="B613" t="s">
        <v>1480</v>
      </c>
      <c r="C613" t="s">
        <v>133</v>
      </c>
      <c r="D613" t="s">
        <v>2278</v>
      </c>
      <c r="E613" t="s">
        <v>2279</v>
      </c>
      <c r="F613">
        <v>79</v>
      </c>
      <c r="G613">
        <v>28</v>
      </c>
      <c r="H613">
        <v>4</v>
      </c>
      <c r="I613" t="s">
        <v>3495</v>
      </c>
      <c r="J613" s="8">
        <v>45689</v>
      </c>
      <c r="K613" s="8">
        <v>45555</v>
      </c>
      <c r="L613" s="8">
        <v>45429</v>
      </c>
      <c r="M613" t="s">
        <v>2280</v>
      </c>
      <c r="N613">
        <v>42</v>
      </c>
      <c r="O613">
        <v>46</v>
      </c>
      <c r="P613" t="s">
        <v>45</v>
      </c>
    </row>
    <row r="614" spans="1:16" x14ac:dyDescent="0.35">
      <c r="A614" t="s">
        <v>2281</v>
      </c>
      <c r="B614" t="s">
        <v>158</v>
      </c>
      <c r="C614" t="s">
        <v>65</v>
      </c>
      <c r="D614" t="s">
        <v>2282</v>
      </c>
      <c r="E614" t="s">
        <v>366</v>
      </c>
      <c r="F614">
        <v>78</v>
      </c>
      <c r="G614">
        <v>61</v>
      </c>
      <c r="H614">
        <v>6</v>
      </c>
      <c r="I614" t="s">
        <v>3488</v>
      </c>
      <c r="J614" s="8">
        <v>45439</v>
      </c>
      <c r="K614" s="8">
        <v>45571</v>
      </c>
      <c r="L614" s="8">
        <v>45644</v>
      </c>
      <c r="M614" t="s">
        <v>2283</v>
      </c>
      <c r="N614">
        <v>49</v>
      </c>
      <c r="O614">
        <v>60</v>
      </c>
      <c r="P614" t="s">
        <v>45</v>
      </c>
    </row>
    <row r="615" spans="1:16" x14ac:dyDescent="0.35">
      <c r="A615" t="s">
        <v>2284</v>
      </c>
      <c r="B615" t="s">
        <v>22</v>
      </c>
      <c r="C615" t="s">
        <v>23</v>
      </c>
      <c r="D615" t="s">
        <v>2285</v>
      </c>
      <c r="E615" t="s">
        <v>2286</v>
      </c>
      <c r="F615">
        <v>22</v>
      </c>
      <c r="G615">
        <v>10</v>
      </c>
      <c r="H615">
        <v>53</v>
      </c>
      <c r="I615" t="s">
        <v>3524</v>
      </c>
      <c r="J615" s="8">
        <v>45512</v>
      </c>
      <c r="K615" s="8">
        <v>45591</v>
      </c>
      <c r="L615" s="8">
        <v>45396</v>
      </c>
      <c r="M615" t="s">
        <v>2287</v>
      </c>
      <c r="N615">
        <v>64</v>
      </c>
      <c r="O615">
        <v>7</v>
      </c>
      <c r="P615" t="s">
        <v>45</v>
      </c>
    </row>
    <row r="616" spans="1:16" x14ac:dyDescent="0.35">
      <c r="A616" t="s">
        <v>2288</v>
      </c>
      <c r="B616" t="s">
        <v>2289</v>
      </c>
      <c r="C616" t="s">
        <v>65</v>
      </c>
      <c r="D616" t="s">
        <v>2290</v>
      </c>
      <c r="E616" t="s">
        <v>2291</v>
      </c>
      <c r="F616">
        <v>10</v>
      </c>
      <c r="G616">
        <v>17</v>
      </c>
      <c r="H616">
        <v>70</v>
      </c>
      <c r="I616" t="s">
        <v>3562</v>
      </c>
      <c r="J616" s="8">
        <v>45655</v>
      </c>
      <c r="K616" s="8">
        <v>45649</v>
      </c>
      <c r="L616" s="8">
        <v>45543</v>
      </c>
      <c r="M616" t="s">
        <v>2292</v>
      </c>
      <c r="N616">
        <v>100</v>
      </c>
      <c r="O616">
        <v>63</v>
      </c>
      <c r="P616" t="s">
        <v>39</v>
      </c>
    </row>
    <row r="617" spans="1:16" x14ac:dyDescent="0.35">
      <c r="A617" t="s">
        <v>2293</v>
      </c>
      <c r="B617" t="s">
        <v>386</v>
      </c>
      <c r="C617" t="s">
        <v>23</v>
      </c>
      <c r="D617" t="s">
        <v>2294</v>
      </c>
      <c r="E617" t="s">
        <v>656</v>
      </c>
      <c r="F617">
        <v>34</v>
      </c>
      <c r="G617">
        <v>32</v>
      </c>
      <c r="H617">
        <v>22</v>
      </c>
      <c r="I617" t="s">
        <v>3474</v>
      </c>
      <c r="J617" s="8">
        <v>45414</v>
      </c>
      <c r="K617" s="8">
        <v>45598</v>
      </c>
      <c r="L617" s="8">
        <v>45695</v>
      </c>
      <c r="M617" t="s">
        <v>2295</v>
      </c>
      <c r="N617">
        <v>42</v>
      </c>
      <c r="O617">
        <v>27</v>
      </c>
      <c r="P617" t="s">
        <v>45</v>
      </c>
    </row>
    <row r="618" spans="1:16" x14ac:dyDescent="0.35">
      <c r="A618" t="s">
        <v>2296</v>
      </c>
      <c r="B618" t="s">
        <v>364</v>
      </c>
      <c r="C618" t="s">
        <v>65</v>
      </c>
      <c r="D618" t="s">
        <v>2297</v>
      </c>
      <c r="E618" t="s">
        <v>470</v>
      </c>
      <c r="F618">
        <v>74</v>
      </c>
      <c r="G618">
        <v>62</v>
      </c>
      <c r="H618">
        <v>6</v>
      </c>
      <c r="I618" t="s">
        <v>3478</v>
      </c>
      <c r="J618" s="8">
        <v>45653</v>
      </c>
      <c r="K618" s="8">
        <v>45670</v>
      </c>
      <c r="L618" s="8">
        <v>45518</v>
      </c>
      <c r="M618" t="s">
        <v>2298</v>
      </c>
      <c r="N618">
        <v>65</v>
      </c>
      <c r="O618">
        <v>96</v>
      </c>
      <c r="P618" t="s">
        <v>45</v>
      </c>
    </row>
    <row r="619" spans="1:16" x14ac:dyDescent="0.35">
      <c r="A619" t="s">
        <v>2299</v>
      </c>
      <c r="B619" t="s">
        <v>22</v>
      </c>
      <c r="C619" t="s">
        <v>23</v>
      </c>
      <c r="D619" t="s">
        <v>2300</v>
      </c>
      <c r="E619" t="s">
        <v>783</v>
      </c>
      <c r="F619">
        <v>10</v>
      </c>
      <c r="G619">
        <v>11</v>
      </c>
      <c r="H619">
        <v>29</v>
      </c>
      <c r="I619" t="s">
        <v>3510</v>
      </c>
      <c r="J619" s="8">
        <v>45701</v>
      </c>
      <c r="K619" s="8">
        <v>45573</v>
      </c>
      <c r="L619" s="8">
        <v>45495</v>
      </c>
      <c r="M619" t="s">
        <v>2301</v>
      </c>
      <c r="N619">
        <v>29</v>
      </c>
      <c r="O619">
        <v>72</v>
      </c>
      <c r="P619" t="s">
        <v>39</v>
      </c>
    </row>
    <row r="620" spans="1:16" x14ac:dyDescent="0.35">
      <c r="A620" t="s">
        <v>2302</v>
      </c>
      <c r="B620" t="s">
        <v>829</v>
      </c>
      <c r="C620" t="s">
        <v>23</v>
      </c>
      <c r="D620" t="s">
        <v>2303</v>
      </c>
      <c r="E620" t="s">
        <v>944</v>
      </c>
      <c r="F620">
        <v>11</v>
      </c>
      <c r="G620">
        <v>87</v>
      </c>
      <c r="H620">
        <v>64</v>
      </c>
      <c r="I620" t="s">
        <v>3474</v>
      </c>
      <c r="J620" s="8">
        <v>45534</v>
      </c>
      <c r="K620" s="8">
        <v>45451</v>
      </c>
      <c r="L620" s="8">
        <v>45448</v>
      </c>
      <c r="M620" t="s">
        <v>2304</v>
      </c>
      <c r="N620">
        <v>29</v>
      </c>
      <c r="O620">
        <v>6</v>
      </c>
      <c r="P620" t="s">
        <v>45</v>
      </c>
    </row>
    <row r="621" spans="1:16" x14ac:dyDescent="0.35">
      <c r="A621" t="s">
        <v>2305</v>
      </c>
      <c r="B621" t="s">
        <v>1126</v>
      </c>
      <c r="C621" t="s">
        <v>48</v>
      </c>
      <c r="D621" t="s">
        <v>2306</v>
      </c>
      <c r="E621" t="s">
        <v>1670</v>
      </c>
      <c r="F621">
        <v>99</v>
      </c>
      <c r="G621">
        <v>68</v>
      </c>
      <c r="H621">
        <v>1</v>
      </c>
      <c r="I621" t="s">
        <v>3531</v>
      </c>
      <c r="J621" s="8">
        <v>45486</v>
      </c>
      <c r="K621" s="8">
        <v>45347</v>
      </c>
      <c r="L621" s="8">
        <v>45543</v>
      </c>
      <c r="M621" t="s">
        <v>2307</v>
      </c>
      <c r="N621">
        <v>59</v>
      </c>
      <c r="O621">
        <v>16</v>
      </c>
      <c r="P621" t="s">
        <v>27</v>
      </c>
    </row>
    <row r="622" spans="1:16" x14ac:dyDescent="0.35">
      <c r="A622" t="s">
        <v>2308</v>
      </c>
      <c r="B622" t="s">
        <v>114</v>
      </c>
      <c r="C622" t="s">
        <v>65</v>
      </c>
      <c r="D622" t="s">
        <v>2309</v>
      </c>
      <c r="E622" t="s">
        <v>690</v>
      </c>
      <c r="F622">
        <v>64</v>
      </c>
      <c r="G622">
        <v>14</v>
      </c>
      <c r="H622">
        <v>44</v>
      </c>
      <c r="I622" t="s">
        <v>3486</v>
      </c>
      <c r="J622" s="8">
        <v>45466</v>
      </c>
      <c r="K622" s="8">
        <v>45428</v>
      </c>
      <c r="L622" s="8">
        <v>45655</v>
      </c>
      <c r="M622" t="s">
        <v>2310</v>
      </c>
      <c r="N622">
        <v>53</v>
      </c>
      <c r="O622">
        <v>33</v>
      </c>
      <c r="P622" t="s">
        <v>45</v>
      </c>
    </row>
    <row r="623" spans="1:16" x14ac:dyDescent="0.35">
      <c r="A623" t="s">
        <v>2311</v>
      </c>
      <c r="B623" t="s">
        <v>172</v>
      </c>
      <c r="C623" t="s">
        <v>48</v>
      </c>
      <c r="D623" t="s">
        <v>2312</v>
      </c>
      <c r="E623" t="s">
        <v>2313</v>
      </c>
      <c r="F623">
        <v>58</v>
      </c>
      <c r="G623">
        <v>55</v>
      </c>
      <c r="H623">
        <v>5</v>
      </c>
      <c r="I623" t="s">
        <v>3498</v>
      </c>
      <c r="J623" s="8">
        <v>45657</v>
      </c>
      <c r="K623" s="8">
        <v>45399</v>
      </c>
      <c r="L623" s="8">
        <v>45663</v>
      </c>
      <c r="M623" t="s">
        <v>2314</v>
      </c>
      <c r="N623">
        <v>62</v>
      </c>
      <c r="O623">
        <v>89</v>
      </c>
      <c r="P623" t="s">
        <v>45</v>
      </c>
    </row>
    <row r="624" spans="1:16" x14ac:dyDescent="0.35">
      <c r="A624" t="s">
        <v>2315</v>
      </c>
      <c r="B624" t="s">
        <v>58</v>
      </c>
      <c r="C624" t="s">
        <v>59</v>
      </c>
      <c r="D624" t="s">
        <v>2316</v>
      </c>
      <c r="E624" t="s">
        <v>174</v>
      </c>
      <c r="F624">
        <v>26</v>
      </c>
      <c r="G624">
        <v>100</v>
      </c>
      <c r="H624">
        <v>13</v>
      </c>
      <c r="I624" t="s">
        <v>3480</v>
      </c>
      <c r="J624" s="8">
        <v>45619</v>
      </c>
      <c r="K624" s="8">
        <v>45553</v>
      </c>
      <c r="L624" s="8">
        <v>45664</v>
      </c>
      <c r="M624" t="s">
        <v>2317</v>
      </c>
      <c r="N624">
        <v>45</v>
      </c>
      <c r="O624">
        <v>45</v>
      </c>
      <c r="P624" t="s">
        <v>27</v>
      </c>
    </row>
    <row r="625" spans="1:16" x14ac:dyDescent="0.35">
      <c r="A625" t="s">
        <v>2318</v>
      </c>
      <c r="B625" t="s">
        <v>153</v>
      </c>
      <c r="C625" t="s">
        <v>23</v>
      </c>
      <c r="D625" t="s">
        <v>2319</v>
      </c>
      <c r="E625" t="s">
        <v>639</v>
      </c>
      <c r="F625">
        <v>72</v>
      </c>
      <c r="G625">
        <v>72</v>
      </c>
      <c r="H625">
        <v>68</v>
      </c>
      <c r="I625" t="s">
        <v>3477</v>
      </c>
      <c r="J625" s="8">
        <v>45564</v>
      </c>
      <c r="K625" s="8">
        <v>45469</v>
      </c>
      <c r="L625" s="8">
        <v>45613</v>
      </c>
      <c r="M625" t="s">
        <v>2320</v>
      </c>
      <c r="N625">
        <v>39</v>
      </c>
      <c r="O625">
        <v>78</v>
      </c>
      <c r="P625" t="s">
        <v>45</v>
      </c>
    </row>
    <row r="626" spans="1:16" x14ac:dyDescent="0.35">
      <c r="A626" t="s">
        <v>2321</v>
      </c>
      <c r="B626" t="s">
        <v>345</v>
      </c>
      <c r="C626" t="s">
        <v>65</v>
      </c>
      <c r="D626" t="s">
        <v>2322</v>
      </c>
      <c r="E626" t="s">
        <v>1033</v>
      </c>
      <c r="F626">
        <v>36</v>
      </c>
      <c r="G626">
        <v>82</v>
      </c>
      <c r="H626">
        <v>85</v>
      </c>
      <c r="I626" t="s">
        <v>3563</v>
      </c>
      <c r="J626" s="8">
        <v>45410</v>
      </c>
      <c r="K626" s="8">
        <v>45380</v>
      </c>
      <c r="L626" s="8">
        <v>45509</v>
      </c>
      <c r="M626" t="s">
        <v>2323</v>
      </c>
      <c r="N626">
        <v>27</v>
      </c>
      <c r="O626">
        <v>67</v>
      </c>
      <c r="P626" t="s">
        <v>27</v>
      </c>
    </row>
    <row r="627" spans="1:16" x14ac:dyDescent="0.35">
      <c r="A627" t="s">
        <v>2324</v>
      </c>
      <c r="B627" t="s">
        <v>163</v>
      </c>
      <c r="C627" t="s">
        <v>48</v>
      </c>
      <c r="D627" t="s">
        <v>2325</v>
      </c>
      <c r="E627" t="s">
        <v>2326</v>
      </c>
      <c r="F627">
        <v>24</v>
      </c>
      <c r="G627">
        <v>21</v>
      </c>
      <c r="H627">
        <v>4</v>
      </c>
      <c r="I627" t="s">
        <v>3476</v>
      </c>
      <c r="J627" s="8">
        <v>45387</v>
      </c>
      <c r="K627" s="8">
        <v>45470</v>
      </c>
      <c r="L627" s="8">
        <v>45593</v>
      </c>
      <c r="M627" t="s">
        <v>2327</v>
      </c>
      <c r="N627">
        <v>85</v>
      </c>
      <c r="O627">
        <v>17</v>
      </c>
      <c r="P627" t="s">
        <v>39</v>
      </c>
    </row>
    <row r="628" spans="1:16" x14ac:dyDescent="0.35">
      <c r="A628" t="s">
        <v>2328</v>
      </c>
      <c r="B628" t="s">
        <v>202</v>
      </c>
      <c r="C628" t="s">
        <v>48</v>
      </c>
      <c r="D628" t="s">
        <v>2329</v>
      </c>
      <c r="E628" t="s">
        <v>841</v>
      </c>
      <c r="F628">
        <v>16</v>
      </c>
      <c r="G628">
        <v>75</v>
      </c>
      <c r="H628">
        <v>42</v>
      </c>
      <c r="I628" t="s">
        <v>3484</v>
      </c>
      <c r="J628" s="8">
        <v>45496</v>
      </c>
      <c r="K628" s="8">
        <v>45372</v>
      </c>
      <c r="L628" s="8">
        <v>45436</v>
      </c>
      <c r="M628" t="s">
        <v>2330</v>
      </c>
      <c r="N628">
        <v>22</v>
      </c>
      <c r="O628">
        <v>46</v>
      </c>
      <c r="P628" t="s">
        <v>45</v>
      </c>
    </row>
    <row r="629" spans="1:16" x14ac:dyDescent="0.35">
      <c r="A629" t="s">
        <v>2331</v>
      </c>
      <c r="B629" t="s">
        <v>538</v>
      </c>
      <c r="C629" t="s">
        <v>48</v>
      </c>
      <c r="D629" t="s">
        <v>2332</v>
      </c>
      <c r="E629" t="s">
        <v>2333</v>
      </c>
      <c r="F629">
        <v>39</v>
      </c>
      <c r="G629">
        <v>19</v>
      </c>
      <c r="H629">
        <v>18</v>
      </c>
      <c r="I629" t="s">
        <v>3564</v>
      </c>
      <c r="J629" s="8">
        <v>45381</v>
      </c>
      <c r="K629" s="8">
        <v>45491</v>
      </c>
      <c r="L629" s="8">
        <v>45677</v>
      </c>
      <c r="M629" t="s">
        <v>2334</v>
      </c>
      <c r="N629">
        <v>58</v>
      </c>
      <c r="O629">
        <v>90</v>
      </c>
      <c r="P629" t="s">
        <v>45</v>
      </c>
    </row>
    <row r="630" spans="1:16" x14ac:dyDescent="0.35">
      <c r="A630" t="s">
        <v>2335</v>
      </c>
      <c r="B630" t="s">
        <v>215</v>
      </c>
      <c r="C630" t="s">
        <v>48</v>
      </c>
      <c r="D630" t="s">
        <v>2336</v>
      </c>
      <c r="E630" t="s">
        <v>2337</v>
      </c>
      <c r="F630">
        <v>89</v>
      </c>
      <c r="G630">
        <v>56</v>
      </c>
      <c r="H630">
        <v>74</v>
      </c>
      <c r="I630" t="s">
        <v>3480</v>
      </c>
      <c r="J630" s="8">
        <v>45606</v>
      </c>
      <c r="K630" s="8">
        <v>45503</v>
      </c>
      <c r="L630" s="8">
        <v>45566</v>
      </c>
      <c r="M630" t="s">
        <v>2338</v>
      </c>
      <c r="N630">
        <v>27</v>
      </c>
      <c r="O630">
        <v>51</v>
      </c>
      <c r="P630" t="s">
        <v>39</v>
      </c>
    </row>
    <row r="631" spans="1:16" x14ac:dyDescent="0.35">
      <c r="A631" t="s">
        <v>2339</v>
      </c>
      <c r="B631" t="s">
        <v>2258</v>
      </c>
      <c r="C631" t="s">
        <v>48</v>
      </c>
      <c r="D631" t="s">
        <v>2340</v>
      </c>
      <c r="E631" t="s">
        <v>1312</v>
      </c>
      <c r="F631">
        <v>57</v>
      </c>
      <c r="G631">
        <v>82</v>
      </c>
      <c r="H631">
        <v>59</v>
      </c>
      <c r="I631" t="s">
        <v>3486</v>
      </c>
      <c r="J631" s="8">
        <v>45545</v>
      </c>
      <c r="K631" s="8">
        <v>45616</v>
      </c>
      <c r="L631" s="8">
        <v>45454</v>
      </c>
      <c r="M631" t="s">
        <v>2341</v>
      </c>
      <c r="N631">
        <v>44</v>
      </c>
      <c r="O631">
        <v>57</v>
      </c>
      <c r="P631" t="s">
        <v>45</v>
      </c>
    </row>
    <row r="632" spans="1:16" x14ac:dyDescent="0.35">
      <c r="A632" t="s">
        <v>2342</v>
      </c>
      <c r="B632" t="s">
        <v>192</v>
      </c>
      <c r="C632" t="s">
        <v>30</v>
      </c>
      <c r="D632" t="s">
        <v>2343</v>
      </c>
      <c r="E632" t="s">
        <v>2344</v>
      </c>
      <c r="F632">
        <v>61</v>
      </c>
      <c r="G632">
        <v>22</v>
      </c>
      <c r="H632">
        <v>98</v>
      </c>
      <c r="I632" t="s">
        <v>3491</v>
      </c>
      <c r="J632" s="8">
        <v>45358</v>
      </c>
      <c r="K632" s="8">
        <v>45567</v>
      </c>
      <c r="L632" s="8">
        <v>45605</v>
      </c>
      <c r="M632" t="s">
        <v>2345</v>
      </c>
      <c r="N632">
        <v>90</v>
      </c>
      <c r="O632">
        <v>11</v>
      </c>
      <c r="P632" t="s">
        <v>45</v>
      </c>
    </row>
    <row r="633" spans="1:16" x14ac:dyDescent="0.35">
      <c r="A633" t="s">
        <v>2346</v>
      </c>
      <c r="B633" t="s">
        <v>220</v>
      </c>
      <c r="C633" t="s">
        <v>23</v>
      </c>
      <c r="D633" t="s">
        <v>2347</v>
      </c>
      <c r="E633" t="s">
        <v>798</v>
      </c>
      <c r="F633">
        <v>56</v>
      </c>
      <c r="G633">
        <v>28</v>
      </c>
      <c r="H633">
        <v>76</v>
      </c>
      <c r="I633" t="s">
        <v>3481</v>
      </c>
      <c r="J633" s="8">
        <v>45590</v>
      </c>
      <c r="K633" s="8">
        <v>45692</v>
      </c>
      <c r="L633" s="8">
        <v>45537</v>
      </c>
      <c r="M633" t="s">
        <v>2348</v>
      </c>
      <c r="N633">
        <v>93</v>
      </c>
      <c r="O633">
        <v>69</v>
      </c>
      <c r="P633" t="s">
        <v>45</v>
      </c>
    </row>
    <row r="634" spans="1:16" x14ac:dyDescent="0.35">
      <c r="A634" t="s">
        <v>2349</v>
      </c>
      <c r="B634" t="s">
        <v>408</v>
      </c>
      <c r="C634" t="s">
        <v>65</v>
      </c>
      <c r="D634" t="s">
        <v>2350</v>
      </c>
      <c r="E634" t="s">
        <v>973</v>
      </c>
      <c r="F634">
        <v>21</v>
      </c>
      <c r="G634">
        <v>24</v>
      </c>
      <c r="H634">
        <v>2</v>
      </c>
      <c r="I634" t="s">
        <v>3565</v>
      </c>
      <c r="J634" s="8">
        <v>45387</v>
      </c>
      <c r="K634" s="8">
        <v>45546</v>
      </c>
      <c r="L634" s="8">
        <v>45563</v>
      </c>
      <c r="M634" t="s">
        <v>2351</v>
      </c>
      <c r="N634">
        <v>87</v>
      </c>
      <c r="O634">
        <v>36</v>
      </c>
      <c r="P634" t="s">
        <v>39</v>
      </c>
    </row>
    <row r="635" spans="1:16" x14ac:dyDescent="0.35">
      <c r="A635" t="s">
        <v>2352</v>
      </c>
      <c r="B635" t="s">
        <v>1126</v>
      </c>
      <c r="C635" t="s">
        <v>48</v>
      </c>
      <c r="D635" t="s">
        <v>2353</v>
      </c>
      <c r="E635" t="s">
        <v>2354</v>
      </c>
      <c r="F635">
        <v>59</v>
      </c>
      <c r="G635">
        <v>29</v>
      </c>
      <c r="H635">
        <v>100</v>
      </c>
      <c r="I635" t="s">
        <v>3531</v>
      </c>
      <c r="J635" s="8">
        <v>45386</v>
      </c>
      <c r="K635" s="8">
        <v>45625</v>
      </c>
      <c r="L635" s="8">
        <v>45658</v>
      </c>
      <c r="M635" t="s">
        <v>2355</v>
      </c>
      <c r="N635">
        <v>74</v>
      </c>
      <c r="O635">
        <v>16</v>
      </c>
      <c r="P635" t="s">
        <v>27</v>
      </c>
    </row>
    <row r="636" spans="1:16" x14ac:dyDescent="0.35">
      <c r="A636" t="s">
        <v>2356</v>
      </c>
      <c r="B636" t="s">
        <v>287</v>
      </c>
      <c r="C636" t="s">
        <v>30</v>
      </c>
      <c r="D636" t="s">
        <v>2357</v>
      </c>
      <c r="E636" t="s">
        <v>208</v>
      </c>
      <c r="F636">
        <v>20</v>
      </c>
      <c r="G636">
        <v>68</v>
      </c>
      <c r="H636">
        <v>20</v>
      </c>
      <c r="I636" t="s">
        <v>3487</v>
      </c>
      <c r="J636" s="8">
        <v>45666</v>
      </c>
      <c r="K636" s="8">
        <v>45477</v>
      </c>
      <c r="L636" s="8">
        <v>45598</v>
      </c>
      <c r="M636" t="s">
        <v>2358</v>
      </c>
      <c r="N636">
        <v>38</v>
      </c>
      <c r="O636">
        <v>51</v>
      </c>
      <c r="P636" t="s">
        <v>45</v>
      </c>
    </row>
    <row r="637" spans="1:16" x14ac:dyDescent="0.35">
      <c r="A637" t="s">
        <v>2359</v>
      </c>
      <c r="B637" t="s">
        <v>89</v>
      </c>
      <c r="C637" t="s">
        <v>90</v>
      </c>
      <c r="D637" t="s">
        <v>2360</v>
      </c>
      <c r="E637" t="s">
        <v>890</v>
      </c>
      <c r="F637">
        <v>99</v>
      </c>
      <c r="G637">
        <v>6</v>
      </c>
      <c r="H637">
        <v>88</v>
      </c>
      <c r="I637" t="s">
        <v>3481</v>
      </c>
      <c r="J637" s="8">
        <v>45427</v>
      </c>
      <c r="K637" s="8">
        <v>45489</v>
      </c>
      <c r="L637" s="8">
        <v>45640</v>
      </c>
      <c r="M637" t="s">
        <v>2361</v>
      </c>
      <c r="N637">
        <v>49</v>
      </c>
      <c r="O637">
        <v>9</v>
      </c>
      <c r="P637" t="s">
        <v>45</v>
      </c>
    </row>
    <row r="638" spans="1:16" x14ac:dyDescent="0.35">
      <c r="A638" t="s">
        <v>2362</v>
      </c>
      <c r="B638" t="s">
        <v>673</v>
      </c>
      <c r="C638" t="s">
        <v>30</v>
      </c>
      <c r="D638" t="s">
        <v>2363</v>
      </c>
      <c r="E638" t="s">
        <v>448</v>
      </c>
      <c r="F638">
        <v>24</v>
      </c>
      <c r="G638">
        <v>27</v>
      </c>
      <c r="H638">
        <v>35</v>
      </c>
      <c r="I638" t="s">
        <v>3486</v>
      </c>
      <c r="J638" s="8">
        <v>45579</v>
      </c>
      <c r="K638" s="8">
        <v>45688</v>
      </c>
      <c r="L638" s="8">
        <v>45616</v>
      </c>
      <c r="M638" t="s">
        <v>2364</v>
      </c>
      <c r="N638">
        <v>49</v>
      </c>
      <c r="O638">
        <v>58</v>
      </c>
      <c r="P638" t="s">
        <v>45</v>
      </c>
    </row>
    <row r="639" spans="1:16" x14ac:dyDescent="0.35">
      <c r="A639" t="s">
        <v>2365</v>
      </c>
      <c r="B639" t="s">
        <v>22</v>
      </c>
      <c r="C639" t="s">
        <v>23</v>
      </c>
      <c r="D639" t="s">
        <v>2366</v>
      </c>
      <c r="E639" t="s">
        <v>557</v>
      </c>
      <c r="F639">
        <v>78</v>
      </c>
      <c r="G639">
        <v>94</v>
      </c>
      <c r="H639">
        <v>7</v>
      </c>
      <c r="I639" t="s">
        <v>3566</v>
      </c>
      <c r="J639" s="8">
        <v>45541</v>
      </c>
      <c r="K639" s="8">
        <v>45599</v>
      </c>
      <c r="L639" s="8">
        <v>45434</v>
      </c>
      <c r="M639" t="s">
        <v>2367</v>
      </c>
      <c r="N639">
        <v>69</v>
      </c>
      <c r="O639">
        <v>40</v>
      </c>
      <c r="P639" t="s">
        <v>39</v>
      </c>
    </row>
    <row r="640" spans="1:16" x14ac:dyDescent="0.35">
      <c r="A640" t="s">
        <v>2368</v>
      </c>
      <c r="B640" t="s">
        <v>75</v>
      </c>
      <c r="C640" t="s">
        <v>65</v>
      </c>
      <c r="D640" t="s">
        <v>2369</v>
      </c>
      <c r="E640" t="s">
        <v>81</v>
      </c>
      <c r="F640">
        <v>52</v>
      </c>
      <c r="G640">
        <v>31</v>
      </c>
      <c r="H640">
        <v>18</v>
      </c>
      <c r="I640" t="s">
        <v>3482</v>
      </c>
      <c r="J640" s="8">
        <v>45410</v>
      </c>
      <c r="K640" s="8">
        <v>45617</v>
      </c>
      <c r="L640" s="8">
        <v>45690</v>
      </c>
      <c r="M640" t="s">
        <v>2370</v>
      </c>
      <c r="N640">
        <v>77</v>
      </c>
      <c r="O640">
        <v>16</v>
      </c>
      <c r="P640" t="s">
        <v>39</v>
      </c>
    </row>
    <row r="641" spans="1:16" x14ac:dyDescent="0.35">
      <c r="A641" t="s">
        <v>2371</v>
      </c>
      <c r="B641" t="s">
        <v>127</v>
      </c>
      <c r="C641" t="s">
        <v>48</v>
      </c>
      <c r="D641" t="s">
        <v>2372</v>
      </c>
      <c r="E641" t="s">
        <v>2373</v>
      </c>
      <c r="F641">
        <v>45</v>
      </c>
      <c r="G641">
        <v>70</v>
      </c>
      <c r="H641">
        <v>98</v>
      </c>
      <c r="I641" t="s">
        <v>3536</v>
      </c>
      <c r="J641" s="8">
        <v>45514</v>
      </c>
      <c r="K641" s="8">
        <v>45500</v>
      </c>
      <c r="L641" s="8">
        <v>45421</v>
      </c>
      <c r="M641" t="s">
        <v>2374</v>
      </c>
      <c r="N641">
        <v>25</v>
      </c>
      <c r="O641">
        <v>39</v>
      </c>
      <c r="P641" t="s">
        <v>39</v>
      </c>
    </row>
    <row r="642" spans="1:16" x14ac:dyDescent="0.35">
      <c r="A642" t="s">
        <v>2375</v>
      </c>
      <c r="B642" t="s">
        <v>1185</v>
      </c>
      <c r="C642" t="s">
        <v>48</v>
      </c>
      <c r="D642" t="s">
        <v>2376</v>
      </c>
      <c r="E642" t="s">
        <v>2377</v>
      </c>
      <c r="F642">
        <v>89</v>
      </c>
      <c r="G642">
        <v>35</v>
      </c>
      <c r="H642">
        <v>19</v>
      </c>
      <c r="I642" t="s">
        <v>3489</v>
      </c>
      <c r="J642" s="8">
        <v>45688</v>
      </c>
      <c r="K642" s="8">
        <v>45573</v>
      </c>
      <c r="L642" s="8">
        <v>45419</v>
      </c>
      <c r="M642" t="s">
        <v>2378</v>
      </c>
      <c r="N642">
        <v>49</v>
      </c>
      <c r="O642">
        <v>55</v>
      </c>
      <c r="P642" t="s">
        <v>27</v>
      </c>
    </row>
    <row r="643" spans="1:16" x14ac:dyDescent="0.35">
      <c r="A643" t="s">
        <v>2379</v>
      </c>
      <c r="B643" t="s">
        <v>257</v>
      </c>
      <c r="C643" t="s">
        <v>48</v>
      </c>
      <c r="D643" t="s">
        <v>2380</v>
      </c>
      <c r="E643" t="s">
        <v>92</v>
      </c>
      <c r="F643">
        <v>63</v>
      </c>
      <c r="G643">
        <v>57</v>
      </c>
      <c r="H643">
        <v>11</v>
      </c>
      <c r="I643" t="s">
        <v>3567</v>
      </c>
      <c r="J643" s="8">
        <v>45668</v>
      </c>
      <c r="K643" s="8">
        <v>45649</v>
      </c>
      <c r="L643" s="8">
        <v>45422</v>
      </c>
      <c r="M643" t="s">
        <v>2381</v>
      </c>
      <c r="N643">
        <v>20</v>
      </c>
      <c r="O643">
        <v>100</v>
      </c>
      <c r="P643" t="s">
        <v>27</v>
      </c>
    </row>
    <row r="644" spans="1:16" x14ac:dyDescent="0.35">
      <c r="A644" t="s">
        <v>2382</v>
      </c>
      <c r="B644" t="s">
        <v>35</v>
      </c>
      <c r="C644" t="s">
        <v>23</v>
      </c>
      <c r="D644" t="s">
        <v>2383</v>
      </c>
      <c r="E644" t="s">
        <v>1660</v>
      </c>
      <c r="F644">
        <v>49</v>
      </c>
      <c r="G644">
        <v>3</v>
      </c>
      <c r="H644">
        <v>7</v>
      </c>
      <c r="I644" t="s">
        <v>3568</v>
      </c>
      <c r="J644" s="8">
        <v>45554</v>
      </c>
      <c r="K644" s="8">
        <v>45596</v>
      </c>
      <c r="L644" s="8">
        <v>45364</v>
      </c>
      <c r="M644" t="s">
        <v>2384</v>
      </c>
      <c r="N644">
        <v>75</v>
      </c>
      <c r="O644">
        <v>46</v>
      </c>
      <c r="P644" t="s">
        <v>39</v>
      </c>
    </row>
    <row r="645" spans="1:16" x14ac:dyDescent="0.35">
      <c r="A645" t="s">
        <v>2385</v>
      </c>
      <c r="B645" t="s">
        <v>673</v>
      </c>
      <c r="C645" t="s">
        <v>30</v>
      </c>
      <c r="D645" t="s">
        <v>2386</v>
      </c>
      <c r="E645" t="s">
        <v>486</v>
      </c>
      <c r="F645">
        <v>26</v>
      </c>
      <c r="G645">
        <v>59</v>
      </c>
      <c r="H645">
        <v>54</v>
      </c>
      <c r="I645" t="s">
        <v>3486</v>
      </c>
      <c r="J645" s="8">
        <v>45514</v>
      </c>
      <c r="K645" s="8">
        <v>45620</v>
      </c>
      <c r="L645" s="8">
        <v>45370</v>
      </c>
      <c r="M645" t="s">
        <v>2387</v>
      </c>
      <c r="N645">
        <v>92</v>
      </c>
      <c r="O645">
        <v>49</v>
      </c>
      <c r="P645" t="s">
        <v>45</v>
      </c>
    </row>
    <row r="646" spans="1:16" x14ac:dyDescent="0.35">
      <c r="A646" t="s">
        <v>2388</v>
      </c>
      <c r="B646" t="s">
        <v>158</v>
      </c>
      <c r="C646" t="s">
        <v>65</v>
      </c>
      <c r="D646" t="s">
        <v>2389</v>
      </c>
      <c r="E646" t="s">
        <v>2390</v>
      </c>
      <c r="F646">
        <v>93</v>
      </c>
      <c r="G646">
        <v>68</v>
      </c>
      <c r="H646">
        <v>71</v>
      </c>
      <c r="I646" t="s">
        <v>3488</v>
      </c>
      <c r="J646" s="8">
        <v>45697</v>
      </c>
      <c r="K646" s="8">
        <v>45362</v>
      </c>
      <c r="L646" s="8">
        <v>45552</v>
      </c>
      <c r="M646" t="s">
        <v>2391</v>
      </c>
      <c r="N646">
        <v>30</v>
      </c>
      <c r="O646">
        <v>37</v>
      </c>
      <c r="P646" t="s">
        <v>27</v>
      </c>
    </row>
    <row r="647" spans="1:16" x14ac:dyDescent="0.35">
      <c r="A647" t="s">
        <v>2392</v>
      </c>
      <c r="B647" t="s">
        <v>1206</v>
      </c>
      <c r="C647" t="s">
        <v>48</v>
      </c>
      <c r="D647" t="s">
        <v>2393</v>
      </c>
      <c r="E647" t="s">
        <v>43</v>
      </c>
      <c r="F647">
        <v>81</v>
      </c>
      <c r="G647">
        <v>16</v>
      </c>
      <c r="H647">
        <v>69</v>
      </c>
      <c r="I647" t="s">
        <v>3510</v>
      </c>
      <c r="J647" s="8">
        <v>45663</v>
      </c>
      <c r="K647" s="8">
        <v>45508</v>
      </c>
      <c r="L647" s="8">
        <v>45498</v>
      </c>
      <c r="M647" t="s">
        <v>2394</v>
      </c>
      <c r="N647">
        <v>23</v>
      </c>
      <c r="O647">
        <v>96</v>
      </c>
      <c r="P647" t="s">
        <v>39</v>
      </c>
    </row>
    <row r="648" spans="1:16" x14ac:dyDescent="0.35">
      <c r="A648" t="s">
        <v>2395</v>
      </c>
      <c r="B648" t="s">
        <v>364</v>
      </c>
      <c r="C648" t="s">
        <v>65</v>
      </c>
      <c r="D648" t="s">
        <v>2396</v>
      </c>
      <c r="E648" t="s">
        <v>1262</v>
      </c>
      <c r="F648">
        <v>74</v>
      </c>
      <c r="G648">
        <v>60</v>
      </c>
      <c r="H648">
        <v>27</v>
      </c>
      <c r="I648" t="s">
        <v>3478</v>
      </c>
      <c r="J648" s="8">
        <v>45460</v>
      </c>
      <c r="K648" s="8">
        <v>45434</v>
      </c>
      <c r="L648" s="8">
        <v>45613</v>
      </c>
      <c r="M648" t="s">
        <v>2397</v>
      </c>
      <c r="N648">
        <v>99</v>
      </c>
      <c r="O648">
        <v>68</v>
      </c>
      <c r="P648" t="s">
        <v>39</v>
      </c>
    </row>
    <row r="649" spans="1:16" x14ac:dyDescent="0.35">
      <c r="A649" t="s">
        <v>2398</v>
      </c>
      <c r="B649" t="s">
        <v>317</v>
      </c>
      <c r="C649" t="s">
        <v>30</v>
      </c>
      <c r="D649" t="s">
        <v>2399</v>
      </c>
      <c r="E649" t="s">
        <v>129</v>
      </c>
      <c r="F649">
        <v>19</v>
      </c>
      <c r="G649">
        <v>78</v>
      </c>
      <c r="H649">
        <v>90</v>
      </c>
      <c r="I649" t="s">
        <v>3489</v>
      </c>
      <c r="J649" s="8">
        <v>45650</v>
      </c>
      <c r="K649" s="8">
        <v>45397</v>
      </c>
      <c r="L649" s="8">
        <v>45502</v>
      </c>
      <c r="M649" t="s">
        <v>2400</v>
      </c>
      <c r="N649">
        <v>72</v>
      </c>
      <c r="O649">
        <v>84</v>
      </c>
      <c r="P649" t="s">
        <v>27</v>
      </c>
    </row>
    <row r="650" spans="1:16" x14ac:dyDescent="0.35">
      <c r="A650" t="s">
        <v>2401</v>
      </c>
      <c r="B650" t="s">
        <v>220</v>
      </c>
      <c r="C650" t="s">
        <v>23</v>
      </c>
      <c r="D650" t="s">
        <v>2402</v>
      </c>
      <c r="E650" t="s">
        <v>908</v>
      </c>
      <c r="F650">
        <v>64</v>
      </c>
      <c r="G650">
        <v>97</v>
      </c>
      <c r="H650">
        <v>91</v>
      </c>
      <c r="I650" t="s">
        <v>3481</v>
      </c>
      <c r="J650" s="8">
        <v>45621</v>
      </c>
      <c r="K650" s="8">
        <v>45524</v>
      </c>
      <c r="L650" s="8">
        <v>45506</v>
      </c>
      <c r="M650" t="s">
        <v>2403</v>
      </c>
      <c r="N650">
        <v>48</v>
      </c>
      <c r="O650">
        <v>100</v>
      </c>
      <c r="P650" t="s">
        <v>45</v>
      </c>
    </row>
    <row r="651" spans="1:16" x14ac:dyDescent="0.35">
      <c r="A651" t="s">
        <v>2404</v>
      </c>
      <c r="B651" t="s">
        <v>369</v>
      </c>
      <c r="C651" t="s">
        <v>48</v>
      </c>
      <c r="D651" t="s">
        <v>2405</v>
      </c>
      <c r="E651" t="s">
        <v>1109</v>
      </c>
      <c r="F651">
        <v>49</v>
      </c>
      <c r="G651">
        <v>93</v>
      </c>
      <c r="H651">
        <v>15</v>
      </c>
      <c r="I651" t="s">
        <v>3474</v>
      </c>
      <c r="J651" s="8">
        <v>45409</v>
      </c>
      <c r="K651" s="8">
        <v>45413</v>
      </c>
      <c r="L651" s="8">
        <v>45409</v>
      </c>
      <c r="M651" t="s">
        <v>2406</v>
      </c>
      <c r="N651">
        <v>52</v>
      </c>
      <c r="O651">
        <v>31</v>
      </c>
      <c r="P651" t="s">
        <v>39</v>
      </c>
    </row>
    <row r="652" spans="1:16" x14ac:dyDescent="0.35">
      <c r="A652" t="s">
        <v>2407</v>
      </c>
      <c r="B652" t="s">
        <v>148</v>
      </c>
      <c r="C652" t="s">
        <v>65</v>
      </c>
      <c r="D652" t="s">
        <v>2408</v>
      </c>
      <c r="E652" t="s">
        <v>1867</v>
      </c>
      <c r="F652">
        <v>99</v>
      </c>
      <c r="G652">
        <v>10</v>
      </c>
      <c r="H652">
        <v>88</v>
      </c>
      <c r="I652" t="s">
        <v>3487</v>
      </c>
      <c r="J652" s="8">
        <v>45487</v>
      </c>
      <c r="K652" s="8">
        <v>45631</v>
      </c>
      <c r="L652" s="8">
        <v>45677</v>
      </c>
      <c r="M652" t="s">
        <v>2409</v>
      </c>
      <c r="N652">
        <v>69</v>
      </c>
      <c r="O652">
        <v>98</v>
      </c>
      <c r="P652" t="s">
        <v>45</v>
      </c>
    </row>
    <row r="653" spans="1:16" x14ac:dyDescent="0.35">
      <c r="A653" t="s">
        <v>2410</v>
      </c>
      <c r="B653" t="s">
        <v>630</v>
      </c>
      <c r="C653" t="s">
        <v>65</v>
      </c>
      <c r="D653" t="s">
        <v>2411</v>
      </c>
      <c r="E653" t="s">
        <v>831</v>
      </c>
      <c r="F653">
        <v>60</v>
      </c>
      <c r="G653">
        <v>1</v>
      </c>
      <c r="H653">
        <v>42</v>
      </c>
      <c r="I653" t="s">
        <v>3536</v>
      </c>
      <c r="J653" s="8">
        <v>45612</v>
      </c>
      <c r="K653" s="8">
        <v>45531</v>
      </c>
      <c r="L653" s="8">
        <v>45580</v>
      </c>
      <c r="M653" t="s">
        <v>2412</v>
      </c>
      <c r="N653">
        <v>42</v>
      </c>
      <c r="O653">
        <v>91</v>
      </c>
      <c r="P653" t="s">
        <v>45</v>
      </c>
    </row>
    <row r="654" spans="1:16" x14ac:dyDescent="0.35">
      <c r="A654" t="s">
        <v>2413</v>
      </c>
      <c r="B654" t="s">
        <v>143</v>
      </c>
      <c r="C654" t="s">
        <v>48</v>
      </c>
      <c r="D654" t="s">
        <v>2414</v>
      </c>
      <c r="E654" t="s">
        <v>482</v>
      </c>
      <c r="F654">
        <v>90</v>
      </c>
      <c r="G654">
        <v>1</v>
      </c>
      <c r="H654">
        <v>40</v>
      </c>
      <c r="I654" t="s">
        <v>3554</v>
      </c>
      <c r="J654" s="8">
        <v>45585</v>
      </c>
      <c r="K654" s="8">
        <v>45668</v>
      </c>
      <c r="L654" s="8">
        <v>45704</v>
      </c>
      <c r="M654" t="s">
        <v>2415</v>
      </c>
      <c r="N654">
        <v>52</v>
      </c>
      <c r="O654">
        <v>19</v>
      </c>
      <c r="P654" t="s">
        <v>27</v>
      </c>
    </row>
    <row r="655" spans="1:16" x14ac:dyDescent="0.35">
      <c r="A655" t="s">
        <v>2416</v>
      </c>
      <c r="B655" t="s">
        <v>197</v>
      </c>
      <c r="C655" t="s">
        <v>133</v>
      </c>
      <c r="D655" t="s">
        <v>2417</v>
      </c>
      <c r="E655" t="s">
        <v>222</v>
      </c>
      <c r="F655">
        <v>79</v>
      </c>
      <c r="G655">
        <v>53</v>
      </c>
      <c r="H655">
        <v>12</v>
      </c>
      <c r="I655" t="s">
        <v>3492</v>
      </c>
      <c r="J655" s="8">
        <v>45522</v>
      </c>
      <c r="K655" s="8">
        <v>45441</v>
      </c>
      <c r="L655" s="8">
        <v>45667</v>
      </c>
      <c r="M655" t="s">
        <v>2418</v>
      </c>
      <c r="N655">
        <v>45</v>
      </c>
      <c r="O655">
        <v>95</v>
      </c>
      <c r="P655" t="s">
        <v>27</v>
      </c>
    </row>
    <row r="656" spans="1:16" x14ac:dyDescent="0.35">
      <c r="A656" t="s">
        <v>2419</v>
      </c>
      <c r="B656" t="s">
        <v>2289</v>
      </c>
      <c r="C656" t="s">
        <v>65</v>
      </c>
      <c r="D656" t="s">
        <v>2420</v>
      </c>
      <c r="E656" t="s">
        <v>731</v>
      </c>
      <c r="F656">
        <v>22</v>
      </c>
      <c r="G656">
        <v>58</v>
      </c>
      <c r="H656">
        <v>2</v>
      </c>
      <c r="I656" t="s">
        <v>3562</v>
      </c>
      <c r="J656" s="8">
        <v>45695</v>
      </c>
      <c r="K656" s="8">
        <v>45471</v>
      </c>
      <c r="L656" s="8">
        <v>45610</v>
      </c>
      <c r="M656" t="s">
        <v>2421</v>
      </c>
      <c r="N656">
        <v>33</v>
      </c>
      <c r="O656">
        <v>68</v>
      </c>
      <c r="P656" t="s">
        <v>45</v>
      </c>
    </row>
    <row r="657" spans="1:16" x14ac:dyDescent="0.35">
      <c r="A657" t="s">
        <v>2422</v>
      </c>
      <c r="B657" t="s">
        <v>1146</v>
      </c>
      <c r="C657" t="s">
        <v>23</v>
      </c>
      <c r="D657" t="s">
        <v>2423</v>
      </c>
      <c r="E657" t="s">
        <v>1116</v>
      </c>
      <c r="F657">
        <v>51</v>
      </c>
      <c r="G657">
        <v>47</v>
      </c>
      <c r="H657">
        <v>6</v>
      </c>
      <c r="I657" t="s">
        <v>3480</v>
      </c>
      <c r="J657" s="8">
        <v>45619</v>
      </c>
      <c r="K657" s="8">
        <v>45515</v>
      </c>
      <c r="L657" s="8">
        <v>45461</v>
      </c>
      <c r="M657" t="s">
        <v>2424</v>
      </c>
      <c r="N657">
        <v>53</v>
      </c>
      <c r="O657">
        <v>4</v>
      </c>
      <c r="P657" t="s">
        <v>39</v>
      </c>
    </row>
    <row r="658" spans="1:16" x14ac:dyDescent="0.35">
      <c r="A658" t="s">
        <v>2425</v>
      </c>
      <c r="B658" t="s">
        <v>29</v>
      </c>
      <c r="C658" t="s">
        <v>30</v>
      </c>
      <c r="D658" t="s">
        <v>2426</v>
      </c>
      <c r="E658" t="s">
        <v>717</v>
      </c>
      <c r="F658">
        <v>65</v>
      </c>
      <c r="G658">
        <v>63</v>
      </c>
      <c r="H658">
        <v>41</v>
      </c>
      <c r="I658" t="s">
        <v>3475</v>
      </c>
      <c r="J658" s="8">
        <v>45384</v>
      </c>
      <c r="K658" s="8">
        <v>45664</v>
      </c>
      <c r="L658" s="8">
        <v>45380</v>
      </c>
      <c r="M658" t="s">
        <v>2427</v>
      </c>
      <c r="N658">
        <v>28</v>
      </c>
      <c r="O658">
        <v>26</v>
      </c>
      <c r="P658" t="s">
        <v>39</v>
      </c>
    </row>
    <row r="659" spans="1:16" x14ac:dyDescent="0.35">
      <c r="A659" t="s">
        <v>2428</v>
      </c>
      <c r="B659" t="s">
        <v>497</v>
      </c>
      <c r="C659" t="s">
        <v>65</v>
      </c>
      <c r="D659" t="s">
        <v>2429</v>
      </c>
      <c r="E659" t="s">
        <v>1161</v>
      </c>
      <c r="F659">
        <v>55</v>
      </c>
      <c r="G659">
        <v>25</v>
      </c>
      <c r="H659">
        <v>87</v>
      </c>
      <c r="I659" t="s">
        <v>3478</v>
      </c>
      <c r="J659" s="8">
        <v>45425</v>
      </c>
      <c r="K659" s="8">
        <v>45353</v>
      </c>
      <c r="L659" s="8">
        <v>45686</v>
      </c>
      <c r="M659" t="s">
        <v>2430</v>
      </c>
      <c r="N659">
        <v>69</v>
      </c>
      <c r="O659">
        <v>48</v>
      </c>
      <c r="P659" t="s">
        <v>39</v>
      </c>
    </row>
    <row r="660" spans="1:16" x14ac:dyDescent="0.35">
      <c r="A660" t="s">
        <v>2431</v>
      </c>
      <c r="B660" t="s">
        <v>590</v>
      </c>
      <c r="C660" t="s">
        <v>23</v>
      </c>
      <c r="D660" t="s">
        <v>2432</v>
      </c>
      <c r="E660" t="s">
        <v>1025</v>
      </c>
      <c r="F660">
        <v>18</v>
      </c>
      <c r="G660">
        <v>86</v>
      </c>
      <c r="H660">
        <v>20</v>
      </c>
      <c r="I660" t="s">
        <v>3500</v>
      </c>
      <c r="J660" s="8">
        <v>45652</v>
      </c>
      <c r="K660" s="8">
        <v>45630</v>
      </c>
      <c r="L660" s="8">
        <v>45625</v>
      </c>
      <c r="M660" t="s">
        <v>2433</v>
      </c>
      <c r="N660">
        <v>64</v>
      </c>
      <c r="O660">
        <v>34</v>
      </c>
      <c r="P660" t="s">
        <v>27</v>
      </c>
    </row>
    <row r="661" spans="1:16" x14ac:dyDescent="0.35">
      <c r="A661" t="s">
        <v>2434</v>
      </c>
      <c r="B661" t="s">
        <v>148</v>
      </c>
      <c r="C661" t="s">
        <v>65</v>
      </c>
      <c r="D661" t="s">
        <v>2435</v>
      </c>
      <c r="E661" t="s">
        <v>694</v>
      </c>
      <c r="F661">
        <v>37</v>
      </c>
      <c r="G661">
        <v>3</v>
      </c>
      <c r="H661">
        <v>45</v>
      </c>
      <c r="I661" t="s">
        <v>3487</v>
      </c>
      <c r="J661" s="8">
        <v>45590</v>
      </c>
      <c r="K661" s="8">
        <v>45404</v>
      </c>
      <c r="L661" s="8">
        <v>45617</v>
      </c>
      <c r="M661" t="s">
        <v>2436</v>
      </c>
      <c r="N661">
        <v>39</v>
      </c>
      <c r="O661">
        <v>28</v>
      </c>
      <c r="P661" t="s">
        <v>27</v>
      </c>
    </row>
    <row r="662" spans="1:16" x14ac:dyDescent="0.35">
      <c r="A662" t="s">
        <v>2437</v>
      </c>
      <c r="B662" t="s">
        <v>1480</v>
      </c>
      <c r="C662" t="s">
        <v>133</v>
      </c>
      <c r="D662" t="s">
        <v>2438</v>
      </c>
      <c r="E662" t="s">
        <v>1243</v>
      </c>
      <c r="F662">
        <v>88</v>
      </c>
      <c r="G662">
        <v>40</v>
      </c>
      <c r="H662">
        <v>29</v>
      </c>
      <c r="I662" t="s">
        <v>3495</v>
      </c>
      <c r="J662" s="8">
        <v>45712</v>
      </c>
      <c r="K662" s="8">
        <v>45467</v>
      </c>
      <c r="L662" s="8">
        <v>45347</v>
      </c>
      <c r="M662" t="s">
        <v>2439</v>
      </c>
      <c r="N662">
        <v>96</v>
      </c>
      <c r="O662">
        <v>87</v>
      </c>
      <c r="P662" t="s">
        <v>27</v>
      </c>
    </row>
    <row r="663" spans="1:16" x14ac:dyDescent="0.35">
      <c r="A663" t="s">
        <v>2440</v>
      </c>
      <c r="B663" t="s">
        <v>182</v>
      </c>
      <c r="C663" t="s">
        <v>48</v>
      </c>
      <c r="D663" t="s">
        <v>2441</v>
      </c>
      <c r="E663" t="s">
        <v>179</v>
      </c>
      <c r="F663">
        <v>20</v>
      </c>
      <c r="G663">
        <v>51</v>
      </c>
      <c r="H663">
        <v>33</v>
      </c>
      <c r="I663" t="s">
        <v>3490</v>
      </c>
      <c r="J663" s="8">
        <v>45385</v>
      </c>
      <c r="K663" s="8">
        <v>45681</v>
      </c>
      <c r="L663" s="8">
        <v>45700</v>
      </c>
      <c r="M663" t="s">
        <v>2442</v>
      </c>
      <c r="N663">
        <v>80</v>
      </c>
      <c r="O663">
        <v>41</v>
      </c>
      <c r="P663" t="s">
        <v>45</v>
      </c>
    </row>
    <row r="664" spans="1:16" x14ac:dyDescent="0.35">
      <c r="A664" t="s">
        <v>2443</v>
      </c>
      <c r="B664" t="s">
        <v>109</v>
      </c>
      <c r="C664" t="s">
        <v>23</v>
      </c>
      <c r="D664" t="s">
        <v>2444</v>
      </c>
      <c r="E664" t="s">
        <v>300</v>
      </c>
      <c r="F664">
        <v>99</v>
      </c>
      <c r="G664">
        <v>54</v>
      </c>
      <c r="H664">
        <v>71</v>
      </c>
      <c r="I664" t="s">
        <v>3477</v>
      </c>
      <c r="J664" s="8">
        <v>45587</v>
      </c>
      <c r="K664" s="8">
        <v>45518</v>
      </c>
      <c r="L664" s="8">
        <v>45617</v>
      </c>
      <c r="M664" t="s">
        <v>2445</v>
      </c>
      <c r="N664">
        <v>80</v>
      </c>
      <c r="O664">
        <v>10</v>
      </c>
      <c r="P664" t="s">
        <v>27</v>
      </c>
    </row>
    <row r="665" spans="1:16" x14ac:dyDescent="0.35">
      <c r="A665" t="s">
        <v>2446</v>
      </c>
      <c r="B665" t="s">
        <v>752</v>
      </c>
      <c r="C665" t="s">
        <v>48</v>
      </c>
      <c r="D665" t="s">
        <v>2447</v>
      </c>
      <c r="E665" t="s">
        <v>2448</v>
      </c>
      <c r="F665">
        <v>46</v>
      </c>
      <c r="G665">
        <v>88</v>
      </c>
      <c r="H665">
        <v>20</v>
      </c>
      <c r="I665" t="s">
        <v>3518</v>
      </c>
      <c r="J665" s="8">
        <v>45573</v>
      </c>
      <c r="K665" s="8">
        <v>45634</v>
      </c>
      <c r="L665" s="8">
        <v>45383</v>
      </c>
      <c r="M665" t="s">
        <v>2449</v>
      </c>
      <c r="N665">
        <v>59</v>
      </c>
      <c r="O665">
        <v>79</v>
      </c>
      <c r="P665" t="s">
        <v>39</v>
      </c>
    </row>
    <row r="666" spans="1:16" x14ac:dyDescent="0.35">
      <c r="A666" t="s">
        <v>2450</v>
      </c>
      <c r="B666" t="s">
        <v>1469</v>
      </c>
      <c r="C666" t="s">
        <v>23</v>
      </c>
      <c r="D666" t="s">
        <v>2451</v>
      </c>
      <c r="E666" t="s">
        <v>2078</v>
      </c>
      <c r="F666">
        <v>19</v>
      </c>
      <c r="G666">
        <v>77</v>
      </c>
      <c r="H666">
        <v>66</v>
      </c>
      <c r="I666" t="s">
        <v>3503</v>
      </c>
      <c r="J666" s="8">
        <v>45603</v>
      </c>
      <c r="K666" s="8">
        <v>45704</v>
      </c>
      <c r="L666" s="8">
        <v>45529</v>
      </c>
      <c r="M666" t="s">
        <v>2452</v>
      </c>
      <c r="N666">
        <v>62</v>
      </c>
      <c r="O666">
        <v>100</v>
      </c>
      <c r="P666" t="s">
        <v>45</v>
      </c>
    </row>
    <row r="667" spans="1:16" x14ac:dyDescent="0.35">
      <c r="A667" t="s">
        <v>2453</v>
      </c>
      <c r="B667" t="s">
        <v>1219</v>
      </c>
      <c r="C667" t="s">
        <v>65</v>
      </c>
      <c r="D667" t="s">
        <v>2454</v>
      </c>
      <c r="E667" t="s">
        <v>1517</v>
      </c>
      <c r="F667">
        <v>12</v>
      </c>
      <c r="G667">
        <v>83</v>
      </c>
      <c r="H667">
        <v>93</v>
      </c>
      <c r="I667" t="s">
        <v>3479</v>
      </c>
      <c r="J667" s="8">
        <v>45592</v>
      </c>
      <c r="K667" s="8">
        <v>45471</v>
      </c>
      <c r="L667" s="8">
        <v>45497</v>
      </c>
      <c r="M667" t="s">
        <v>2455</v>
      </c>
      <c r="N667">
        <v>22</v>
      </c>
      <c r="O667">
        <v>9</v>
      </c>
      <c r="P667" t="s">
        <v>39</v>
      </c>
    </row>
    <row r="668" spans="1:16" x14ac:dyDescent="0.35">
      <c r="A668" t="s">
        <v>2456</v>
      </c>
      <c r="B668" t="s">
        <v>630</v>
      </c>
      <c r="C668" t="s">
        <v>65</v>
      </c>
      <c r="D668" t="s">
        <v>2457</v>
      </c>
      <c r="E668" t="s">
        <v>2458</v>
      </c>
      <c r="F668">
        <v>69</v>
      </c>
      <c r="G668">
        <v>98</v>
      </c>
      <c r="H668">
        <v>89</v>
      </c>
      <c r="I668" t="s">
        <v>3556</v>
      </c>
      <c r="J668" s="8">
        <v>45594</v>
      </c>
      <c r="K668" s="8">
        <v>45391</v>
      </c>
      <c r="L668" s="8">
        <v>45444</v>
      </c>
      <c r="M668" t="s">
        <v>2459</v>
      </c>
      <c r="N668">
        <v>29</v>
      </c>
      <c r="O668">
        <v>34</v>
      </c>
      <c r="P668" t="s">
        <v>27</v>
      </c>
    </row>
    <row r="669" spans="1:16" x14ac:dyDescent="0.35">
      <c r="A669" t="s">
        <v>2460</v>
      </c>
      <c r="B669" t="s">
        <v>75</v>
      </c>
      <c r="C669" t="s">
        <v>65</v>
      </c>
      <c r="D669" t="s">
        <v>2461</v>
      </c>
      <c r="E669" t="s">
        <v>263</v>
      </c>
      <c r="F669">
        <v>63</v>
      </c>
      <c r="G669">
        <v>38</v>
      </c>
      <c r="H669">
        <v>77</v>
      </c>
      <c r="I669" t="s">
        <v>3482</v>
      </c>
      <c r="J669" s="8">
        <v>45649</v>
      </c>
      <c r="K669" s="8">
        <v>45700</v>
      </c>
      <c r="L669" s="8">
        <v>45408</v>
      </c>
      <c r="M669" t="s">
        <v>2462</v>
      </c>
      <c r="N669">
        <v>23</v>
      </c>
      <c r="O669">
        <v>18</v>
      </c>
      <c r="P669" t="s">
        <v>45</v>
      </c>
    </row>
    <row r="670" spans="1:16" x14ac:dyDescent="0.35">
      <c r="A670" t="s">
        <v>2463</v>
      </c>
      <c r="B670" t="s">
        <v>752</v>
      </c>
      <c r="C670" t="s">
        <v>48</v>
      </c>
      <c r="D670" t="s">
        <v>2464</v>
      </c>
      <c r="E670" t="s">
        <v>2465</v>
      </c>
      <c r="F670">
        <v>78</v>
      </c>
      <c r="G670">
        <v>16</v>
      </c>
      <c r="H670">
        <v>37</v>
      </c>
      <c r="I670" t="s">
        <v>3538</v>
      </c>
      <c r="J670" s="8">
        <v>45577</v>
      </c>
      <c r="K670" s="8">
        <v>45630</v>
      </c>
      <c r="L670" s="8">
        <v>45444</v>
      </c>
      <c r="M670" t="s">
        <v>2466</v>
      </c>
      <c r="N670">
        <v>25</v>
      </c>
      <c r="O670">
        <v>96</v>
      </c>
      <c r="P670" t="s">
        <v>39</v>
      </c>
    </row>
    <row r="671" spans="1:16" x14ac:dyDescent="0.35">
      <c r="A671" t="s">
        <v>2467</v>
      </c>
      <c r="B671" t="s">
        <v>283</v>
      </c>
      <c r="C671" t="s">
        <v>90</v>
      </c>
      <c r="D671" t="s">
        <v>2468</v>
      </c>
      <c r="E671" t="s">
        <v>120</v>
      </c>
      <c r="F671">
        <v>72</v>
      </c>
      <c r="G671">
        <v>20</v>
      </c>
      <c r="H671">
        <v>71</v>
      </c>
      <c r="I671" t="s">
        <v>3480</v>
      </c>
      <c r="J671" s="8">
        <v>45472</v>
      </c>
      <c r="K671" s="8">
        <v>45429</v>
      </c>
      <c r="L671" s="8">
        <v>45594</v>
      </c>
      <c r="M671" t="s">
        <v>2469</v>
      </c>
      <c r="N671">
        <v>87</v>
      </c>
      <c r="O671">
        <v>68</v>
      </c>
      <c r="P671" t="s">
        <v>27</v>
      </c>
    </row>
    <row r="672" spans="1:16" x14ac:dyDescent="0.35">
      <c r="A672" t="s">
        <v>2470</v>
      </c>
      <c r="B672" t="s">
        <v>1469</v>
      </c>
      <c r="C672" t="s">
        <v>23</v>
      </c>
      <c r="D672" t="s">
        <v>2471</v>
      </c>
      <c r="E672" t="s">
        <v>873</v>
      </c>
      <c r="F672">
        <v>58</v>
      </c>
      <c r="G672">
        <v>24</v>
      </c>
      <c r="H672">
        <v>25</v>
      </c>
      <c r="I672" t="s">
        <v>3503</v>
      </c>
      <c r="J672" s="8">
        <v>45528</v>
      </c>
      <c r="K672" s="8">
        <v>45613</v>
      </c>
      <c r="L672" s="8">
        <v>45372</v>
      </c>
      <c r="M672" t="s">
        <v>2472</v>
      </c>
      <c r="N672">
        <v>75</v>
      </c>
      <c r="O672">
        <v>26</v>
      </c>
      <c r="P672" t="s">
        <v>45</v>
      </c>
    </row>
    <row r="673" spans="1:16" x14ac:dyDescent="0.35">
      <c r="A673" t="s">
        <v>2473</v>
      </c>
      <c r="B673" t="s">
        <v>64</v>
      </c>
      <c r="C673" t="s">
        <v>65</v>
      </c>
      <c r="D673" t="s">
        <v>2474</v>
      </c>
      <c r="E673" t="s">
        <v>2475</v>
      </c>
      <c r="F673">
        <v>88</v>
      </c>
      <c r="G673">
        <v>22</v>
      </c>
      <c r="H673">
        <v>61</v>
      </c>
      <c r="I673" t="s">
        <v>3480</v>
      </c>
      <c r="J673" s="8">
        <v>45661</v>
      </c>
      <c r="K673" s="8">
        <v>45564</v>
      </c>
      <c r="L673" s="8">
        <v>45696</v>
      </c>
      <c r="M673" t="s">
        <v>2476</v>
      </c>
      <c r="N673">
        <v>54</v>
      </c>
      <c r="O673">
        <v>100</v>
      </c>
      <c r="P673" t="s">
        <v>27</v>
      </c>
    </row>
    <row r="674" spans="1:16" x14ac:dyDescent="0.35">
      <c r="A674" t="s">
        <v>2477</v>
      </c>
      <c r="B674" t="s">
        <v>590</v>
      </c>
      <c r="C674" t="s">
        <v>23</v>
      </c>
      <c r="D674" t="s">
        <v>2478</v>
      </c>
      <c r="E674" t="s">
        <v>1392</v>
      </c>
      <c r="F674">
        <v>54</v>
      </c>
      <c r="G674">
        <v>53</v>
      </c>
      <c r="H674">
        <v>33</v>
      </c>
      <c r="I674" t="s">
        <v>3500</v>
      </c>
      <c r="J674" s="8">
        <v>45389</v>
      </c>
      <c r="K674" s="8">
        <v>45674</v>
      </c>
      <c r="L674" s="8">
        <v>45478</v>
      </c>
      <c r="M674" t="s">
        <v>2479</v>
      </c>
      <c r="N674">
        <v>94</v>
      </c>
      <c r="O674">
        <v>82</v>
      </c>
      <c r="P674" t="s">
        <v>39</v>
      </c>
    </row>
    <row r="675" spans="1:16" x14ac:dyDescent="0.35">
      <c r="A675" t="s">
        <v>2480</v>
      </c>
      <c r="B675" t="s">
        <v>688</v>
      </c>
      <c r="C675" t="s">
        <v>23</v>
      </c>
      <c r="D675" t="s">
        <v>2481</v>
      </c>
      <c r="E675" t="s">
        <v>1871</v>
      </c>
      <c r="F675">
        <v>64</v>
      </c>
      <c r="G675">
        <v>10</v>
      </c>
      <c r="H675">
        <v>100</v>
      </c>
      <c r="I675" t="s">
        <v>3480</v>
      </c>
      <c r="J675" s="8">
        <v>45579</v>
      </c>
      <c r="K675" s="8">
        <v>45448</v>
      </c>
      <c r="L675" s="8">
        <v>45592</v>
      </c>
      <c r="M675" t="s">
        <v>2482</v>
      </c>
      <c r="N675">
        <v>97</v>
      </c>
      <c r="O675">
        <v>52</v>
      </c>
      <c r="P675" t="s">
        <v>45</v>
      </c>
    </row>
    <row r="676" spans="1:16" x14ac:dyDescent="0.35">
      <c r="A676" t="s">
        <v>2483</v>
      </c>
      <c r="B676" t="s">
        <v>1100</v>
      </c>
      <c r="C676" t="s">
        <v>65</v>
      </c>
      <c r="D676" t="s">
        <v>2484</v>
      </c>
      <c r="E676" t="s">
        <v>1151</v>
      </c>
      <c r="F676">
        <v>12</v>
      </c>
      <c r="G676">
        <v>54</v>
      </c>
      <c r="H676">
        <v>48</v>
      </c>
      <c r="I676" t="s">
        <v>3482</v>
      </c>
      <c r="J676" s="8">
        <v>45602</v>
      </c>
      <c r="K676" s="8">
        <v>45646</v>
      </c>
      <c r="L676" s="8">
        <v>45403</v>
      </c>
      <c r="M676" t="s">
        <v>2485</v>
      </c>
      <c r="N676">
        <v>31</v>
      </c>
      <c r="O676">
        <v>88</v>
      </c>
      <c r="P676" t="s">
        <v>39</v>
      </c>
    </row>
    <row r="677" spans="1:16" x14ac:dyDescent="0.35">
      <c r="A677" t="s">
        <v>2486</v>
      </c>
      <c r="B677" t="s">
        <v>225</v>
      </c>
      <c r="C677" t="s">
        <v>48</v>
      </c>
      <c r="D677" t="s">
        <v>2487</v>
      </c>
      <c r="E677" t="s">
        <v>25</v>
      </c>
      <c r="F677">
        <v>61</v>
      </c>
      <c r="G677">
        <v>14</v>
      </c>
      <c r="H677">
        <v>49</v>
      </c>
      <c r="I677" t="s">
        <v>3569</v>
      </c>
      <c r="J677" s="8">
        <v>45453</v>
      </c>
      <c r="K677" s="8">
        <v>45638</v>
      </c>
      <c r="L677" s="8">
        <v>45498</v>
      </c>
      <c r="M677" t="s">
        <v>2488</v>
      </c>
      <c r="N677">
        <v>74</v>
      </c>
      <c r="O677">
        <v>35</v>
      </c>
      <c r="P677" t="s">
        <v>27</v>
      </c>
    </row>
    <row r="678" spans="1:16" x14ac:dyDescent="0.35">
      <c r="A678" t="s">
        <v>2489</v>
      </c>
      <c r="B678" t="s">
        <v>168</v>
      </c>
      <c r="C678" t="s">
        <v>90</v>
      </c>
      <c r="D678" t="s">
        <v>2490</v>
      </c>
      <c r="E678" t="s">
        <v>606</v>
      </c>
      <c r="F678">
        <v>28</v>
      </c>
      <c r="G678">
        <v>62</v>
      </c>
      <c r="H678">
        <v>81</v>
      </c>
      <c r="I678" t="s">
        <v>3489</v>
      </c>
      <c r="J678" s="8">
        <v>45378</v>
      </c>
      <c r="K678" s="8">
        <v>45468</v>
      </c>
      <c r="L678" s="8">
        <v>45572</v>
      </c>
      <c r="M678" t="s">
        <v>2491</v>
      </c>
      <c r="N678">
        <v>28</v>
      </c>
      <c r="O678">
        <v>30</v>
      </c>
      <c r="P678" t="s">
        <v>27</v>
      </c>
    </row>
    <row r="679" spans="1:16" x14ac:dyDescent="0.35">
      <c r="A679" t="s">
        <v>2492</v>
      </c>
      <c r="B679" t="s">
        <v>127</v>
      </c>
      <c r="C679" t="s">
        <v>48</v>
      </c>
      <c r="D679" t="s">
        <v>2493</v>
      </c>
      <c r="E679" t="s">
        <v>1251</v>
      </c>
      <c r="F679">
        <v>23</v>
      </c>
      <c r="G679">
        <v>6</v>
      </c>
      <c r="H679">
        <v>40</v>
      </c>
      <c r="I679" t="s">
        <v>3480</v>
      </c>
      <c r="J679" s="8">
        <v>45371</v>
      </c>
      <c r="K679" s="8">
        <v>45645</v>
      </c>
      <c r="L679" s="8">
        <v>45462</v>
      </c>
      <c r="M679" t="s">
        <v>2494</v>
      </c>
      <c r="N679">
        <v>95</v>
      </c>
      <c r="O679">
        <v>24</v>
      </c>
      <c r="P679" t="s">
        <v>39</v>
      </c>
    </row>
    <row r="680" spans="1:16" x14ac:dyDescent="0.35">
      <c r="A680" t="s">
        <v>2495</v>
      </c>
      <c r="B680" t="s">
        <v>441</v>
      </c>
      <c r="C680" t="s">
        <v>48</v>
      </c>
      <c r="D680" t="s">
        <v>2496</v>
      </c>
      <c r="E680" t="s">
        <v>212</v>
      </c>
      <c r="F680">
        <v>87</v>
      </c>
      <c r="G680">
        <v>51</v>
      </c>
      <c r="H680">
        <v>67</v>
      </c>
      <c r="I680" t="s">
        <v>3503</v>
      </c>
      <c r="J680" s="8">
        <v>45664</v>
      </c>
      <c r="K680" s="8">
        <v>45448</v>
      </c>
      <c r="L680" s="8">
        <v>45418</v>
      </c>
      <c r="M680" t="s">
        <v>2497</v>
      </c>
      <c r="N680">
        <v>55</v>
      </c>
      <c r="O680">
        <v>100</v>
      </c>
      <c r="P680" t="s">
        <v>39</v>
      </c>
    </row>
    <row r="681" spans="1:16" x14ac:dyDescent="0.35">
      <c r="A681" t="s">
        <v>2498</v>
      </c>
      <c r="B681" t="s">
        <v>776</v>
      </c>
      <c r="C681" t="s">
        <v>30</v>
      </c>
      <c r="D681" t="s">
        <v>2499</v>
      </c>
      <c r="E681" t="s">
        <v>1436</v>
      </c>
      <c r="F681">
        <v>59</v>
      </c>
      <c r="G681">
        <v>31</v>
      </c>
      <c r="H681">
        <v>3</v>
      </c>
      <c r="I681" t="s">
        <v>3503</v>
      </c>
      <c r="J681" s="8">
        <v>45550</v>
      </c>
      <c r="K681" s="8">
        <v>45678</v>
      </c>
      <c r="L681" s="8">
        <v>45587</v>
      </c>
      <c r="M681" t="s">
        <v>2500</v>
      </c>
      <c r="N681">
        <v>48</v>
      </c>
      <c r="O681">
        <v>51</v>
      </c>
      <c r="P681" t="s">
        <v>45</v>
      </c>
    </row>
    <row r="682" spans="1:16" x14ac:dyDescent="0.35">
      <c r="A682" t="s">
        <v>2501</v>
      </c>
      <c r="B682" t="s">
        <v>781</v>
      </c>
      <c r="C682" t="s">
        <v>48</v>
      </c>
      <c r="D682" t="s">
        <v>2502</v>
      </c>
      <c r="E682" t="s">
        <v>55</v>
      </c>
      <c r="F682">
        <v>13</v>
      </c>
      <c r="G682">
        <v>88</v>
      </c>
      <c r="H682">
        <v>11</v>
      </c>
      <c r="I682" t="s">
        <v>3481</v>
      </c>
      <c r="J682" s="8">
        <v>45615</v>
      </c>
      <c r="K682" s="8">
        <v>45417</v>
      </c>
      <c r="L682" s="8">
        <v>45640</v>
      </c>
      <c r="M682" t="s">
        <v>2503</v>
      </c>
      <c r="N682">
        <v>100</v>
      </c>
      <c r="O682">
        <v>52</v>
      </c>
      <c r="P682" t="s">
        <v>39</v>
      </c>
    </row>
    <row r="683" spans="1:16" x14ac:dyDescent="0.35">
      <c r="A683" t="s">
        <v>2504</v>
      </c>
      <c r="B683" t="s">
        <v>546</v>
      </c>
      <c r="C683" t="s">
        <v>48</v>
      </c>
      <c r="D683" t="s">
        <v>2505</v>
      </c>
      <c r="E683" t="s">
        <v>418</v>
      </c>
      <c r="F683">
        <v>81</v>
      </c>
      <c r="G683">
        <v>87</v>
      </c>
      <c r="H683">
        <v>15</v>
      </c>
      <c r="I683" t="s">
        <v>3476</v>
      </c>
      <c r="J683" s="8">
        <v>45665</v>
      </c>
      <c r="K683" s="8">
        <v>45682</v>
      </c>
      <c r="L683" s="8">
        <v>45544</v>
      </c>
      <c r="M683" t="s">
        <v>2506</v>
      </c>
      <c r="N683">
        <v>94</v>
      </c>
      <c r="O683">
        <v>10</v>
      </c>
      <c r="P683" t="s">
        <v>39</v>
      </c>
    </row>
    <row r="684" spans="1:16" x14ac:dyDescent="0.35">
      <c r="A684" t="s">
        <v>2507</v>
      </c>
      <c r="B684" t="s">
        <v>283</v>
      </c>
      <c r="C684" t="s">
        <v>90</v>
      </c>
      <c r="D684" t="s">
        <v>2508</v>
      </c>
      <c r="E684" t="s">
        <v>766</v>
      </c>
      <c r="F684">
        <v>61</v>
      </c>
      <c r="G684">
        <v>77</v>
      </c>
      <c r="H684">
        <v>45</v>
      </c>
      <c r="I684" t="s">
        <v>3480</v>
      </c>
      <c r="J684" s="8">
        <v>45372</v>
      </c>
      <c r="K684" s="8">
        <v>45351</v>
      </c>
      <c r="L684" s="8">
        <v>45465</v>
      </c>
      <c r="M684" t="s">
        <v>2509</v>
      </c>
      <c r="N684">
        <v>51</v>
      </c>
      <c r="O684">
        <v>48</v>
      </c>
      <c r="P684" t="s">
        <v>39</v>
      </c>
    </row>
    <row r="685" spans="1:16" x14ac:dyDescent="0.35">
      <c r="A685" t="s">
        <v>2510</v>
      </c>
      <c r="B685" t="s">
        <v>312</v>
      </c>
      <c r="C685" t="s">
        <v>48</v>
      </c>
      <c r="D685" t="s">
        <v>2511</v>
      </c>
      <c r="E685" t="s">
        <v>1824</v>
      </c>
      <c r="F685">
        <v>80</v>
      </c>
      <c r="G685">
        <v>91</v>
      </c>
      <c r="H685">
        <v>36</v>
      </c>
      <c r="I685" t="s">
        <v>3477</v>
      </c>
      <c r="J685" s="8">
        <v>45375</v>
      </c>
      <c r="K685" s="8">
        <v>45481</v>
      </c>
      <c r="L685" s="8">
        <v>45591</v>
      </c>
      <c r="M685" t="s">
        <v>2512</v>
      </c>
      <c r="N685">
        <v>81</v>
      </c>
      <c r="O685">
        <v>74</v>
      </c>
      <c r="P685" t="s">
        <v>45</v>
      </c>
    </row>
    <row r="686" spans="1:16" x14ac:dyDescent="0.35">
      <c r="A686" t="s">
        <v>2513</v>
      </c>
      <c r="B686" t="s">
        <v>1146</v>
      </c>
      <c r="C686" t="s">
        <v>23</v>
      </c>
      <c r="D686" t="s">
        <v>2514</v>
      </c>
      <c r="E686" t="s">
        <v>2149</v>
      </c>
      <c r="F686">
        <v>39</v>
      </c>
      <c r="G686">
        <v>57</v>
      </c>
      <c r="H686">
        <v>54</v>
      </c>
      <c r="I686" t="s">
        <v>3480</v>
      </c>
      <c r="J686" s="8">
        <v>45632</v>
      </c>
      <c r="K686" s="8">
        <v>45357</v>
      </c>
      <c r="L686" s="8">
        <v>45515</v>
      </c>
      <c r="M686" t="s">
        <v>2515</v>
      </c>
      <c r="N686">
        <v>77</v>
      </c>
      <c r="O686">
        <v>32</v>
      </c>
      <c r="P686" t="s">
        <v>45</v>
      </c>
    </row>
    <row r="687" spans="1:16" x14ac:dyDescent="0.35">
      <c r="A687" t="s">
        <v>2516</v>
      </c>
      <c r="B687" t="s">
        <v>143</v>
      </c>
      <c r="C687" t="s">
        <v>48</v>
      </c>
      <c r="D687" t="s">
        <v>2517</v>
      </c>
      <c r="E687" t="s">
        <v>552</v>
      </c>
      <c r="F687">
        <v>69</v>
      </c>
      <c r="G687">
        <v>21</v>
      </c>
      <c r="H687">
        <v>68</v>
      </c>
      <c r="I687" t="s">
        <v>3570</v>
      </c>
      <c r="J687" s="8">
        <v>45649</v>
      </c>
      <c r="K687" s="8">
        <v>45622</v>
      </c>
      <c r="L687" s="8">
        <v>45556</v>
      </c>
      <c r="M687" t="s">
        <v>2518</v>
      </c>
      <c r="N687">
        <v>36</v>
      </c>
      <c r="O687">
        <v>35</v>
      </c>
      <c r="P687" t="s">
        <v>27</v>
      </c>
    </row>
    <row r="688" spans="1:16" x14ac:dyDescent="0.35">
      <c r="A688" t="s">
        <v>2519</v>
      </c>
      <c r="B688" t="s">
        <v>64</v>
      </c>
      <c r="C688" t="s">
        <v>65</v>
      </c>
      <c r="D688" t="s">
        <v>2520</v>
      </c>
      <c r="E688" t="s">
        <v>2521</v>
      </c>
      <c r="F688">
        <v>60</v>
      </c>
      <c r="G688">
        <v>43</v>
      </c>
      <c r="H688">
        <v>32</v>
      </c>
      <c r="I688" t="s">
        <v>3480</v>
      </c>
      <c r="J688" s="8">
        <v>45478</v>
      </c>
      <c r="K688" s="8">
        <v>45569</v>
      </c>
      <c r="L688" s="8">
        <v>45482</v>
      </c>
      <c r="M688" t="s">
        <v>2522</v>
      </c>
      <c r="N688">
        <v>77</v>
      </c>
      <c r="O688">
        <v>60</v>
      </c>
      <c r="P688" t="s">
        <v>45</v>
      </c>
    </row>
    <row r="689" spans="1:16" x14ac:dyDescent="0.35">
      <c r="A689" t="s">
        <v>2523</v>
      </c>
      <c r="B689" t="s">
        <v>646</v>
      </c>
      <c r="C689" t="s">
        <v>65</v>
      </c>
      <c r="D689" t="s">
        <v>2524</v>
      </c>
      <c r="E689" t="s">
        <v>2525</v>
      </c>
      <c r="F689">
        <v>22</v>
      </c>
      <c r="G689">
        <v>43</v>
      </c>
      <c r="H689">
        <v>3</v>
      </c>
      <c r="I689" t="s">
        <v>3550</v>
      </c>
      <c r="J689" s="8">
        <v>45689</v>
      </c>
      <c r="K689" s="8">
        <v>45499</v>
      </c>
      <c r="L689" s="8">
        <v>45573</v>
      </c>
      <c r="M689" t="s">
        <v>2526</v>
      </c>
      <c r="N689">
        <v>45</v>
      </c>
      <c r="O689">
        <v>87</v>
      </c>
      <c r="P689" t="s">
        <v>39</v>
      </c>
    </row>
    <row r="690" spans="1:16" x14ac:dyDescent="0.35">
      <c r="A690" t="s">
        <v>2527</v>
      </c>
      <c r="B690" t="s">
        <v>502</v>
      </c>
      <c r="C690" t="s">
        <v>23</v>
      </c>
      <c r="D690" t="s">
        <v>2528</v>
      </c>
      <c r="E690" t="s">
        <v>2529</v>
      </c>
      <c r="F690">
        <v>79</v>
      </c>
      <c r="G690">
        <v>47</v>
      </c>
      <c r="H690">
        <v>51</v>
      </c>
      <c r="I690" t="s">
        <v>3506</v>
      </c>
      <c r="J690" s="8">
        <v>45492</v>
      </c>
      <c r="K690" s="8">
        <v>45704</v>
      </c>
      <c r="L690" s="8">
        <v>45685</v>
      </c>
      <c r="M690" t="s">
        <v>2530</v>
      </c>
      <c r="N690">
        <v>83</v>
      </c>
      <c r="O690">
        <v>69</v>
      </c>
      <c r="P690" t="s">
        <v>27</v>
      </c>
    </row>
    <row r="691" spans="1:16" x14ac:dyDescent="0.35">
      <c r="A691" t="s">
        <v>2531</v>
      </c>
      <c r="B691" t="s">
        <v>350</v>
      </c>
      <c r="C691" t="s">
        <v>48</v>
      </c>
      <c r="D691" t="s">
        <v>2532</v>
      </c>
      <c r="E691" t="s">
        <v>2043</v>
      </c>
      <c r="F691">
        <v>47</v>
      </c>
      <c r="G691">
        <v>63</v>
      </c>
      <c r="H691">
        <v>86</v>
      </c>
      <c r="I691" t="s">
        <v>3478</v>
      </c>
      <c r="J691" s="8">
        <v>45431</v>
      </c>
      <c r="K691" s="8">
        <v>45701</v>
      </c>
      <c r="L691" s="8">
        <v>45419</v>
      </c>
      <c r="M691" t="s">
        <v>2533</v>
      </c>
      <c r="N691">
        <v>76</v>
      </c>
      <c r="O691">
        <v>29</v>
      </c>
      <c r="P691" t="s">
        <v>45</v>
      </c>
    </row>
    <row r="692" spans="1:16" x14ac:dyDescent="0.35">
      <c r="A692" t="s">
        <v>2534</v>
      </c>
      <c r="B692" t="s">
        <v>468</v>
      </c>
      <c r="C692" t="s">
        <v>23</v>
      </c>
      <c r="D692" t="s">
        <v>2535</v>
      </c>
      <c r="E692" t="s">
        <v>2269</v>
      </c>
      <c r="F692">
        <v>20</v>
      </c>
      <c r="G692">
        <v>25</v>
      </c>
      <c r="H692">
        <v>73</v>
      </c>
      <c r="I692" t="s">
        <v>3504</v>
      </c>
      <c r="J692" s="8">
        <v>45573</v>
      </c>
      <c r="K692" s="8">
        <v>45475</v>
      </c>
      <c r="L692" s="8">
        <v>45560</v>
      </c>
      <c r="M692" t="s">
        <v>2536</v>
      </c>
      <c r="N692">
        <v>78</v>
      </c>
      <c r="O692">
        <v>1</v>
      </c>
      <c r="P692" t="s">
        <v>27</v>
      </c>
    </row>
    <row r="693" spans="1:16" x14ac:dyDescent="0.35">
      <c r="A693" t="s">
        <v>2537</v>
      </c>
      <c r="B693" t="s">
        <v>613</v>
      </c>
      <c r="C693" t="s">
        <v>65</v>
      </c>
      <c r="D693" t="s">
        <v>2538</v>
      </c>
      <c r="E693" t="s">
        <v>140</v>
      </c>
      <c r="F693">
        <v>41</v>
      </c>
      <c r="G693">
        <v>22</v>
      </c>
      <c r="H693">
        <v>11</v>
      </c>
      <c r="I693" t="s">
        <v>3485</v>
      </c>
      <c r="J693" s="8">
        <v>45462</v>
      </c>
      <c r="K693" s="8">
        <v>45405</v>
      </c>
      <c r="L693" s="8">
        <v>45399</v>
      </c>
      <c r="M693" t="s">
        <v>2539</v>
      </c>
      <c r="N693">
        <v>86</v>
      </c>
      <c r="O693">
        <v>30</v>
      </c>
      <c r="P693" t="s">
        <v>45</v>
      </c>
    </row>
    <row r="694" spans="1:16" x14ac:dyDescent="0.35">
      <c r="A694" t="s">
        <v>2540</v>
      </c>
      <c r="B694" t="s">
        <v>509</v>
      </c>
      <c r="C694" t="s">
        <v>133</v>
      </c>
      <c r="D694" t="s">
        <v>2541</v>
      </c>
      <c r="E694" t="s">
        <v>1596</v>
      </c>
      <c r="F694">
        <v>46</v>
      </c>
      <c r="G694">
        <v>80</v>
      </c>
      <c r="H694">
        <v>88</v>
      </c>
      <c r="I694" t="s">
        <v>3485</v>
      </c>
      <c r="J694" s="8">
        <v>45554</v>
      </c>
      <c r="K694" s="8">
        <v>45450</v>
      </c>
      <c r="L694" s="8">
        <v>45460</v>
      </c>
      <c r="M694" t="s">
        <v>2542</v>
      </c>
      <c r="N694">
        <v>62</v>
      </c>
      <c r="O694">
        <v>22</v>
      </c>
      <c r="P694" t="s">
        <v>27</v>
      </c>
    </row>
    <row r="695" spans="1:16" x14ac:dyDescent="0.35">
      <c r="A695" t="s">
        <v>2543</v>
      </c>
      <c r="B695" t="s">
        <v>456</v>
      </c>
      <c r="C695" t="s">
        <v>59</v>
      </c>
      <c r="D695" t="s">
        <v>2544</v>
      </c>
      <c r="E695" t="s">
        <v>339</v>
      </c>
      <c r="F695">
        <v>67</v>
      </c>
      <c r="G695">
        <v>57</v>
      </c>
      <c r="H695">
        <v>36</v>
      </c>
      <c r="I695" t="s">
        <v>3500</v>
      </c>
      <c r="J695" s="8">
        <v>45506</v>
      </c>
      <c r="K695" s="8">
        <v>45392</v>
      </c>
      <c r="L695" s="8">
        <v>45439</v>
      </c>
      <c r="M695" t="s">
        <v>2545</v>
      </c>
      <c r="N695">
        <v>78</v>
      </c>
      <c r="O695">
        <v>60</v>
      </c>
      <c r="P695" t="s">
        <v>45</v>
      </c>
    </row>
    <row r="696" spans="1:16" x14ac:dyDescent="0.35">
      <c r="A696" t="s">
        <v>2546</v>
      </c>
      <c r="B696" t="s">
        <v>386</v>
      </c>
      <c r="C696" t="s">
        <v>23</v>
      </c>
      <c r="D696" t="s">
        <v>2547</v>
      </c>
      <c r="E696" t="s">
        <v>2548</v>
      </c>
      <c r="F696">
        <v>51</v>
      </c>
      <c r="G696">
        <v>19</v>
      </c>
      <c r="H696">
        <v>96</v>
      </c>
      <c r="I696" t="s">
        <v>3474</v>
      </c>
      <c r="J696" s="8">
        <v>45619</v>
      </c>
      <c r="K696" s="8">
        <v>45697</v>
      </c>
      <c r="L696" s="8">
        <v>45469</v>
      </c>
      <c r="M696" t="s">
        <v>2549</v>
      </c>
      <c r="N696">
        <v>73</v>
      </c>
      <c r="O696">
        <v>42</v>
      </c>
      <c r="P696" t="s">
        <v>45</v>
      </c>
    </row>
    <row r="697" spans="1:16" x14ac:dyDescent="0.35">
      <c r="A697" t="s">
        <v>2550</v>
      </c>
      <c r="B697" t="s">
        <v>84</v>
      </c>
      <c r="C697" t="s">
        <v>23</v>
      </c>
      <c r="D697" t="s">
        <v>2551</v>
      </c>
      <c r="E697" t="s">
        <v>787</v>
      </c>
      <c r="F697">
        <v>42</v>
      </c>
      <c r="G697">
        <v>12</v>
      </c>
      <c r="H697">
        <v>28</v>
      </c>
      <c r="I697" t="s">
        <v>3484</v>
      </c>
      <c r="J697" s="8">
        <v>45361</v>
      </c>
      <c r="K697" s="8">
        <v>45383</v>
      </c>
      <c r="L697" s="8">
        <v>45422</v>
      </c>
      <c r="M697" t="s">
        <v>2552</v>
      </c>
      <c r="N697">
        <v>80</v>
      </c>
      <c r="O697">
        <v>8</v>
      </c>
      <c r="P697" t="s">
        <v>27</v>
      </c>
    </row>
    <row r="698" spans="1:16" x14ac:dyDescent="0.35">
      <c r="A698" t="s">
        <v>2553</v>
      </c>
      <c r="B698" t="s">
        <v>738</v>
      </c>
      <c r="C698" t="s">
        <v>59</v>
      </c>
      <c r="D698" t="s">
        <v>2554</v>
      </c>
      <c r="E698" t="s">
        <v>2555</v>
      </c>
      <c r="F698">
        <v>85</v>
      </c>
      <c r="G698">
        <v>86</v>
      </c>
      <c r="H698">
        <v>21</v>
      </c>
      <c r="I698" t="s">
        <v>3516</v>
      </c>
      <c r="J698" s="8">
        <v>45473</v>
      </c>
      <c r="K698" s="8">
        <v>45497</v>
      </c>
      <c r="L698" s="8">
        <v>45491</v>
      </c>
      <c r="M698" t="s">
        <v>2556</v>
      </c>
      <c r="N698">
        <v>78</v>
      </c>
      <c r="O698">
        <v>53</v>
      </c>
      <c r="P698" t="s">
        <v>39</v>
      </c>
    </row>
    <row r="699" spans="1:16" x14ac:dyDescent="0.35">
      <c r="A699" t="s">
        <v>2557</v>
      </c>
      <c r="B699" t="s">
        <v>865</v>
      </c>
      <c r="C699" t="s">
        <v>59</v>
      </c>
      <c r="D699" t="s">
        <v>2558</v>
      </c>
      <c r="E699" t="s">
        <v>758</v>
      </c>
      <c r="F699">
        <v>23</v>
      </c>
      <c r="G699">
        <v>43</v>
      </c>
      <c r="H699">
        <v>75</v>
      </c>
      <c r="I699" t="s">
        <v>3480</v>
      </c>
      <c r="J699" s="8">
        <v>45604</v>
      </c>
      <c r="K699" s="8">
        <v>45596</v>
      </c>
      <c r="L699" s="8">
        <v>45385</v>
      </c>
      <c r="M699" t="s">
        <v>2559</v>
      </c>
      <c r="N699">
        <v>91</v>
      </c>
      <c r="O699">
        <v>86</v>
      </c>
      <c r="P699" t="s">
        <v>27</v>
      </c>
    </row>
    <row r="700" spans="1:16" x14ac:dyDescent="0.35">
      <c r="A700" t="s">
        <v>2560</v>
      </c>
      <c r="B700" t="s">
        <v>369</v>
      </c>
      <c r="C700" t="s">
        <v>48</v>
      </c>
      <c r="D700" t="s">
        <v>2561</v>
      </c>
      <c r="E700" t="s">
        <v>1774</v>
      </c>
      <c r="F700">
        <v>84</v>
      </c>
      <c r="G700">
        <v>26</v>
      </c>
      <c r="H700">
        <v>37</v>
      </c>
      <c r="I700" t="s">
        <v>3474</v>
      </c>
      <c r="J700" s="8">
        <v>45397</v>
      </c>
      <c r="K700" s="8">
        <v>45349</v>
      </c>
      <c r="L700" s="8">
        <v>45681</v>
      </c>
      <c r="M700" t="s">
        <v>2562</v>
      </c>
      <c r="N700">
        <v>46</v>
      </c>
      <c r="O700">
        <v>67</v>
      </c>
      <c r="P700" t="s">
        <v>39</v>
      </c>
    </row>
    <row r="701" spans="1:16" x14ac:dyDescent="0.35">
      <c r="A701" t="s">
        <v>2563</v>
      </c>
      <c r="B701" t="s">
        <v>70</v>
      </c>
      <c r="C701" t="s">
        <v>48</v>
      </c>
      <c r="D701" t="s">
        <v>2564</v>
      </c>
      <c r="E701" t="s">
        <v>2565</v>
      </c>
      <c r="F701">
        <v>28</v>
      </c>
      <c r="G701">
        <v>38</v>
      </c>
      <c r="H701">
        <v>23</v>
      </c>
      <c r="I701" t="s">
        <v>3571</v>
      </c>
      <c r="J701" s="8">
        <v>45593</v>
      </c>
      <c r="K701" s="8">
        <v>45641</v>
      </c>
      <c r="L701" s="8">
        <v>45512</v>
      </c>
      <c r="M701" t="s">
        <v>2566</v>
      </c>
      <c r="N701">
        <v>48</v>
      </c>
      <c r="O701">
        <v>56</v>
      </c>
      <c r="P701" t="s">
        <v>39</v>
      </c>
    </row>
    <row r="702" spans="1:16" x14ac:dyDescent="0.35">
      <c r="A702" t="s">
        <v>2567</v>
      </c>
      <c r="B702" t="s">
        <v>283</v>
      </c>
      <c r="C702" t="s">
        <v>90</v>
      </c>
      <c r="D702" t="s">
        <v>2568</v>
      </c>
      <c r="E702" t="s">
        <v>1284</v>
      </c>
      <c r="F702">
        <v>62</v>
      </c>
      <c r="G702">
        <v>49</v>
      </c>
      <c r="H702">
        <v>38</v>
      </c>
      <c r="I702" t="s">
        <v>3480</v>
      </c>
      <c r="J702" s="8">
        <v>45642</v>
      </c>
      <c r="K702" s="8">
        <v>45441</v>
      </c>
      <c r="L702" s="8">
        <v>45574</v>
      </c>
      <c r="M702" t="s">
        <v>2569</v>
      </c>
      <c r="N702">
        <v>42</v>
      </c>
      <c r="O702">
        <v>44</v>
      </c>
      <c r="P702" t="s">
        <v>27</v>
      </c>
    </row>
    <row r="703" spans="1:16" x14ac:dyDescent="0.35">
      <c r="A703" t="s">
        <v>2570</v>
      </c>
      <c r="B703" t="s">
        <v>64</v>
      </c>
      <c r="C703" t="s">
        <v>65</v>
      </c>
      <c r="D703" t="s">
        <v>2571</v>
      </c>
      <c r="E703" t="s">
        <v>1225</v>
      </c>
      <c r="F703">
        <v>65</v>
      </c>
      <c r="G703">
        <v>94</v>
      </c>
      <c r="H703">
        <v>4</v>
      </c>
      <c r="I703" t="s">
        <v>3480</v>
      </c>
      <c r="J703" s="8">
        <v>45504</v>
      </c>
      <c r="K703" s="8">
        <v>45687</v>
      </c>
      <c r="L703" s="8">
        <v>45654</v>
      </c>
      <c r="M703" t="s">
        <v>2572</v>
      </c>
      <c r="N703">
        <v>66</v>
      </c>
      <c r="O703">
        <v>36</v>
      </c>
      <c r="P703" t="s">
        <v>39</v>
      </c>
    </row>
    <row r="704" spans="1:16" x14ac:dyDescent="0.35">
      <c r="A704" t="s">
        <v>2573</v>
      </c>
      <c r="B704" t="s">
        <v>882</v>
      </c>
      <c r="C704" t="s">
        <v>48</v>
      </c>
      <c r="D704" t="s">
        <v>2574</v>
      </c>
      <c r="E704" t="s">
        <v>2575</v>
      </c>
      <c r="F704">
        <v>18</v>
      </c>
      <c r="G704">
        <v>8</v>
      </c>
      <c r="H704">
        <v>68</v>
      </c>
      <c r="I704" t="s">
        <v>3484</v>
      </c>
      <c r="J704" s="8">
        <v>45445</v>
      </c>
      <c r="K704" s="8">
        <v>45568</v>
      </c>
      <c r="L704" s="8">
        <v>45401</v>
      </c>
      <c r="M704" t="s">
        <v>2576</v>
      </c>
      <c r="N704">
        <v>54</v>
      </c>
      <c r="O704">
        <v>45</v>
      </c>
      <c r="P704" t="s">
        <v>39</v>
      </c>
    </row>
    <row r="705" spans="1:16" x14ac:dyDescent="0.35">
      <c r="A705" t="s">
        <v>2577</v>
      </c>
      <c r="B705" t="s">
        <v>2289</v>
      </c>
      <c r="C705" t="s">
        <v>65</v>
      </c>
      <c r="D705" t="s">
        <v>2578</v>
      </c>
      <c r="E705" t="s">
        <v>2579</v>
      </c>
      <c r="F705">
        <v>70</v>
      </c>
      <c r="G705">
        <v>29</v>
      </c>
      <c r="H705">
        <v>24</v>
      </c>
      <c r="I705" t="s">
        <v>3562</v>
      </c>
      <c r="J705" s="8">
        <v>45382</v>
      </c>
      <c r="K705" s="8">
        <v>45591</v>
      </c>
      <c r="L705" s="8">
        <v>45552</v>
      </c>
      <c r="M705" t="s">
        <v>2580</v>
      </c>
      <c r="N705">
        <v>62</v>
      </c>
      <c r="O705">
        <v>55</v>
      </c>
      <c r="P705" t="s">
        <v>39</v>
      </c>
    </row>
    <row r="706" spans="1:16" x14ac:dyDescent="0.35">
      <c r="A706" t="s">
        <v>2581</v>
      </c>
      <c r="B706" t="s">
        <v>711</v>
      </c>
      <c r="C706" t="s">
        <v>59</v>
      </c>
      <c r="D706" t="s">
        <v>2582</v>
      </c>
      <c r="E706" t="s">
        <v>1012</v>
      </c>
      <c r="F706">
        <v>23</v>
      </c>
      <c r="G706">
        <v>71</v>
      </c>
      <c r="H706">
        <v>32</v>
      </c>
      <c r="I706" t="s">
        <v>3484</v>
      </c>
      <c r="J706" s="8">
        <v>45396</v>
      </c>
      <c r="K706" s="8">
        <v>45673</v>
      </c>
      <c r="L706" s="8">
        <v>45522</v>
      </c>
      <c r="M706" t="s">
        <v>2583</v>
      </c>
      <c r="N706">
        <v>63</v>
      </c>
      <c r="O706">
        <v>23</v>
      </c>
      <c r="P706" t="s">
        <v>27</v>
      </c>
    </row>
    <row r="707" spans="1:16" x14ac:dyDescent="0.35">
      <c r="A707" t="s">
        <v>2584</v>
      </c>
      <c r="B707" t="s">
        <v>468</v>
      </c>
      <c r="C707" t="s">
        <v>23</v>
      </c>
      <c r="D707" t="s">
        <v>2585</v>
      </c>
      <c r="E707" t="s">
        <v>1025</v>
      </c>
      <c r="F707">
        <v>26</v>
      </c>
      <c r="G707">
        <v>83</v>
      </c>
      <c r="H707">
        <v>24</v>
      </c>
      <c r="I707" t="s">
        <v>3504</v>
      </c>
      <c r="J707" s="8">
        <v>45695</v>
      </c>
      <c r="K707" s="8">
        <v>45594</v>
      </c>
      <c r="L707" s="8">
        <v>45429</v>
      </c>
      <c r="M707" t="s">
        <v>2586</v>
      </c>
      <c r="N707">
        <v>75</v>
      </c>
      <c r="O707">
        <v>12</v>
      </c>
      <c r="P707" t="s">
        <v>39</v>
      </c>
    </row>
    <row r="708" spans="1:16" x14ac:dyDescent="0.35">
      <c r="A708" t="s">
        <v>2587</v>
      </c>
      <c r="B708" t="s">
        <v>776</v>
      </c>
      <c r="C708" t="s">
        <v>30</v>
      </c>
      <c r="D708" t="s">
        <v>2588</v>
      </c>
      <c r="E708" t="s">
        <v>1918</v>
      </c>
      <c r="F708">
        <v>20</v>
      </c>
      <c r="G708">
        <v>42</v>
      </c>
      <c r="H708">
        <v>45</v>
      </c>
      <c r="I708" t="s">
        <v>3503</v>
      </c>
      <c r="J708" s="8">
        <v>45373</v>
      </c>
      <c r="K708" s="8">
        <v>45468</v>
      </c>
      <c r="L708" s="8">
        <v>45557</v>
      </c>
      <c r="M708" t="s">
        <v>2589</v>
      </c>
      <c r="N708">
        <v>72</v>
      </c>
      <c r="O708">
        <v>28</v>
      </c>
      <c r="P708" t="s">
        <v>27</v>
      </c>
    </row>
    <row r="709" spans="1:16" x14ac:dyDescent="0.35">
      <c r="A709" t="s">
        <v>2590</v>
      </c>
      <c r="B709" t="s">
        <v>345</v>
      </c>
      <c r="C709" t="s">
        <v>65</v>
      </c>
      <c r="D709" t="s">
        <v>2591</v>
      </c>
      <c r="E709" t="s">
        <v>2592</v>
      </c>
      <c r="F709">
        <v>55</v>
      </c>
      <c r="G709">
        <v>58</v>
      </c>
      <c r="H709">
        <v>6</v>
      </c>
      <c r="I709" t="s">
        <v>3526</v>
      </c>
      <c r="J709" s="8">
        <v>45674</v>
      </c>
      <c r="K709" s="8">
        <v>45485</v>
      </c>
      <c r="L709" s="8">
        <v>45558</v>
      </c>
      <c r="M709" t="s">
        <v>2593</v>
      </c>
      <c r="N709">
        <v>48</v>
      </c>
      <c r="O709">
        <v>17</v>
      </c>
      <c r="P709" t="s">
        <v>27</v>
      </c>
    </row>
    <row r="710" spans="1:16" x14ac:dyDescent="0.35">
      <c r="A710" t="s">
        <v>2594</v>
      </c>
      <c r="B710" t="s">
        <v>772</v>
      </c>
      <c r="C710" t="s">
        <v>23</v>
      </c>
      <c r="D710" t="s">
        <v>2595</v>
      </c>
      <c r="E710" t="s">
        <v>2596</v>
      </c>
      <c r="F710">
        <v>82</v>
      </c>
      <c r="G710">
        <v>67</v>
      </c>
      <c r="H710">
        <v>67</v>
      </c>
      <c r="I710" t="s">
        <v>3519</v>
      </c>
      <c r="J710" s="8">
        <v>45376</v>
      </c>
      <c r="K710" s="8">
        <v>45480</v>
      </c>
      <c r="L710" s="8">
        <v>45584</v>
      </c>
      <c r="M710" t="s">
        <v>2597</v>
      </c>
      <c r="N710">
        <v>26</v>
      </c>
      <c r="O710">
        <v>1</v>
      </c>
      <c r="P710" t="s">
        <v>39</v>
      </c>
    </row>
    <row r="711" spans="1:16" x14ac:dyDescent="0.35">
      <c r="A711" t="s">
        <v>2598</v>
      </c>
      <c r="B711" t="s">
        <v>1480</v>
      </c>
      <c r="C711" t="s">
        <v>133</v>
      </c>
      <c r="D711" t="s">
        <v>2599</v>
      </c>
      <c r="E711" t="s">
        <v>2600</v>
      </c>
      <c r="F711">
        <v>73</v>
      </c>
      <c r="G711">
        <v>12</v>
      </c>
      <c r="H711">
        <v>28</v>
      </c>
      <c r="I711" t="s">
        <v>3495</v>
      </c>
      <c r="J711" s="8">
        <v>45550</v>
      </c>
      <c r="K711" s="8">
        <v>45451</v>
      </c>
      <c r="L711" s="8">
        <v>45625</v>
      </c>
      <c r="M711" t="s">
        <v>2601</v>
      </c>
      <c r="N711">
        <v>89</v>
      </c>
      <c r="O711">
        <v>92</v>
      </c>
      <c r="P711" t="s">
        <v>45</v>
      </c>
    </row>
    <row r="712" spans="1:16" x14ac:dyDescent="0.35">
      <c r="A712" t="s">
        <v>2602</v>
      </c>
      <c r="B712" t="s">
        <v>337</v>
      </c>
      <c r="C712" t="s">
        <v>30</v>
      </c>
      <c r="D712" t="s">
        <v>2603</v>
      </c>
      <c r="E712" t="s">
        <v>2604</v>
      </c>
      <c r="F712">
        <v>81</v>
      </c>
      <c r="G712">
        <v>83</v>
      </c>
      <c r="H712">
        <v>36</v>
      </c>
      <c r="I712" t="s">
        <v>3499</v>
      </c>
      <c r="J712" s="8">
        <v>45591</v>
      </c>
      <c r="K712" s="8">
        <v>45664</v>
      </c>
      <c r="L712" s="8">
        <v>45581</v>
      </c>
      <c r="M712" t="s">
        <v>2605</v>
      </c>
      <c r="N712">
        <v>74</v>
      </c>
      <c r="O712">
        <v>86</v>
      </c>
      <c r="P712" t="s">
        <v>39</v>
      </c>
    </row>
    <row r="713" spans="1:16" x14ac:dyDescent="0.35">
      <c r="A713" t="s">
        <v>2606</v>
      </c>
      <c r="B713" t="s">
        <v>202</v>
      </c>
      <c r="C713" t="s">
        <v>48</v>
      </c>
      <c r="D713" t="s">
        <v>2607</v>
      </c>
      <c r="E713" t="s">
        <v>915</v>
      </c>
      <c r="F713">
        <v>20</v>
      </c>
      <c r="G713">
        <v>65</v>
      </c>
      <c r="H713">
        <v>61</v>
      </c>
      <c r="I713" t="s">
        <v>3484</v>
      </c>
      <c r="J713" s="8">
        <v>45477</v>
      </c>
      <c r="K713" s="8">
        <v>45483</v>
      </c>
      <c r="L713" s="8">
        <v>45580</v>
      </c>
      <c r="M713" t="s">
        <v>2608</v>
      </c>
      <c r="N713">
        <v>51</v>
      </c>
      <c r="O713">
        <v>78</v>
      </c>
      <c r="P713" t="s">
        <v>45</v>
      </c>
    </row>
    <row r="714" spans="1:16" x14ac:dyDescent="0.35">
      <c r="A714" t="s">
        <v>2609</v>
      </c>
      <c r="B714" t="s">
        <v>235</v>
      </c>
      <c r="C714" t="s">
        <v>30</v>
      </c>
      <c r="D714" t="s">
        <v>2610</v>
      </c>
      <c r="E714" t="s">
        <v>1640</v>
      </c>
      <c r="F714">
        <v>78</v>
      </c>
      <c r="G714">
        <v>38</v>
      </c>
      <c r="H714">
        <v>27</v>
      </c>
      <c r="I714" t="s">
        <v>3495</v>
      </c>
      <c r="J714" s="8">
        <v>45388</v>
      </c>
      <c r="K714" s="8">
        <v>45482</v>
      </c>
      <c r="L714" s="8">
        <v>45547</v>
      </c>
      <c r="M714" t="s">
        <v>2611</v>
      </c>
      <c r="N714">
        <v>54</v>
      </c>
      <c r="O714">
        <v>42</v>
      </c>
      <c r="P714" t="s">
        <v>45</v>
      </c>
    </row>
    <row r="715" spans="1:16" x14ac:dyDescent="0.35">
      <c r="A715" t="s">
        <v>2612</v>
      </c>
      <c r="B715" t="s">
        <v>398</v>
      </c>
      <c r="C715" t="s">
        <v>90</v>
      </c>
      <c r="D715" t="s">
        <v>2613</v>
      </c>
      <c r="E715" t="s">
        <v>2614</v>
      </c>
      <c r="F715">
        <v>84</v>
      </c>
      <c r="G715">
        <v>58</v>
      </c>
      <c r="H715">
        <v>28</v>
      </c>
      <c r="I715" t="s">
        <v>3476</v>
      </c>
      <c r="J715" s="8">
        <v>45399</v>
      </c>
      <c r="K715" s="8">
        <v>45692</v>
      </c>
      <c r="L715" s="8">
        <v>45437</v>
      </c>
      <c r="M715" t="s">
        <v>2615</v>
      </c>
      <c r="N715">
        <v>51</v>
      </c>
      <c r="O715">
        <v>12</v>
      </c>
      <c r="P715" t="s">
        <v>45</v>
      </c>
    </row>
    <row r="716" spans="1:16" x14ac:dyDescent="0.35">
      <c r="A716" t="s">
        <v>2616</v>
      </c>
      <c r="B716" t="s">
        <v>58</v>
      </c>
      <c r="C716" t="s">
        <v>59</v>
      </c>
      <c r="D716" t="s">
        <v>2617</v>
      </c>
      <c r="E716" t="s">
        <v>174</v>
      </c>
      <c r="F716">
        <v>32</v>
      </c>
      <c r="G716">
        <v>38</v>
      </c>
      <c r="H716">
        <v>23</v>
      </c>
      <c r="I716" t="s">
        <v>3480</v>
      </c>
      <c r="J716" s="8">
        <v>45459</v>
      </c>
      <c r="K716" s="8">
        <v>45441</v>
      </c>
      <c r="L716" s="8">
        <v>45690</v>
      </c>
      <c r="M716" t="s">
        <v>2618</v>
      </c>
      <c r="N716">
        <v>52</v>
      </c>
      <c r="O716">
        <v>11</v>
      </c>
      <c r="P716" t="s">
        <v>27</v>
      </c>
    </row>
    <row r="717" spans="1:16" x14ac:dyDescent="0.35">
      <c r="A717" t="s">
        <v>2619</v>
      </c>
      <c r="B717" t="s">
        <v>1539</v>
      </c>
      <c r="C717" t="s">
        <v>59</v>
      </c>
      <c r="D717" t="s">
        <v>2620</v>
      </c>
      <c r="E717" t="s">
        <v>2614</v>
      </c>
      <c r="F717">
        <v>90</v>
      </c>
      <c r="G717">
        <v>75</v>
      </c>
      <c r="H717">
        <v>6</v>
      </c>
      <c r="I717" t="s">
        <v>3489</v>
      </c>
      <c r="J717" s="8">
        <v>45479</v>
      </c>
      <c r="K717" s="8">
        <v>45658</v>
      </c>
      <c r="L717" s="8">
        <v>45535</v>
      </c>
      <c r="M717" t="s">
        <v>2621</v>
      </c>
      <c r="N717">
        <v>55</v>
      </c>
      <c r="O717">
        <v>64</v>
      </c>
      <c r="P717" t="s">
        <v>45</v>
      </c>
    </row>
    <row r="718" spans="1:16" x14ac:dyDescent="0.35">
      <c r="A718" t="s">
        <v>2622</v>
      </c>
      <c r="B718" t="s">
        <v>1193</v>
      </c>
      <c r="C718" t="s">
        <v>65</v>
      </c>
      <c r="D718" t="s">
        <v>2623</v>
      </c>
      <c r="E718" t="s">
        <v>1221</v>
      </c>
      <c r="F718">
        <v>70</v>
      </c>
      <c r="G718">
        <v>81</v>
      </c>
      <c r="H718">
        <v>75</v>
      </c>
      <c r="I718" t="s">
        <v>3484</v>
      </c>
      <c r="J718" s="8">
        <v>45543</v>
      </c>
      <c r="K718" s="8">
        <v>45349</v>
      </c>
      <c r="L718" s="8">
        <v>45351</v>
      </c>
      <c r="M718" t="s">
        <v>2624</v>
      </c>
      <c r="N718">
        <v>24</v>
      </c>
      <c r="O718">
        <v>54</v>
      </c>
      <c r="P718" t="s">
        <v>39</v>
      </c>
    </row>
    <row r="719" spans="1:16" x14ac:dyDescent="0.35">
      <c r="A719" t="s">
        <v>2625</v>
      </c>
      <c r="B719" t="s">
        <v>369</v>
      </c>
      <c r="C719" t="s">
        <v>48</v>
      </c>
      <c r="D719" t="s">
        <v>2626</v>
      </c>
      <c r="E719" t="s">
        <v>2627</v>
      </c>
      <c r="F719">
        <v>90</v>
      </c>
      <c r="G719">
        <v>22</v>
      </c>
      <c r="H719">
        <v>20</v>
      </c>
      <c r="I719" t="s">
        <v>3474</v>
      </c>
      <c r="J719" s="8">
        <v>45473</v>
      </c>
      <c r="K719" s="8">
        <v>45710</v>
      </c>
      <c r="L719" s="8">
        <v>45670</v>
      </c>
      <c r="M719" t="s">
        <v>2628</v>
      </c>
      <c r="N719">
        <v>81</v>
      </c>
      <c r="O719">
        <v>88</v>
      </c>
      <c r="P719" t="s">
        <v>39</v>
      </c>
    </row>
    <row r="720" spans="1:16" x14ac:dyDescent="0.35">
      <c r="A720" t="s">
        <v>2629</v>
      </c>
      <c r="B720" t="s">
        <v>513</v>
      </c>
      <c r="C720" t="s">
        <v>48</v>
      </c>
      <c r="D720" t="s">
        <v>2630</v>
      </c>
      <c r="E720" t="s">
        <v>627</v>
      </c>
      <c r="F720">
        <v>100</v>
      </c>
      <c r="G720">
        <v>7</v>
      </c>
      <c r="H720">
        <v>14</v>
      </c>
      <c r="I720" t="s">
        <v>3484</v>
      </c>
      <c r="J720" s="8">
        <v>45642</v>
      </c>
      <c r="K720" s="8">
        <v>45357</v>
      </c>
      <c r="L720" s="8">
        <v>45498</v>
      </c>
      <c r="M720" t="s">
        <v>2631</v>
      </c>
      <c r="N720">
        <v>26</v>
      </c>
      <c r="O720">
        <v>33</v>
      </c>
      <c r="P720" t="s">
        <v>39</v>
      </c>
    </row>
    <row r="721" spans="1:16" x14ac:dyDescent="0.35">
      <c r="A721" t="s">
        <v>2632</v>
      </c>
      <c r="B721" t="s">
        <v>1146</v>
      </c>
      <c r="C721" t="s">
        <v>23</v>
      </c>
      <c r="D721" t="s">
        <v>2633</v>
      </c>
      <c r="E721" t="s">
        <v>1582</v>
      </c>
      <c r="F721">
        <v>89</v>
      </c>
      <c r="G721">
        <v>54</v>
      </c>
      <c r="H721">
        <v>15</v>
      </c>
      <c r="I721" t="s">
        <v>3480</v>
      </c>
      <c r="J721" s="8">
        <v>45574</v>
      </c>
      <c r="K721" s="8">
        <v>45505</v>
      </c>
      <c r="L721" s="8">
        <v>45415</v>
      </c>
      <c r="M721" t="s">
        <v>2634</v>
      </c>
      <c r="N721">
        <v>64</v>
      </c>
      <c r="O721">
        <v>63</v>
      </c>
      <c r="P721" t="s">
        <v>45</v>
      </c>
    </row>
    <row r="722" spans="1:16" x14ac:dyDescent="0.35">
      <c r="A722" t="s">
        <v>2635</v>
      </c>
      <c r="B722" t="s">
        <v>772</v>
      </c>
      <c r="C722" t="s">
        <v>23</v>
      </c>
      <c r="D722" t="s">
        <v>2636</v>
      </c>
      <c r="E722" t="s">
        <v>55</v>
      </c>
      <c r="F722">
        <v>38</v>
      </c>
      <c r="G722">
        <v>43</v>
      </c>
      <c r="H722">
        <v>28</v>
      </c>
      <c r="I722" t="s">
        <v>3572</v>
      </c>
      <c r="J722" s="8">
        <v>45566</v>
      </c>
      <c r="K722" s="8">
        <v>45499</v>
      </c>
      <c r="L722" s="8">
        <v>45550</v>
      </c>
      <c r="M722" t="s">
        <v>2637</v>
      </c>
      <c r="N722">
        <v>34</v>
      </c>
      <c r="O722">
        <v>54</v>
      </c>
      <c r="P722" t="s">
        <v>39</v>
      </c>
    </row>
    <row r="723" spans="1:16" x14ac:dyDescent="0.35">
      <c r="A723" t="s">
        <v>2638</v>
      </c>
      <c r="B723" t="s">
        <v>89</v>
      </c>
      <c r="C723" t="s">
        <v>90</v>
      </c>
      <c r="D723" t="s">
        <v>2639</v>
      </c>
      <c r="E723" t="s">
        <v>2640</v>
      </c>
      <c r="F723">
        <v>61</v>
      </c>
      <c r="G723">
        <v>20</v>
      </c>
      <c r="H723">
        <v>29</v>
      </c>
      <c r="I723" t="s">
        <v>3481</v>
      </c>
      <c r="J723" s="8">
        <v>45401</v>
      </c>
      <c r="K723" s="8">
        <v>45364</v>
      </c>
      <c r="L723" s="8">
        <v>45547</v>
      </c>
      <c r="M723" t="s">
        <v>2641</v>
      </c>
      <c r="N723">
        <v>71</v>
      </c>
      <c r="O723">
        <v>97</v>
      </c>
      <c r="P723" t="s">
        <v>39</v>
      </c>
    </row>
    <row r="724" spans="1:16" x14ac:dyDescent="0.35">
      <c r="A724" t="s">
        <v>2642</v>
      </c>
      <c r="B724" t="s">
        <v>275</v>
      </c>
      <c r="C724" t="s">
        <v>48</v>
      </c>
      <c r="D724" t="s">
        <v>2643</v>
      </c>
      <c r="E724" t="s">
        <v>1225</v>
      </c>
      <c r="F724">
        <v>75</v>
      </c>
      <c r="G724">
        <v>48</v>
      </c>
      <c r="H724">
        <v>25</v>
      </c>
      <c r="I724" t="s">
        <v>3481</v>
      </c>
      <c r="J724" s="8">
        <v>45637</v>
      </c>
      <c r="K724" s="8">
        <v>45521</v>
      </c>
      <c r="L724" s="8">
        <v>45533</v>
      </c>
      <c r="M724" t="s">
        <v>2644</v>
      </c>
      <c r="N724">
        <v>96</v>
      </c>
      <c r="O724">
        <v>65</v>
      </c>
      <c r="P724" t="s">
        <v>39</v>
      </c>
    </row>
    <row r="725" spans="1:16" x14ac:dyDescent="0.35">
      <c r="A725" t="s">
        <v>2645</v>
      </c>
      <c r="B725" t="s">
        <v>244</v>
      </c>
      <c r="C725" t="s">
        <v>90</v>
      </c>
      <c r="D725" t="s">
        <v>2646</v>
      </c>
      <c r="E725" t="s">
        <v>2647</v>
      </c>
      <c r="F725">
        <v>87</v>
      </c>
      <c r="G725">
        <v>70</v>
      </c>
      <c r="H725">
        <v>77</v>
      </c>
      <c r="I725" t="s">
        <v>3505</v>
      </c>
      <c r="J725" s="8">
        <v>45420</v>
      </c>
      <c r="K725" s="8">
        <v>45349</v>
      </c>
      <c r="L725" s="8">
        <v>45690</v>
      </c>
      <c r="M725" t="s">
        <v>2648</v>
      </c>
      <c r="N725">
        <v>73</v>
      </c>
      <c r="O725">
        <v>44</v>
      </c>
      <c r="P725" t="s">
        <v>45</v>
      </c>
    </row>
    <row r="726" spans="1:16" x14ac:dyDescent="0.35">
      <c r="A726" t="s">
        <v>2649</v>
      </c>
      <c r="B726" t="s">
        <v>109</v>
      </c>
      <c r="C726" t="s">
        <v>23</v>
      </c>
      <c r="D726" t="s">
        <v>2650</v>
      </c>
      <c r="E726" t="s">
        <v>2651</v>
      </c>
      <c r="F726">
        <v>71</v>
      </c>
      <c r="G726">
        <v>77</v>
      </c>
      <c r="H726">
        <v>30</v>
      </c>
      <c r="I726" t="s">
        <v>3477</v>
      </c>
      <c r="J726" s="8">
        <v>45490</v>
      </c>
      <c r="K726" s="8">
        <v>45605</v>
      </c>
      <c r="L726" s="8">
        <v>45677</v>
      </c>
      <c r="M726" t="s">
        <v>2652</v>
      </c>
      <c r="N726">
        <v>34</v>
      </c>
      <c r="O726">
        <v>57</v>
      </c>
      <c r="P726" t="s">
        <v>39</v>
      </c>
    </row>
    <row r="727" spans="1:16" x14ac:dyDescent="0.35">
      <c r="A727" t="s">
        <v>2653</v>
      </c>
      <c r="B727" t="s">
        <v>197</v>
      </c>
      <c r="C727" t="s">
        <v>133</v>
      </c>
      <c r="D727" t="s">
        <v>2654</v>
      </c>
      <c r="E727" t="s">
        <v>2655</v>
      </c>
      <c r="F727">
        <v>98</v>
      </c>
      <c r="G727">
        <v>100</v>
      </c>
      <c r="H727">
        <v>34</v>
      </c>
      <c r="I727" t="s">
        <v>3492</v>
      </c>
      <c r="J727" s="8">
        <v>45578</v>
      </c>
      <c r="K727" s="8">
        <v>45350</v>
      </c>
      <c r="L727" s="8">
        <v>45531</v>
      </c>
      <c r="M727" t="s">
        <v>2656</v>
      </c>
      <c r="N727">
        <v>53</v>
      </c>
      <c r="O727">
        <v>20</v>
      </c>
      <c r="P727" t="s">
        <v>45</v>
      </c>
    </row>
    <row r="728" spans="1:16" x14ac:dyDescent="0.35">
      <c r="A728" t="s">
        <v>2657</v>
      </c>
      <c r="B728" t="s">
        <v>138</v>
      </c>
      <c r="C728" t="s">
        <v>48</v>
      </c>
      <c r="D728" t="s">
        <v>2658</v>
      </c>
      <c r="E728" t="s">
        <v>986</v>
      </c>
      <c r="F728">
        <v>19</v>
      </c>
      <c r="G728">
        <v>92</v>
      </c>
      <c r="H728">
        <v>41</v>
      </c>
      <c r="I728" t="s">
        <v>3484</v>
      </c>
      <c r="J728" s="8">
        <v>45662</v>
      </c>
      <c r="K728" s="8">
        <v>45668</v>
      </c>
      <c r="L728" s="8">
        <v>45578</v>
      </c>
      <c r="M728" t="s">
        <v>2659</v>
      </c>
      <c r="N728">
        <v>51</v>
      </c>
      <c r="O728">
        <v>79</v>
      </c>
      <c r="P728" t="s">
        <v>45</v>
      </c>
    </row>
    <row r="729" spans="1:16" x14ac:dyDescent="0.35">
      <c r="A729" t="s">
        <v>2660</v>
      </c>
      <c r="B729" t="s">
        <v>529</v>
      </c>
      <c r="C729" t="s">
        <v>48</v>
      </c>
      <c r="D729" t="s">
        <v>2661</v>
      </c>
      <c r="E729" t="s">
        <v>2662</v>
      </c>
      <c r="F729">
        <v>85</v>
      </c>
      <c r="G729">
        <v>90</v>
      </c>
      <c r="H729">
        <v>16</v>
      </c>
      <c r="I729" t="s">
        <v>3489</v>
      </c>
      <c r="J729" s="8">
        <v>45437</v>
      </c>
      <c r="K729" s="8">
        <v>45446</v>
      </c>
      <c r="L729" s="8">
        <v>45503</v>
      </c>
      <c r="M729" t="s">
        <v>2663</v>
      </c>
      <c r="N729">
        <v>61</v>
      </c>
      <c r="O729">
        <v>80</v>
      </c>
      <c r="P729" t="s">
        <v>39</v>
      </c>
    </row>
    <row r="730" spans="1:16" x14ac:dyDescent="0.35">
      <c r="A730" t="s">
        <v>2664</v>
      </c>
      <c r="B730" t="s">
        <v>1235</v>
      </c>
      <c r="C730" t="s">
        <v>48</v>
      </c>
      <c r="D730" t="s">
        <v>2665</v>
      </c>
      <c r="E730" t="s">
        <v>952</v>
      </c>
      <c r="F730">
        <v>71</v>
      </c>
      <c r="G730">
        <v>36</v>
      </c>
      <c r="H730">
        <v>45</v>
      </c>
      <c r="I730" t="s">
        <v>3490</v>
      </c>
      <c r="J730" s="8">
        <v>45686</v>
      </c>
      <c r="K730" s="8">
        <v>45613</v>
      </c>
      <c r="L730" s="8">
        <v>45659</v>
      </c>
      <c r="M730" t="s">
        <v>2666</v>
      </c>
      <c r="N730">
        <v>87</v>
      </c>
      <c r="O730">
        <v>2</v>
      </c>
      <c r="P730" t="s">
        <v>39</v>
      </c>
    </row>
    <row r="731" spans="1:16" x14ac:dyDescent="0.35">
      <c r="A731" t="s">
        <v>2667</v>
      </c>
      <c r="B731" t="s">
        <v>1146</v>
      </c>
      <c r="C731" t="s">
        <v>23</v>
      </c>
      <c r="D731" t="s">
        <v>2668</v>
      </c>
      <c r="E731" t="s">
        <v>263</v>
      </c>
      <c r="F731">
        <v>44</v>
      </c>
      <c r="G731">
        <v>48</v>
      </c>
      <c r="H731">
        <v>77</v>
      </c>
      <c r="I731" t="s">
        <v>3480</v>
      </c>
      <c r="J731" s="8">
        <v>45527</v>
      </c>
      <c r="K731" s="8">
        <v>45552</v>
      </c>
      <c r="L731" s="8">
        <v>45680</v>
      </c>
      <c r="M731" t="s">
        <v>2669</v>
      </c>
      <c r="N731">
        <v>67</v>
      </c>
      <c r="O731">
        <v>79</v>
      </c>
      <c r="P731" t="s">
        <v>27</v>
      </c>
    </row>
    <row r="732" spans="1:16" x14ac:dyDescent="0.35">
      <c r="A732" t="s">
        <v>2670</v>
      </c>
      <c r="B732" t="s">
        <v>473</v>
      </c>
      <c r="C732" t="s">
        <v>23</v>
      </c>
      <c r="D732" t="s">
        <v>2671</v>
      </c>
      <c r="E732" t="s">
        <v>478</v>
      </c>
      <c r="F732">
        <v>25</v>
      </c>
      <c r="G732">
        <v>95</v>
      </c>
      <c r="H732">
        <v>71</v>
      </c>
      <c r="I732" t="s">
        <v>3484</v>
      </c>
      <c r="J732" s="8">
        <v>45468</v>
      </c>
      <c r="K732" s="8">
        <v>45482</v>
      </c>
      <c r="L732" s="8">
        <v>45671</v>
      </c>
      <c r="M732" t="s">
        <v>2672</v>
      </c>
      <c r="N732">
        <v>24</v>
      </c>
      <c r="O732">
        <v>76</v>
      </c>
      <c r="P732" t="s">
        <v>39</v>
      </c>
    </row>
    <row r="733" spans="1:16" x14ac:dyDescent="0.35">
      <c r="A733" t="s">
        <v>2673</v>
      </c>
      <c r="B733" t="s">
        <v>436</v>
      </c>
      <c r="C733" t="s">
        <v>59</v>
      </c>
      <c r="D733" t="s">
        <v>2674</v>
      </c>
      <c r="E733" t="s">
        <v>1606</v>
      </c>
      <c r="F733">
        <v>24</v>
      </c>
      <c r="G733">
        <v>14</v>
      </c>
      <c r="H733">
        <v>5</v>
      </c>
      <c r="I733" t="s">
        <v>3478</v>
      </c>
      <c r="J733" s="8">
        <v>45463</v>
      </c>
      <c r="K733" s="8">
        <v>45381</v>
      </c>
      <c r="L733" s="8">
        <v>45460</v>
      </c>
      <c r="M733" t="s">
        <v>2675</v>
      </c>
      <c r="N733">
        <v>98</v>
      </c>
      <c r="O733">
        <v>9</v>
      </c>
      <c r="P733" t="s">
        <v>45</v>
      </c>
    </row>
    <row r="734" spans="1:16" x14ac:dyDescent="0.35">
      <c r="A734" t="s">
        <v>2676</v>
      </c>
      <c r="B734" t="s">
        <v>801</v>
      </c>
      <c r="C734" t="s">
        <v>133</v>
      </c>
      <c r="D734" t="s">
        <v>2677</v>
      </c>
      <c r="E734" t="s">
        <v>263</v>
      </c>
      <c r="F734">
        <v>44</v>
      </c>
      <c r="G734">
        <v>97</v>
      </c>
      <c r="H734">
        <v>76</v>
      </c>
      <c r="I734" t="s">
        <v>3503</v>
      </c>
      <c r="J734" s="8">
        <v>45439</v>
      </c>
      <c r="K734" s="8">
        <v>45392</v>
      </c>
      <c r="L734" s="8">
        <v>45641</v>
      </c>
      <c r="M734" t="s">
        <v>2678</v>
      </c>
      <c r="N734">
        <v>80</v>
      </c>
      <c r="O734">
        <v>33</v>
      </c>
      <c r="P734" t="s">
        <v>27</v>
      </c>
    </row>
    <row r="735" spans="1:16" x14ac:dyDescent="0.35">
      <c r="A735" t="s">
        <v>2679</v>
      </c>
      <c r="B735" t="s">
        <v>688</v>
      </c>
      <c r="C735" t="s">
        <v>23</v>
      </c>
      <c r="D735" t="s">
        <v>2680</v>
      </c>
      <c r="E735" t="s">
        <v>1284</v>
      </c>
      <c r="F735">
        <v>63</v>
      </c>
      <c r="G735">
        <v>4</v>
      </c>
      <c r="H735">
        <v>46</v>
      </c>
      <c r="I735" t="s">
        <v>3480</v>
      </c>
      <c r="J735" s="8">
        <v>45521</v>
      </c>
      <c r="K735" s="8">
        <v>45372</v>
      </c>
      <c r="L735" s="8">
        <v>45360</v>
      </c>
      <c r="M735" t="s">
        <v>2681</v>
      </c>
      <c r="N735">
        <v>40</v>
      </c>
      <c r="O735">
        <v>69</v>
      </c>
      <c r="P735" t="s">
        <v>27</v>
      </c>
    </row>
    <row r="736" spans="1:16" x14ac:dyDescent="0.35">
      <c r="A736" t="s">
        <v>2682</v>
      </c>
      <c r="B736" t="s">
        <v>456</v>
      </c>
      <c r="C736" t="s">
        <v>59</v>
      </c>
      <c r="D736" t="s">
        <v>2683</v>
      </c>
      <c r="E736" t="s">
        <v>548</v>
      </c>
      <c r="F736">
        <v>69</v>
      </c>
      <c r="G736">
        <v>59</v>
      </c>
      <c r="H736">
        <v>29</v>
      </c>
      <c r="I736" t="s">
        <v>3500</v>
      </c>
      <c r="J736" s="8">
        <v>45595</v>
      </c>
      <c r="K736" s="8">
        <v>45435</v>
      </c>
      <c r="L736" s="8">
        <v>45434</v>
      </c>
      <c r="M736" t="s">
        <v>2684</v>
      </c>
      <c r="N736">
        <v>63</v>
      </c>
      <c r="O736">
        <v>91</v>
      </c>
      <c r="P736" t="s">
        <v>45</v>
      </c>
    </row>
    <row r="737" spans="1:16" x14ac:dyDescent="0.35">
      <c r="A737" t="s">
        <v>2685</v>
      </c>
      <c r="B737" t="s">
        <v>625</v>
      </c>
      <c r="C737" t="s">
        <v>133</v>
      </c>
      <c r="D737" t="s">
        <v>2686</v>
      </c>
      <c r="E737" t="s">
        <v>1986</v>
      </c>
      <c r="F737">
        <v>88</v>
      </c>
      <c r="G737">
        <v>71</v>
      </c>
      <c r="H737">
        <v>9</v>
      </c>
      <c r="I737" t="s">
        <v>3513</v>
      </c>
      <c r="J737" s="8">
        <v>45365</v>
      </c>
      <c r="K737" s="8">
        <v>45654</v>
      </c>
      <c r="L737" s="8">
        <v>45367</v>
      </c>
      <c r="M737" t="s">
        <v>2687</v>
      </c>
      <c r="N737">
        <v>28</v>
      </c>
      <c r="O737">
        <v>14</v>
      </c>
      <c r="P737" t="s">
        <v>39</v>
      </c>
    </row>
    <row r="738" spans="1:16" x14ac:dyDescent="0.35">
      <c r="A738" t="s">
        <v>2688</v>
      </c>
      <c r="B738" t="s">
        <v>776</v>
      </c>
      <c r="C738" t="s">
        <v>30</v>
      </c>
      <c r="D738" t="s">
        <v>2689</v>
      </c>
      <c r="E738" t="s">
        <v>2690</v>
      </c>
      <c r="F738">
        <v>74</v>
      </c>
      <c r="G738">
        <v>2</v>
      </c>
      <c r="H738">
        <v>45</v>
      </c>
      <c r="I738" t="s">
        <v>3503</v>
      </c>
      <c r="J738" s="8">
        <v>45351</v>
      </c>
      <c r="K738" s="8">
        <v>45691</v>
      </c>
      <c r="L738" s="8">
        <v>45388</v>
      </c>
      <c r="M738" t="s">
        <v>2691</v>
      </c>
      <c r="N738">
        <v>37</v>
      </c>
      <c r="O738">
        <v>99</v>
      </c>
      <c r="P738" t="s">
        <v>45</v>
      </c>
    </row>
    <row r="739" spans="1:16" x14ac:dyDescent="0.35">
      <c r="A739" t="s">
        <v>2692</v>
      </c>
      <c r="B739" t="s">
        <v>369</v>
      </c>
      <c r="C739" t="s">
        <v>48</v>
      </c>
      <c r="D739" t="s">
        <v>2693</v>
      </c>
      <c r="E739" t="s">
        <v>2694</v>
      </c>
      <c r="F739">
        <v>98</v>
      </c>
      <c r="G739">
        <v>43</v>
      </c>
      <c r="H739">
        <v>9</v>
      </c>
      <c r="I739" t="s">
        <v>3474</v>
      </c>
      <c r="J739" s="8">
        <v>45468</v>
      </c>
      <c r="K739" s="8">
        <v>45357</v>
      </c>
      <c r="L739" s="8">
        <v>45655</v>
      </c>
      <c r="M739" t="s">
        <v>2695</v>
      </c>
      <c r="N739">
        <v>86</v>
      </c>
      <c r="O739">
        <v>62</v>
      </c>
      <c r="P739" t="s">
        <v>39</v>
      </c>
    </row>
    <row r="740" spans="1:16" x14ac:dyDescent="0.35">
      <c r="A740" t="s">
        <v>2696</v>
      </c>
      <c r="B740" t="s">
        <v>2289</v>
      </c>
      <c r="C740" t="s">
        <v>65</v>
      </c>
      <c r="D740" t="s">
        <v>2697</v>
      </c>
      <c r="E740" t="s">
        <v>1087</v>
      </c>
      <c r="F740">
        <v>22</v>
      </c>
      <c r="G740">
        <v>19</v>
      </c>
      <c r="H740">
        <v>4</v>
      </c>
      <c r="I740" t="s">
        <v>3562</v>
      </c>
      <c r="J740" s="8">
        <v>45400</v>
      </c>
      <c r="K740" s="8">
        <v>45368</v>
      </c>
      <c r="L740" s="8">
        <v>45552</v>
      </c>
      <c r="M740" t="s">
        <v>2698</v>
      </c>
      <c r="N740">
        <v>88</v>
      </c>
      <c r="O740">
        <v>24</v>
      </c>
      <c r="P740" t="s">
        <v>27</v>
      </c>
    </row>
    <row r="741" spans="1:16" x14ac:dyDescent="0.35">
      <c r="A741" t="s">
        <v>2699</v>
      </c>
      <c r="B741" t="s">
        <v>1185</v>
      </c>
      <c r="C741" t="s">
        <v>48</v>
      </c>
      <c r="D741" t="s">
        <v>2700</v>
      </c>
      <c r="E741" t="s">
        <v>81</v>
      </c>
      <c r="F741">
        <v>55</v>
      </c>
      <c r="G741">
        <v>96</v>
      </c>
      <c r="H741">
        <v>40</v>
      </c>
      <c r="I741" t="s">
        <v>3489</v>
      </c>
      <c r="J741" s="8">
        <v>45428</v>
      </c>
      <c r="K741" s="8">
        <v>45423</v>
      </c>
      <c r="L741" s="8">
        <v>45449</v>
      </c>
      <c r="M741" t="s">
        <v>2701</v>
      </c>
      <c r="N741">
        <v>23</v>
      </c>
      <c r="O741">
        <v>47</v>
      </c>
      <c r="P741" t="s">
        <v>27</v>
      </c>
    </row>
    <row r="742" spans="1:16" x14ac:dyDescent="0.35">
      <c r="A742" t="s">
        <v>2702</v>
      </c>
      <c r="B742" t="s">
        <v>329</v>
      </c>
      <c r="C742" t="s">
        <v>65</v>
      </c>
      <c r="D742" t="s">
        <v>2703</v>
      </c>
      <c r="E742" t="s">
        <v>2640</v>
      </c>
      <c r="F742">
        <v>96</v>
      </c>
      <c r="G742">
        <v>80</v>
      </c>
      <c r="H742">
        <v>20</v>
      </c>
      <c r="I742" t="s">
        <v>3508</v>
      </c>
      <c r="J742" s="8">
        <v>45645</v>
      </c>
      <c r="K742" s="8">
        <v>45503</v>
      </c>
      <c r="L742" s="8">
        <v>45685</v>
      </c>
      <c r="M742" t="s">
        <v>2704</v>
      </c>
      <c r="N742">
        <v>94</v>
      </c>
      <c r="O742">
        <v>49</v>
      </c>
      <c r="P742" t="s">
        <v>27</v>
      </c>
    </row>
    <row r="743" spans="1:16" x14ac:dyDescent="0.35">
      <c r="A743" t="s">
        <v>2705</v>
      </c>
      <c r="B743" t="s">
        <v>104</v>
      </c>
      <c r="C743" t="s">
        <v>65</v>
      </c>
      <c r="D743" t="s">
        <v>2706</v>
      </c>
      <c r="E743" t="s">
        <v>2565</v>
      </c>
      <c r="F743">
        <v>91</v>
      </c>
      <c r="G743">
        <v>7</v>
      </c>
      <c r="H743">
        <v>64</v>
      </c>
      <c r="I743" t="s">
        <v>3485</v>
      </c>
      <c r="J743" s="8">
        <v>45605</v>
      </c>
      <c r="K743" s="8">
        <v>45516</v>
      </c>
      <c r="L743" s="8">
        <v>45712</v>
      </c>
      <c r="M743" t="s">
        <v>2707</v>
      </c>
      <c r="N743">
        <v>32</v>
      </c>
      <c r="O743">
        <v>65</v>
      </c>
      <c r="P743" t="s">
        <v>27</v>
      </c>
    </row>
    <row r="744" spans="1:16" x14ac:dyDescent="0.35">
      <c r="A744" t="s">
        <v>2708</v>
      </c>
      <c r="B744" t="s">
        <v>984</v>
      </c>
      <c r="C744" t="s">
        <v>90</v>
      </c>
      <c r="D744" t="s">
        <v>2709</v>
      </c>
      <c r="E744" t="s">
        <v>1175</v>
      </c>
      <c r="F744">
        <v>40</v>
      </c>
      <c r="G744">
        <v>91</v>
      </c>
      <c r="H744">
        <v>24</v>
      </c>
      <c r="I744" t="s">
        <v>3478</v>
      </c>
      <c r="J744" s="8">
        <v>45502</v>
      </c>
      <c r="K744" s="8">
        <v>45638</v>
      </c>
      <c r="L744" s="8">
        <v>45626</v>
      </c>
      <c r="M744" t="s">
        <v>2710</v>
      </c>
      <c r="N744">
        <v>28</v>
      </c>
      <c r="O744">
        <v>47</v>
      </c>
      <c r="P744" t="s">
        <v>27</v>
      </c>
    </row>
    <row r="745" spans="1:16" x14ac:dyDescent="0.35">
      <c r="A745" t="s">
        <v>2711</v>
      </c>
      <c r="B745" t="s">
        <v>1480</v>
      </c>
      <c r="C745" t="s">
        <v>133</v>
      </c>
      <c r="D745" t="s">
        <v>2712</v>
      </c>
      <c r="E745" t="s">
        <v>670</v>
      </c>
      <c r="F745">
        <v>52</v>
      </c>
      <c r="G745">
        <v>46</v>
      </c>
      <c r="H745">
        <v>12</v>
      </c>
      <c r="I745" t="s">
        <v>3495</v>
      </c>
      <c r="J745" s="8">
        <v>45644</v>
      </c>
      <c r="K745" s="8">
        <v>45447</v>
      </c>
      <c r="L745" s="8">
        <v>45398</v>
      </c>
      <c r="M745" t="s">
        <v>2713</v>
      </c>
      <c r="N745">
        <v>43</v>
      </c>
      <c r="O745">
        <v>34</v>
      </c>
      <c r="P745" t="s">
        <v>39</v>
      </c>
    </row>
    <row r="746" spans="1:16" x14ac:dyDescent="0.35">
      <c r="A746" t="s">
        <v>2714</v>
      </c>
      <c r="B746" t="s">
        <v>513</v>
      </c>
      <c r="C746" t="s">
        <v>48</v>
      </c>
      <c r="D746" t="s">
        <v>2715</v>
      </c>
      <c r="E746" t="s">
        <v>1375</v>
      </c>
      <c r="F746">
        <v>22</v>
      </c>
      <c r="G746">
        <v>22</v>
      </c>
      <c r="H746">
        <v>65</v>
      </c>
      <c r="I746" t="s">
        <v>3484</v>
      </c>
      <c r="J746" s="8">
        <v>45672</v>
      </c>
      <c r="K746" s="8">
        <v>45412</v>
      </c>
      <c r="L746" s="8">
        <v>45455</v>
      </c>
      <c r="M746" t="s">
        <v>2716</v>
      </c>
      <c r="N746">
        <v>62</v>
      </c>
      <c r="O746">
        <v>78</v>
      </c>
      <c r="P746" t="s">
        <v>39</v>
      </c>
    </row>
    <row r="747" spans="1:16" x14ac:dyDescent="0.35">
      <c r="A747" t="s">
        <v>2717</v>
      </c>
      <c r="B747" t="s">
        <v>35</v>
      </c>
      <c r="C747" t="s">
        <v>23</v>
      </c>
      <c r="D747" t="s">
        <v>2718</v>
      </c>
      <c r="E747" t="s">
        <v>1195</v>
      </c>
      <c r="F747">
        <v>98</v>
      </c>
      <c r="G747">
        <v>41</v>
      </c>
      <c r="H747">
        <v>98</v>
      </c>
      <c r="I747" t="s">
        <v>3573</v>
      </c>
      <c r="J747" s="8">
        <v>45662</v>
      </c>
      <c r="K747" s="8">
        <v>45535</v>
      </c>
      <c r="L747" s="8">
        <v>45675</v>
      </c>
      <c r="M747" t="s">
        <v>2719</v>
      </c>
      <c r="N747">
        <v>70</v>
      </c>
      <c r="O747">
        <v>75</v>
      </c>
      <c r="P747" t="s">
        <v>39</v>
      </c>
    </row>
    <row r="748" spans="1:16" x14ac:dyDescent="0.35">
      <c r="A748" t="s">
        <v>2720</v>
      </c>
      <c r="B748" t="s">
        <v>772</v>
      </c>
      <c r="C748" t="s">
        <v>23</v>
      </c>
      <c r="D748" t="s">
        <v>2721</v>
      </c>
      <c r="E748" t="s">
        <v>50</v>
      </c>
      <c r="F748">
        <v>59</v>
      </c>
      <c r="G748">
        <v>73</v>
      </c>
      <c r="H748">
        <v>86</v>
      </c>
      <c r="I748" t="s">
        <v>3519</v>
      </c>
      <c r="J748" s="8">
        <v>45701</v>
      </c>
      <c r="K748" s="8">
        <v>45658</v>
      </c>
      <c r="L748" s="8">
        <v>45546</v>
      </c>
      <c r="M748" t="s">
        <v>2722</v>
      </c>
      <c r="N748">
        <v>32</v>
      </c>
      <c r="O748">
        <v>56</v>
      </c>
      <c r="P748" t="s">
        <v>39</v>
      </c>
    </row>
    <row r="749" spans="1:16" x14ac:dyDescent="0.35">
      <c r="A749" t="s">
        <v>2723</v>
      </c>
      <c r="B749" t="s">
        <v>446</v>
      </c>
      <c r="C749" t="s">
        <v>90</v>
      </c>
      <c r="D749" t="s">
        <v>2724</v>
      </c>
      <c r="E749" t="s">
        <v>1774</v>
      </c>
      <c r="F749">
        <v>99</v>
      </c>
      <c r="G749">
        <v>3</v>
      </c>
      <c r="H749">
        <v>79</v>
      </c>
      <c r="I749" t="s">
        <v>3489</v>
      </c>
      <c r="J749" s="8">
        <v>45448</v>
      </c>
      <c r="K749" s="8">
        <v>45673</v>
      </c>
      <c r="L749" s="8">
        <v>45617</v>
      </c>
      <c r="M749" t="s">
        <v>2725</v>
      </c>
      <c r="N749">
        <v>65</v>
      </c>
      <c r="O749">
        <v>16</v>
      </c>
      <c r="P749" t="s">
        <v>39</v>
      </c>
    </row>
    <row r="750" spans="1:16" x14ac:dyDescent="0.35">
      <c r="A750" t="s">
        <v>2726</v>
      </c>
      <c r="B750" t="s">
        <v>317</v>
      </c>
      <c r="C750" t="s">
        <v>30</v>
      </c>
      <c r="D750" t="s">
        <v>2727</v>
      </c>
      <c r="E750" t="s">
        <v>443</v>
      </c>
      <c r="F750">
        <v>18</v>
      </c>
      <c r="G750">
        <v>36</v>
      </c>
      <c r="H750">
        <v>53</v>
      </c>
      <c r="I750" t="s">
        <v>3574</v>
      </c>
      <c r="J750" s="8">
        <v>45424</v>
      </c>
      <c r="K750" s="8">
        <v>45413</v>
      </c>
      <c r="L750" s="8">
        <v>45467</v>
      </c>
      <c r="M750" t="s">
        <v>2728</v>
      </c>
      <c r="N750">
        <v>65</v>
      </c>
      <c r="O750">
        <v>100</v>
      </c>
      <c r="P750" t="s">
        <v>45</v>
      </c>
    </row>
    <row r="751" spans="1:16" x14ac:dyDescent="0.35">
      <c r="A751" t="s">
        <v>2729</v>
      </c>
      <c r="B751" t="s">
        <v>781</v>
      </c>
      <c r="C751" t="s">
        <v>48</v>
      </c>
      <c r="D751" t="s">
        <v>2730</v>
      </c>
      <c r="E751" t="s">
        <v>803</v>
      </c>
      <c r="F751">
        <v>58</v>
      </c>
      <c r="G751">
        <v>12</v>
      </c>
      <c r="H751">
        <v>99</v>
      </c>
      <c r="I751" t="s">
        <v>3481</v>
      </c>
      <c r="J751" s="8">
        <v>45679</v>
      </c>
      <c r="K751" s="8">
        <v>45669</v>
      </c>
      <c r="L751" s="8">
        <v>45438</v>
      </c>
      <c r="M751" t="s">
        <v>2731</v>
      </c>
      <c r="N751">
        <v>71</v>
      </c>
      <c r="O751">
        <v>30</v>
      </c>
      <c r="P751" t="s">
        <v>45</v>
      </c>
    </row>
    <row r="752" spans="1:16" x14ac:dyDescent="0.35">
      <c r="A752" t="s">
        <v>2732</v>
      </c>
      <c r="B752" t="s">
        <v>35</v>
      </c>
      <c r="C752" t="s">
        <v>23</v>
      </c>
      <c r="D752" t="s">
        <v>2733</v>
      </c>
      <c r="E752" t="s">
        <v>986</v>
      </c>
      <c r="F752">
        <v>30</v>
      </c>
      <c r="G752">
        <v>34</v>
      </c>
      <c r="H752">
        <v>96</v>
      </c>
      <c r="I752" t="s">
        <v>3575</v>
      </c>
      <c r="J752" s="8">
        <v>45600</v>
      </c>
      <c r="K752" s="8">
        <v>45645</v>
      </c>
      <c r="L752" s="8">
        <v>45404</v>
      </c>
      <c r="M752" t="s">
        <v>2734</v>
      </c>
      <c r="N752">
        <v>61</v>
      </c>
      <c r="O752">
        <v>13</v>
      </c>
      <c r="P752" t="s">
        <v>39</v>
      </c>
    </row>
    <row r="753" spans="1:16" x14ac:dyDescent="0.35">
      <c r="A753" t="s">
        <v>2735</v>
      </c>
      <c r="B753" t="s">
        <v>1206</v>
      </c>
      <c r="C753" t="s">
        <v>48</v>
      </c>
      <c r="D753" t="s">
        <v>2736</v>
      </c>
      <c r="E753" t="s">
        <v>300</v>
      </c>
      <c r="F753">
        <v>97</v>
      </c>
      <c r="G753">
        <v>97</v>
      </c>
      <c r="H753">
        <v>71</v>
      </c>
      <c r="I753" t="s">
        <v>3474</v>
      </c>
      <c r="J753" s="8">
        <v>45485</v>
      </c>
      <c r="K753" s="8">
        <v>45564</v>
      </c>
      <c r="L753" s="8">
        <v>45526</v>
      </c>
      <c r="M753" t="s">
        <v>2737</v>
      </c>
      <c r="N753">
        <v>53</v>
      </c>
      <c r="O753">
        <v>31</v>
      </c>
      <c r="P753" t="s">
        <v>45</v>
      </c>
    </row>
    <row r="754" spans="1:16" x14ac:dyDescent="0.35">
      <c r="A754" t="s">
        <v>2738</v>
      </c>
      <c r="B754" t="s">
        <v>64</v>
      </c>
      <c r="C754" t="s">
        <v>65</v>
      </c>
      <c r="D754" t="s">
        <v>2739</v>
      </c>
      <c r="E754" t="s">
        <v>1094</v>
      </c>
      <c r="F754">
        <v>50</v>
      </c>
      <c r="G754">
        <v>93</v>
      </c>
      <c r="H754">
        <v>37</v>
      </c>
      <c r="I754" t="s">
        <v>3536</v>
      </c>
      <c r="J754" s="8">
        <v>45668</v>
      </c>
      <c r="K754" s="8">
        <v>45353</v>
      </c>
      <c r="L754" s="8">
        <v>45424</v>
      </c>
      <c r="M754" t="s">
        <v>2740</v>
      </c>
      <c r="N754">
        <v>78</v>
      </c>
      <c r="O754">
        <v>79</v>
      </c>
      <c r="P754" t="s">
        <v>39</v>
      </c>
    </row>
    <row r="755" spans="1:16" x14ac:dyDescent="0.35">
      <c r="A755" t="s">
        <v>2741</v>
      </c>
      <c r="B755" t="s">
        <v>720</v>
      </c>
      <c r="C755" t="s">
        <v>65</v>
      </c>
      <c r="D755" t="s">
        <v>2742</v>
      </c>
      <c r="E755" t="s">
        <v>2377</v>
      </c>
      <c r="F755">
        <v>70</v>
      </c>
      <c r="G755">
        <v>96</v>
      </c>
      <c r="H755">
        <v>35</v>
      </c>
      <c r="I755" t="s">
        <v>3492</v>
      </c>
      <c r="J755" s="8">
        <v>45696</v>
      </c>
      <c r="K755" s="8">
        <v>45467</v>
      </c>
      <c r="L755" s="8">
        <v>45674</v>
      </c>
      <c r="M755" t="s">
        <v>2743</v>
      </c>
      <c r="N755">
        <v>63</v>
      </c>
      <c r="O755">
        <v>84</v>
      </c>
      <c r="P755" t="s">
        <v>39</v>
      </c>
    </row>
    <row r="756" spans="1:16" x14ac:dyDescent="0.35">
      <c r="A756" t="s">
        <v>2744</v>
      </c>
      <c r="B756" t="s">
        <v>441</v>
      </c>
      <c r="C756" t="s">
        <v>48</v>
      </c>
      <c r="D756" t="s">
        <v>2745</v>
      </c>
      <c r="E756" t="s">
        <v>2220</v>
      </c>
      <c r="F756">
        <v>40</v>
      </c>
      <c r="G756">
        <v>61</v>
      </c>
      <c r="H756">
        <v>47</v>
      </c>
      <c r="I756" t="s">
        <v>3503</v>
      </c>
      <c r="J756" s="8">
        <v>45532</v>
      </c>
      <c r="K756" s="8">
        <v>45454</v>
      </c>
      <c r="L756" s="8">
        <v>45439</v>
      </c>
      <c r="M756" t="s">
        <v>2746</v>
      </c>
      <c r="N756">
        <v>76</v>
      </c>
      <c r="O756">
        <v>10</v>
      </c>
      <c r="P756" t="s">
        <v>27</v>
      </c>
    </row>
    <row r="757" spans="1:16" x14ac:dyDescent="0.35">
      <c r="A757" t="s">
        <v>2747</v>
      </c>
      <c r="B757" t="s">
        <v>58</v>
      </c>
      <c r="C757" t="s">
        <v>59</v>
      </c>
      <c r="D757" t="s">
        <v>2748</v>
      </c>
      <c r="E757" t="s">
        <v>1660</v>
      </c>
      <c r="F757">
        <v>75</v>
      </c>
      <c r="G757">
        <v>23</v>
      </c>
      <c r="H757">
        <v>34</v>
      </c>
      <c r="I757" t="s">
        <v>3480</v>
      </c>
      <c r="J757" s="8">
        <v>45465</v>
      </c>
      <c r="K757" s="8">
        <v>45539</v>
      </c>
      <c r="L757" s="8">
        <v>45477</v>
      </c>
      <c r="M757" t="s">
        <v>2749</v>
      </c>
      <c r="N757">
        <v>100</v>
      </c>
      <c r="O757">
        <v>54</v>
      </c>
      <c r="P757" t="s">
        <v>39</v>
      </c>
    </row>
    <row r="758" spans="1:16" x14ac:dyDescent="0.35">
      <c r="A758" t="s">
        <v>2750</v>
      </c>
      <c r="B758" t="s">
        <v>99</v>
      </c>
      <c r="C758" t="s">
        <v>48</v>
      </c>
      <c r="D758" t="s">
        <v>2751</v>
      </c>
      <c r="E758" t="s">
        <v>663</v>
      </c>
      <c r="F758">
        <v>26</v>
      </c>
      <c r="G758">
        <v>97</v>
      </c>
      <c r="H758">
        <v>12</v>
      </c>
      <c r="I758" t="s">
        <v>3476</v>
      </c>
      <c r="J758" s="8">
        <v>45560</v>
      </c>
      <c r="K758" s="8">
        <v>45624</v>
      </c>
      <c r="L758" s="8">
        <v>45455</v>
      </c>
      <c r="M758" t="s">
        <v>2752</v>
      </c>
      <c r="N758">
        <v>94</v>
      </c>
      <c r="O758">
        <v>58</v>
      </c>
      <c r="P758" t="s">
        <v>27</v>
      </c>
    </row>
    <row r="759" spans="1:16" x14ac:dyDescent="0.35">
      <c r="A759" t="s">
        <v>2753</v>
      </c>
      <c r="B759" t="s">
        <v>29</v>
      </c>
      <c r="C759" t="s">
        <v>30</v>
      </c>
      <c r="D759" t="s">
        <v>2754</v>
      </c>
      <c r="E759" t="s">
        <v>1000</v>
      </c>
      <c r="F759">
        <v>13</v>
      </c>
      <c r="G759">
        <v>55</v>
      </c>
      <c r="H759">
        <v>77</v>
      </c>
      <c r="I759" t="s">
        <v>3475</v>
      </c>
      <c r="J759" s="8">
        <v>45582</v>
      </c>
      <c r="K759" s="8">
        <v>45642</v>
      </c>
      <c r="L759" s="8">
        <v>45599</v>
      </c>
      <c r="M759" t="s">
        <v>2755</v>
      </c>
      <c r="N759">
        <v>67</v>
      </c>
      <c r="O759">
        <v>68</v>
      </c>
      <c r="P759" t="s">
        <v>39</v>
      </c>
    </row>
    <row r="760" spans="1:16" x14ac:dyDescent="0.35">
      <c r="A760" t="s">
        <v>2756</v>
      </c>
      <c r="B760" t="s">
        <v>47</v>
      </c>
      <c r="C760" t="s">
        <v>48</v>
      </c>
      <c r="D760" t="s">
        <v>2757</v>
      </c>
      <c r="E760" t="s">
        <v>2758</v>
      </c>
      <c r="F760">
        <v>11</v>
      </c>
      <c r="G760">
        <v>58</v>
      </c>
      <c r="H760">
        <v>32</v>
      </c>
      <c r="I760" t="s">
        <v>3478</v>
      </c>
      <c r="J760" s="8">
        <v>45350</v>
      </c>
      <c r="K760" s="8">
        <v>45482</v>
      </c>
      <c r="L760" s="8">
        <v>45620</v>
      </c>
      <c r="M760" t="s">
        <v>2759</v>
      </c>
      <c r="N760">
        <v>99</v>
      </c>
      <c r="O760">
        <v>94</v>
      </c>
      <c r="P760" t="s">
        <v>45</v>
      </c>
    </row>
    <row r="761" spans="1:16" x14ac:dyDescent="0.35">
      <c r="A761" t="s">
        <v>2760</v>
      </c>
      <c r="B761" t="s">
        <v>1480</v>
      </c>
      <c r="C761" t="s">
        <v>133</v>
      </c>
      <c r="D761" t="s">
        <v>2761</v>
      </c>
      <c r="E761" t="s">
        <v>189</v>
      </c>
      <c r="F761">
        <v>98</v>
      </c>
      <c r="G761">
        <v>67</v>
      </c>
      <c r="H761">
        <v>49</v>
      </c>
      <c r="I761" t="s">
        <v>3495</v>
      </c>
      <c r="J761" s="8">
        <v>45513</v>
      </c>
      <c r="K761" s="8">
        <v>45655</v>
      </c>
      <c r="L761" s="8">
        <v>45386</v>
      </c>
      <c r="M761" t="s">
        <v>2762</v>
      </c>
      <c r="N761">
        <v>21</v>
      </c>
      <c r="O761">
        <v>61</v>
      </c>
      <c r="P761" t="s">
        <v>45</v>
      </c>
    </row>
    <row r="762" spans="1:16" x14ac:dyDescent="0.35">
      <c r="A762" t="s">
        <v>2763</v>
      </c>
      <c r="B762" t="s">
        <v>350</v>
      </c>
      <c r="C762" t="s">
        <v>48</v>
      </c>
      <c r="D762" t="s">
        <v>2764</v>
      </c>
      <c r="E762" t="s">
        <v>414</v>
      </c>
      <c r="F762">
        <v>35</v>
      </c>
      <c r="G762">
        <v>4</v>
      </c>
      <c r="H762">
        <v>76</v>
      </c>
      <c r="I762" t="s">
        <v>3478</v>
      </c>
      <c r="J762" s="8">
        <v>45513</v>
      </c>
      <c r="K762" s="8">
        <v>45526</v>
      </c>
      <c r="L762" s="8">
        <v>45520</v>
      </c>
      <c r="M762" t="s">
        <v>2765</v>
      </c>
      <c r="N762">
        <v>90</v>
      </c>
      <c r="O762">
        <v>30</v>
      </c>
      <c r="P762" t="s">
        <v>27</v>
      </c>
    </row>
    <row r="763" spans="1:16" x14ac:dyDescent="0.35">
      <c r="A763" t="s">
        <v>2766</v>
      </c>
      <c r="B763" t="s">
        <v>1043</v>
      </c>
      <c r="C763" t="s">
        <v>133</v>
      </c>
      <c r="D763" t="s">
        <v>2767</v>
      </c>
      <c r="E763" t="s">
        <v>2344</v>
      </c>
      <c r="F763">
        <v>45</v>
      </c>
      <c r="G763">
        <v>56</v>
      </c>
      <c r="H763">
        <v>64</v>
      </c>
      <c r="I763" t="s">
        <v>3527</v>
      </c>
      <c r="J763" s="8">
        <v>45487</v>
      </c>
      <c r="K763" s="8">
        <v>45530</v>
      </c>
      <c r="L763" s="8">
        <v>45478</v>
      </c>
      <c r="M763" t="s">
        <v>2768</v>
      </c>
      <c r="N763">
        <v>35</v>
      </c>
      <c r="O763">
        <v>82</v>
      </c>
      <c r="P763" t="s">
        <v>27</v>
      </c>
    </row>
    <row r="764" spans="1:16" x14ac:dyDescent="0.35">
      <c r="A764" t="s">
        <v>2769</v>
      </c>
      <c r="B764" t="s">
        <v>1003</v>
      </c>
      <c r="C764" t="s">
        <v>48</v>
      </c>
      <c r="D764" t="s">
        <v>2770</v>
      </c>
      <c r="E764" t="s">
        <v>2138</v>
      </c>
      <c r="F764">
        <v>47</v>
      </c>
      <c r="G764">
        <v>22</v>
      </c>
      <c r="H764">
        <v>69</v>
      </c>
      <c r="I764" t="s">
        <v>3478</v>
      </c>
      <c r="J764" s="8">
        <v>45353</v>
      </c>
      <c r="K764" s="8">
        <v>45487</v>
      </c>
      <c r="L764" s="8">
        <v>45446</v>
      </c>
      <c r="M764" t="s">
        <v>2771</v>
      </c>
      <c r="N764">
        <v>26</v>
      </c>
      <c r="O764">
        <v>59</v>
      </c>
      <c r="P764" t="s">
        <v>39</v>
      </c>
    </row>
    <row r="765" spans="1:16" x14ac:dyDescent="0.35">
      <c r="A765" t="s">
        <v>2772</v>
      </c>
      <c r="B765" t="s">
        <v>738</v>
      </c>
      <c r="C765" t="s">
        <v>59</v>
      </c>
      <c r="D765" t="s">
        <v>2773</v>
      </c>
      <c r="E765" t="s">
        <v>948</v>
      </c>
      <c r="F765">
        <v>89</v>
      </c>
      <c r="G765">
        <v>66</v>
      </c>
      <c r="H765">
        <v>28</v>
      </c>
      <c r="I765" t="s">
        <v>3516</v>
      </c>
      <c r="J765" s="8">
        <v>45670</v>
      </c>
      <c r="K765" s="8">
        <v>45615</v>
      </c>
      <c r="L765" s="8">
        <v>45621</v>
      </c>
      <c r="M765" t="s">
        <v>2774</v>
      </c>
      <c r="N765">
        <v>39</v>
      </c>
      <c r="O765">
        <v>25</v>
      </c>
      <c r="P765" t="s">
        <v>45</v>
      </c>
    </row>
    <row r="766" spans="1:16" x14ac:dyDescent="0.35">
      <c r="A766" t="s">
        <v>2775</v>
      </c>
      <c r="B766" t="s">
        <v>235</v>
      </c>
      <c r="C766" t="s">
        <v>30</v>
      </c>
      <c r="D766" t="s">
        <v>2776</v>
      </c>
      <c r="E766" t="s">
        <v>179</v>
      </c>
      <c r="F766">
        <v>33</v>
      </c>
      <c r="G766">
        <v>22</v>
      </c>
      <c r="H766">
        <v>94</v>
      </c>
      <c r="I766" t="s">
        <v>3495</v>
      </c>
      <c r="J766" s="8">
        <v>45624</v>
      </c>
      <c r="K766" s="8">
        <v>45559</v>
      </c>
      <c r="L766" s="8">
        <v>45534</v>
      </c>
      <c r="M766" t="s">
        <v>2777</v>
      </c>
      <c r="N766">
        <v>96</v>
      </c>
      <c r="O766">
        <v>56</v>
      </c>
      <c r="P766" t="s">
        <v>27</v>
      </c>
    </row>
    <row r="767" spans="1:16" x14ac:dyDescent="0.35">
      <c r="A767" t="s">
        <v>2778</v>
      </c>
      <c r="B767" t="s">
        <v>1185</v>
      </c>
      <c r="C767" t="s">
        <v>48</v>
      </c>
      <c r="D767" t="s">
        <v>2779</v>
      </c>
      <c r="E767" t="s">
        <v>1195</v>
      </c>
      <c r="F767">
        <v>90</v>
      </c>
      <c r="G767">
        <v>30</v>
      </c>
      <c r="H767">
        <v>42</v>
      </c>
      <c r="I767" t="s">
        <v>3489</v>
      </c>
      <c r="J767" s="8">
        <v>45523</v>
      </c>
      <c r="K767" s="8">
        <v>45502</v>
      </c>
      <c r="L767" s="8">
        <v>45353</v>
      </c>
      <c r="M767" t="s">
        <v>2780</v>
      </c>
      <c r="N767">
        <v>76</v>
      </c>
      <c r="O767">
        <v>69</v>
      </c>
      <c r="P767" t="s">
        <v>39</v>
      </c>
    </row>
    <row r="768" spans="1:16" x14ac:dyDescent="0.35">
      <c r="A768" t="s">
        <v>2781</v>
      </c>
      <c r="B768" t="s">
        <v>468</v>
      </c>
      <c r="C768" t="s">
        <v>23</v>
      </c>
      <c r="D768" t="s">
        <v>2782</v>
      </c>
      <c r="E768" t="s">
        <v>1396</v>
      </c>
      <c r="F768">
        <v>44</v>
      </c>
      <c r="G768">
        <v>26</v>
      </c>
      <c r="H768">
        <v>60</v>
      </c>
      <c r="I768" t="s">
        <v>3504</v>
      </c>
      <c r="J768" s="8">
        <v>45366</v>
      </c>
      <c r="K768" s="8">
        <v>45527</v>
      </c>
      <c r="L768" s="8">
        <v>45509</v>
      </c>
      <c r="M768" t="s">
        <v>2783</v>
      </c>
      <c r="N768">
        <v>63</v>
      </c>
      <c r="O768">
        <v>59</v>
      </c>
      <c r="P768" t="s">
        <v>27</v>
      </c>
    </row>
    <row r="769" spans="1:16" x14ac:dyDescent="0.35">
      <c r="A769" t="s">
        <v>2784</v>
      </c>
      <c r="B769" t="s">
        <v>1469</v>
      </c>
      <c r="C769" t="s">
        <v>23</v>
      </c>
      <c r="D769" t="s">
        <v>2785</v>
      </c>
      <c r="E769" t="s">
        <v>2786</v>
      </c>
      <c r="F769">
        <v>41</v>
      </c>
      <c r="G769">
        <v>56</v>
      </c>
      <c r="H769">
        <v>12</v>
      </c>
      <c r="I769" t="s">
        <v>3576</v>
      </c>
      <c r="J769" s="8">
        <v>45418</v>
      </c>
      <c r="K769" s="8">
        <v>45621</v>
      </c>
      <c r="L769" s="8">
        <v>45351</v>
      </c>
      <c r="M769" t="s">
        <v>2787</v>
      </c>
      <c r="N769">
        <v>93</v>
      </c>
      <c r="O769">
        <v>88</v>
      </c>
      <c r="P769" t="s">
        <v>45</v>
      </c>
    </row>
    <row r="770" spans="1:16" x14ac:dyDescent="0.35">
      <c r="A770" t="s">
        <v>2788</v>
      </c>
      <c r="B770" t="s">
        <v>390</v>
      </c>
      <c r="C770" t="s">
        <v>48</v>
      </c>
      <c r="D770" t="s">
        <v>2789</v>
      </c>
      <c r="E770" t="s">
        <v>1986</v>
      </c>
      <c r="F770">
        <v>72</v>
      </c>
      <c r="G770">
        <v>58</v>
      </c>
      <c r="H770">
        <v>69</v>
      </c>
      <c r="I770" t="s">
        <v>3501</v>
      </c>
      <c r="J770" s="8">
        <v>45581</v>
      </c>
      <c r="K770" s="8">
        <v>45691</v>
      </c>
      <c r="L770" s="8">
        <v>45711</v>
      </c>
      <c r="M770" t="s">
        <v>2790</v>
      </c>
      <c r="N770">
        <v>96</v>
      </c>
      <c r="O770">
        <v>23</v>
      </c>
      <c r="P770" t="s">
        <v>39</v>
      </c>
    </row>
    <row r="771" spans="1:16" x14ac:dyDescent="0.35">
      <c r="A771" t="s">
        <v>2791</v>
      </c>
      <c r="B771" t="s">
        <v>64</v>
      </c>
      <c r="C771" t="s">
        <v>65</v>
      </c>
      <c r="D771" t="s">
        <v>2792</v>
      </c>
      <c r="E771" t="s">
        <v>204</v>
      </c>
      <c r="F771">
        <v>72</v>
      </c>
      <c r="G771">
        <v>58</v>
      </c>
      <c r="H771">
        <v>52</v>
      </c>
      <c r="I771" t="s">
        <v>3502</v>
      </c>
      <c r="J771" s="8">
        <v>45703</v>
      </c>
      <c r="K771" s="8">
        <v>45428</v>
      </c>
      <c r="L771" s="8">
        <v>45588</v>
      </c>
      <c r="M771" t="s">
        <v>2793</v>
      </c>
      <c r="N771">
        <v>36</v>
      </c>
      <c r="O771">
        <v>14</v>
      </c>
      <c r="P771" t="s">
        <v>45</v>
      </c>
    </row>
    <row r="772" spans="1:16" x14ac:dyDescent="0.35">
      <c r="A772" t="s">
        <v>2794</v>
      </c>
      <c r="B772" t="s">
        <v>235</v>
      </c>
      <c r="C772" t="s">
        <v>30</v>
      </c>
      <c r="D772" t="s">
        <v>2795</v>
      </c>
      <c r="E772" t="s">
        <v>940</v>
      </c>
      <c r="F772">
        <v>40</v>
      </c>
      <c r="G772">
        <v>30</v>
      </c>
      <c r="H772">
        <v>60</v>
      </c>
      <c r="I772" t="s">
        <v>3495</v>
      </c>
      <c r="J772" s="8">
        <v>45540</v>
      </c>
      <c r="K772" s="8">
        <v>45588</v>
      </c>
      <c r="L772" s="8">
        <v>45415</v>
      </c>
      <c r="M772" t="s">
        <v>2796</v>
      </c>
      <c r="N772">
        <v>33</v>
      </c>
      <c r="O772">
        <v>84</v>
      </c>
      <c r="P772" t="s">
        <v>45</v>
      </c>
    </row>
    <row r="773" spans="1:16" x14ac:dyDescent="0.35">
      <c r="A773" t="s">
        <v>2797</v>
      </c>
      <c r="B773" t="s">
        <v>1552</v>
      </c>
      <c r="C773" t="s">
        <v>90</v>
      </c>
      <c r="D773" t="s">
        <v>2798</v>
      </c>
      <c r="E773" t="s">
        <v>486</v>
      </c>
      <c r="F773">
        <v>36</v>
      </c>
      <c r="G773">
        <v>53</v>
      </c>
      <c r="H773">
        <v>92</v>
      </c>
      <c r="I773" t="s">
        <v>3490</v>
      </c>
      <c r="J773" s="8">
        <v>45480</v>
      </c>
      <c r="K773" s="8">
        <v>45444</v>
      </c>
      <c r="L773" s="8">
        <v>45373</v>
      </c>
      <c r="M773" t="s">
        <v>2799</v>
      </c>
      <c r="N773">
        <v>67</v>
      </c>
      <c r="O773">
        <v>43</v>
      </c>
      <c r="P773" t="s">
        <v>39</v>
      </c>
    </row>
    <row r="774" spans="1:16" x14ac:dyDescent="0.35">
      <c r="A774" t="s">
        <v>2800</v>
      </c>
      <c r="B774" t="s">
        <v>711</v>
      </c>
      <c r="C774" t="s">
        <v>59</v>
      </c>
      <c r="D774" t="s">
        <v>2801</v>
      </c>
      <c r="E774" t="s">
        <v>1640</v>
      </c>
      <c r="F774">
        <v>51</v>
      </c>
      <c r="G774">
        <v>87</v>
      </c>
      <c r="H774">
        <v>86</v>
      </c>
      <c r="I774" t="s">
        <v>3484</v>
      </c>
      <c r="J774" s="8">
        <v>45383</v>
      </c>
      <c r="K774" s="8">
        <v>45431</v>
      </c>
      <c r="L774" s="8">
        <v>45454</v>
      </c>
      <c r="M774" t="s">
        <v>2802</v>
      </c>
      <c r="N774">
        <v>24</v>
      </c>
      <c r="O774">
        <v>83</v>
      </c>
      <c r="P774" t="s">
        <v>39</v>
      </c>
    </row>
    <row r="775" spans="1:16" x14ac:dyDescent="0.35">
      <c r="A775" t="s">
        <v>2803</v>
      </c>
      <c r="B775" t="s">
        <v>235</v>
      </c>
      <c r="C775" t="s">
        <v>30</v>
      </c>
      <c r="D775" t="s">
        <v>2804</v>
      </c>
      <c r="E775" t="s">
        <v>1867</v>
      </c>
      <c r="F775">
        <v>87</v>
      </c>
      <c r="G775">
        <v>91</v>
      </c>
      <c r="H775">
        <v>23</v>
      </c>
      <c r="I775" t="s">
        <v>3577</v>
      </c>
      <c r="J775" s="8">
        <v>45655</v>
      </c>
      <c r="K775" s="8">
        <v>45435</v>
      </c>
      <c r="L775" s="8">
        <v>45521</v>
      </c>
      <c r="M775" t="s">
        <v>2805</v>
      </c>
      <c r="N775">
        <v>90</v>
      </c>
      <c r="O775">
        <v>75</v>
      </c>
      <c r="P775" t="s">
        <v>39</v>
      </c>
    </row>
    <row r="776" spans="1:16" x14ac:dyDescent="0.35">
      <c r="A776" t="s">
        <v>2806</v>
      </c>
      <c r="B776" t="s">
        <v>172</v>
      </c>
      <c r="C776" t="s">
        <v>48</v>
      </c>
      <c r="D776" t="s">
        <v>2807</v>
      </c>
      <c r="E776" t="s">
        <v>2592</v>
      </c>
      <c r="F776">
        <v>79</v>
      </c>
      <c r="G776">
        <v>37</v>
      </c>
      <c r="H776">
        <v>98</v>
      </c>
      <c r="I776" t="s">
        <v>3474</v>
      </c>
      <c r="J776" s="8">
        <v>45536</v>
      </c>
      <c r="K776" s="8">
        <v>45353</v>
      </c>
      <c r="L776" s="8">
        <v>45381</v>
      </c>
      <c r="M776" t="s">
        <v>2808</v>
      </c>
      <c r="N776">
        <v>33</v>
      </c>
      <c r="O776">
        <v>20</v>
      </c>
      <c r="P776" t="s">
        <v>27</v>
      </c>
    </row>
    <row r="777" spans="1:16" x14ac:dyDescent="0.35">
      <c r="A777" t="s">
        <v>2809</v>
      </c>
      <c r="B777" t="s">
        <v>509</v>
      </c>
      <c r="C777" t="s">
        <v>133</v>
      </c>
      <c r="D777" t="s">
        <v>2810</v>
      </c>
      <c r="E777" t="s">
        <v>1890</v>
      </c>
      <c r="F777">
        <v>14</v>
      </c>
      <c r="G777">
        <v>52</v>
      </c>
      <c r="H777">
        <v>80</v>
      </c>
      <c r="I777" t="s">
        <v>3578</v>
      </c>
      <c r="J777" s="8">
        <v>45499</v>
      </c>
      <c r="K777" s="8">
        <v>45486</v>
      </c>
      <c r="L777" s="8">
        <v>45496</v>
      </c>
      <c r="M777" t="s">
        <v>2811</v>
      </c>
      <c r="N777">
        <v>64</v>
      </c>
      <c r="O777">
        <v>17</v>
      </c>
      <c r="P777" t="s">
        <v>27</v>
      </c>
    </row>
    <row r="778" spans="1:16" x14ac:dyDescent="0.35">
      <c r="A778" t="s">
        <v>2812</v>
      </c>
      <c r="B778" t="s">
        <v>275</v>
      </c>
      <c r="C778" t="s">
        <v>48</v>
      </c>
      <c r="D778" t="s">
        <v>2813</v>
      </c>
      <c r="E778" t="s">
        <v>1065</v>
      </c>
      <c r="F778">
        <v>81</v>
      </c>
      <c r="G778">
        <v>35</v>
      </c>
      <c r="H778">
        <v>82</v>
      </c>
      <c r="I778" t="s">
        <v>3481</v>
      </c>
      <c r="J778" s="8">
        <v>45656</v>
      </c>
      <c r="K778" s="8">
        <v>45376</v>
      </c>
      <c r="L778" s="8">
        <v>45698</v>
      </c>
      <c r="M778" t="s">
        <v>2814</v>
      </c>
      <c r="N778">
        <v>86</v>
      </c>
      <c r="O778">
        <v>71</v>
      </c>
      <c r="P778" t="s">
        <v>39</v>
      </c>
    </row>
    <row r="779" spans="1:16" x14ac:dyDescent="0.35">
      <c r="A779" t="s">
        <v>2815</v>
      </c>
      <c r="B779" t="s">
        <v>882</v>
      </c>
      <c r="C779" t="s">
        <v>48</v>
      </c>
      <c r="D779" t="s">
        <v>2816</v>
      </c>
      <c r="E779" t="s">
        <v>331</v>
      </c>
      <c r="F779">
        <v>75</v>
      </c>
      <c r="G779">
        <v>18</v>
      </c>
      <c r="H779">
        <v>65</v>
      </c>
      <c r="I779" t="s">
        <v>3484</v>
      </c>
      <c r="J779" s="8">
        <v>45705</v>
      </c>
      <c r="K779" s="8">
        <v>45656</v>
      </c>
      <c r="L779" s="8">
        <v>45366</v>
      </c>
      <c r="M779" t="s">
        <v>2817</v>
      </c>
      <c r="N779">
        <v>32</v>
      </c>
      <c r="O779">
        <v>92</v>
      </c>
      <c r="P779" t="s">
        <v>45</v>
      </c>
    </row>
    <row r="780" spans="1:16" x14ac:dyDescent="0.35">
      <c r="A780" t="s">
        <v>2818</v>
      </c>
      <c r="B780" t="s">
        <v>613</v>
      </c>
      <c r="C780" t="s">
        <v>65</v>
      </c>
      <c r="D780" t="s">
        <v>2819</v>
      </c>
      <c r="E780" t="s">
        <v>314</v>
      </c>
      <c r="F780">
        <v>48</v>
      </c>
      <c r="G780">
        <v>12</v>
      </c>
      <c r="H780">
        <v>62</v>
      </c>
      <c r="I780" t="s">
        <v>3485</v>
      </c>
      <c r="J780" s="8">
        <v>45458</v>
      </c>
      <c r="K780" s="8">
        <v>45416</v>
      </c>
      <c r="L780" s="8">
        <v>45554</v>
      </c>
      <c r="M780" t="s">
        <v>2820</v>
      </c>
      <c r="N780">
        <v>59</v>
      </c>
      <c r="O780">
        <v>23</v>
      </c>
      <c r="P780" t="s">
        <v>45</v>
      </c>
    </row>
    <row r="781" spans="1:16" x14ac:dyDescent="0.35">
      <c r="A781" t="s">
        <v>2821</v>
      </c>
      <c r="B781" t="s">
        <v>202</v>
      </c>
      <c r="C781" t="s">
        <v>48</v>
      </c>
      <c r="D781" t="s">
        <v>2822</v>
      </c>
      <c r="E781" t="s">
        <v>1670</v>
      </c>
      <c r="F781">
        <v>50</v>
      </c>
      <c r="G781">
        <v>68</v>
      </c>
      <c r="H781">
        <v>90</v>
      </c>
      <c r="I781" t="s">
        <v>3484</v>
      </c>
      <c r="J781" s="8">
        <v>45638</v>
      </c>
      <c r="K781" s="8">
        <v>45421</v>
      </c>
      <c r="L781" s="8">
        <v>45448</v>
      </c>
      <c r="M781" t="s">
        <v>2823</v>
      </c>
      <c r="N781">
        <v>40</v>
      </c>
      <c r="O781">
        <v>13</v>
      </c>
      <c r="P781" t="s">
        <v>27</v>
      </c>
    </row>
    <row r="782" spans="1:16" x14ac:dyDescent="0.35">
      <c r="A782" t="s">
        <v>2824</v>
      </c>
      <c r="B782" t="s">
        <v>197</v>
      </c>
      <c r="C782" t="s">
        <v>133</v>
      </c>
      <c r="D782" t="s">
        <v>2825</v>
      </c>
      <c r="E782" t="s">
        <v>357</v>
      </c>
      <c r="F782">
        <v>11</v>
      </c>
      <c r="G782">
        <v>87</v>
      </c>
      <c r="H782">
        <v>43</v>
      </c>
      <c r="I782" t="s">
        <v>3492</v>
      </c>
      <c r="J782" s="8">
        <v>45659</v>
      </c>
      <c r="K782" s="8">
        <v>45449</v>
      </c>
      <c r="L782" s="8">
        <v>45697</v>
      </c>
      <c r="M782" t="s">
        <v>2826</v>
      </c>
      <c r="N782">
        <v>86</v>
      </c>
      <c r="O782">
        <v>91</v>
      </c>
      <c r="P782" t="s">
        <v>45</v>
      </c>
    </row>
    <row r="783" spans="1:16" x14ac:dyDescent="0.35">
      <c r="A783" t="s">
        <v>2827</v>
      </c>
      <c r="B783" t="s">
        <v>502</v>
      </c>
      <c r="C783" t="s">
        <v>23</v>
      </c>
      <c r="D783" t="s">
        <v>2828</v>
      </c>
      <c r="E783" t="s">
        <v>615</v>
      </c>
      <c r="F783">
        <v>74</v>
      </c>
      <c r="G783">
        <v>22</v>
      </c>
      <c r="H783">
        <v>91</v>
      </c>
      <c r="I783" t="s">
        <v>3506</v>
      </c>
      <c r="J783" s="8">
        <v>45529</v>
      </c>
      <c r="K783" s="8">
        <v>45679</v>
      </c>
      <c r="L783" s="8">
        <v>45462</v>
      </c>
      <c r="M783" t="s">
        <v>2829</v>
      </c>
      <c r="N783">
        <v>24</v>
      </c>
      <c r="O783">
        <v>12</v>
      </c>
      <c r="P783" t="s">
        <v>45</v>
      </c>
    </row>
    <row r="784" spans="1:16" x14ac:dyDescent="0.35">
      <c r="A784" t="s">
        <v>2830</v>
      </c>
      <c r="B784" t="s">
        <v>1269</v>
      </c>
      <c r="C784" t="s">
        <v>48</v>
      </c>
      <c r="D784" t="s">
        <v>2831</v>
      </c>
      <c r="E784" t="s">
        <v>81</v>
      </c>
      <c r="F784">
        <v>11</v>
      </c>
      <c r="G784">
        <v>10</v>
      </c>
      <c r="H784">
        <v>60</v>
      </c>
      <c r="I784" t="s">
        <v>3480</v>
      </c>
      <c r="J784" s="8">
        <v>45575</v>
      </c>
      <c r="K784" s="8">
        <v>45418</v>
      </c>
      <c r="L784" s="8">
        <v>45651</v>
      </c>
      <c r="M784" t="s">
        <v>2832</v>
      </c>
      <c r="N784">
        <v>93</v>
      </c>
      <c r="O784">
        <v>53</v>
      </c>
      <c r="P784" t="s">
        <v>27</v>
      </c>
    </row>
    <row r="785" spans="1:16" x14ac:dyDescent="0.35">
      <c r="A785" t="s">
        <v>2833</v>
      </c>
      <c r="B785" t="s">
        <v>364</v>
      </c>
      <c r="C785" t="s">
        <v>65</v>
      </c>
      <c r="D785" t="s">
        <v>2834</v>
      </c>
      <c r="E785" t="s">
        <v>2835</v>
      </c>
      <c r="F785">
        <v>85</v>
      </c>
      <c r="G785">
        <v>15</v>
      </c>
      <c r="H785">
        <v>30</v>
      </c>
      <c r="I785" t="s">
        <v>3478</v>
      </c>
      <c r="J785" s="8">
        <v>45398</v>
      </c>
      <c r="K785" s="8">
        <v>45590</v>
      </c>
      <c r="L785" s="8">
        <v>45632</v>
      </c>
      <c r="M785" t="s">
        <v>2836</v>
      </c>
      <c r="N785">
        <v>95</v>
      </c>
      <c r="O785">
        <v>63</v>
      </c>
      <c r="P785" t="s">
        <v>45</v>
      </c>
    </row>
    <row r="786" spans="1:16" x14ac:dyDescent="0.35">
      <c r="A786" t="s">
        <v>2837</v>
      </c>
      <c r="B786" t="s">
        <v>595</v>
      </c>
      <c r="C786" t="s">
        <v>48</v>
      </c>
      <c r="D786" t="s">
        <v>2838</v>
      </c>
      <c r="E786" t="s">
        <v>268</v>
      </c>
      <c r="F786">
        <v>57</v>
      </c>
      <c r="G786">
        <v>43</v>
      </c>
      <c r="H786">
        <v>46</v>
      </c>
      <c r="I786" t="s">
        <v>3480</v>
      </c>
      <c r="J786" s="8">
        <v>45456</v>
      </c>
      <c r="K786" s="8">
        <v>45627</v>
      </c>
      <c r="L786" s="8">
        <v>45508</v>
      </c>
      <c r="M786" t="s">
        <v>2839</v>
      </c>
      <c r="N786">
        <v>87</v>
      </c>
      <c r="O786">
        <v>88</v>
      </c>
      <c r="P786" t="s">
        <v>27</v>
      </c>
    </row>
    <row r="787" spans="1:16" x14ac:dyDescent="0.35">
      <c r="A787" t="s">
        <v>2840</v>
      </c>
      <c r="B787" t="s">
        <v>882</v>
      </c>
      <c r="C787" t="s">
        <v>48</v>
      </c>
      <c r="D787" t="s">
        <v>2841</v>
      </c>
      <c r="E787" t="s">
        <v>1203</v>
      </c>
      <c r="F787">
        <v>75</v>
      </c>
      <c r="G787">
        <v>56</v>
      </c>
      <c r="H787">
        <v>57</v>
      </c>
      <c r="I787" t="s">
        <v>3541</v>
      </c>
      <c r="J787" s="8">
        <v>45592</v>
      </c>
      <c r="K787" s="8">
        <v>45590</v>
      </c>
      <c r="L787" s="8">
        <v>45554</v>
      </c>
      <c r="M787" t="s">
        <v>2842</v>
      </c>
      <c r="N787">
        <v>63</v>
      </c>
      <c r="O787">
        <v>64</v>
      </c>
      <c r="P787" t="s">
        <v>27</v>
      </c>
    </row>
    <row r="788" spans="1:16" x14ac:dyDescent="0.35">
      <c r="A788" t="s">
        <v>2843</v>
      </c>
      <c r="B788" t="s">
        <v>729</v>
      </c>
      <c r="C788" t="s">
        <v>65</v>
      </c>
      <c r="D788" t="s">
        <v>2844</v>
      </c>
      <c r="E788" t="s">
        <v>272</v>
      </c>
      <c r="F788">
        <v>63</v>
      </c>
      <c r="G788">
        <v>7</v>
      </c>
      <c r="H788">
        <v>23</v>
      </c>
      <c r="I788" t="s">
        <v>3565</v>
      </c>
      <c r="J788" s="8">
        <v>45542</v>
      </c>
      <c r="K788" s="8">
        <v>45618</v>
      </c>
      <c r="L788" s="8">
        <v>45582</v>
      </c>
      <c r="M788" t="s">
        <v>2845</v>
      </c>
      <c r="N788">
        <v>78</v>
      </c>
      <c r="O788">
        <v>100</v>
      </c>
      <c r="P788" t="s">
        <v>45</v>
      </c>
    </row>
    <row r="789" spans="1:16" x14ac:dyDescent="0.35">
      <c r="A789" t="s">
        <v>2846</v>
      </c>
      <c r="B789" t="s">
        <v>337</v>
      </c>
      <c r="C789" t="s">
        <v>30</v>
      </c>
      <c r="D789" t="s">
        <v>2847</v>
      </c>
      <c r="E789" t="s">
        <v>2848</v>
      </c>
      <c r="F789">
        <v>35</v>
      </c>
      <c r="G789">
        <v>20</v>
      </c>
      <c r="H789">
        <v>42</v>
      </c>
      <c r="I789" t="s">
        <v>3579</v>
      </c>
      <c r="J789" s="8">
        <v>45473</v>
      </c>
      <c r="K789" s="8">
        <v>45509</v>
      </c>
      <c r="L789" s="8">
        <v>45665</v>
      </c>
      <c r="M789" t="s">
        <v>2849</v>
      </c>
      <c r="N789">
        <v>53</v>
      </c>
      <c r="O789">
        <v>56</v>
      </c>
      <c r="P789" t="s">
        <v>27</v>
      </c>
    </row>
    <row r="790" spans="1:16" x14ac:dyDescent="0.35">
      <c r="A790" t="s">
        <v>2850</v>
      </c>
      <c r="B790" t="s">
        <v>143</v>
      </c>
      <c r="C790" t="s">
        <v>48</v>
      </c>
      <c r="D790" t="s">
        <v>2851</v>
      </c>
      <c r="E790" t="s">
        <v>2078</v>
      </c>
      <c r="F790">
        <v>24</v>
      </c>
      <c r="G790">
        <v>32</v>
      </c>
      <c r="H790">
        <v>17</v>
      </c>
      <c r="I790" t="s">
        <v>3482</v>
      </c>
      <c r="J790" s="8">
        <v>45564</v>
      </c>
      <c r="K790" s="8">
        <v>45460</v>
      </c>
      <c r="L790" s="8">
        <v>45475</v>
      </c>
      <c r="M790" t="s">
        <v>2852</v>
      </c>
      <c r="N790">
        <v>55</v>
      </c>
      <c r="O790">
        <v>72</v>
      </c>
      <c r="P790" t="s">
        <v>27</v>
      </c>
    </row>
    <row r="791" spans="1:16" x14ac:dyDescent="0.35">
      <c r="A791" t="s">
        <v>2853</v>
      </c>
      <c r="B791" t="s">
        <v>468</v>
      </c>
      <c r="C791" t="s">
        <v>23</v>
      </c>
      <c r="D791" t="s">
        <v>2854</v>
      </c>
      <c r="E791" t="s">
        <v>2647</v>
      </c>
      <c r="F791">
        <v>53</v>
      </c>
      <c r="G791">
        <v>26</v>
      </c>
      <c r="H791">
        <v>3</v>
      </c>
      <c r="I791" t="s">
        <v>3504</v>
      </c>
      <c r="J791" s="8">
        <v>45353</v>
      </c>
      <c r="K791" s="8">
        <v>45477</v>
      </c>
      <c r="L791" s="8">
        <v>45357</v>
      </c>
      <c r="M791" t="s">
        <v>2855</v>
      </c>
      <c r="N791">
        <v>100</v>
      </c>
      <c r="O791">
        <v>94</v>
      </c>
      <c r="P791" t="s">
        <v>45</v>
      </c>
    </row>
    <row r="792" spans="1:16" x14ac:dyDescent="0.35">
      <c r="A792" t="s">
        <v>2856</v>
      </c>
      <c r="B792" t="s">
        <v>398</v>
      </c>
      <c r="C792" t="s">
        <v>90</v>
      </c>
      <c r="D792" t="s">
        <v>2857</v>
      </c>
      <c r="E792" t="s">
        <v>1132</v>
      </c>
      <c r="F792">
        <v>74</v>
      </c>
      <c r="G792">
        <v>81</v>
      </c>
      <c r="H792">
        <v>41</v>
      </c>
      <c r="I792" t="s">
        <v>3476</v>
      </c>
      <c r="J792" s="8">
        <v>45693</v>
      </c>
      <c r="K792" s="8">
        <v>45414</v>
      </c>
      <c r="L792" s="8">
        <v>45439</v>
      </c>
      <c r="M792" t="s">
        <v>2858</v>
      </c>
      <c r="N792">
        <v>51</v>
      </c>
      <c r="O792">
        <v>67</v>
      </c>
      <c r="P792" t="s">
        <v>45</v>
      </c>
    </row>
    <row r="793" spans="1:16" x14ac:dyDescent="0.35">
      <c r="A793" t="s">
        <v>2859</v>
      </c>
      <c r="B793" t="s">
        <v>1146</v>
      </c>
      <c r="C793" t="s">
        <v>23</v>
      </c>
      <c r="D793" t="s">
        <v>2860</v>
      </c>
      <c r="E793" t="s">
        <v>963</v>
      </c>
      <c r="F793">
        <v>79</v>
      </c>
      <c r="G793">
        <v>38</v>
      </c>
      <c r="H793">
        <v>67</v>
      </c>
      <c r="I793" t="s">
        <v>3480</v>
      </c>
      <c r="J793" s="8">
        <v>45478</v>
      </c>
      <c r="K793" s="8">
        <v>45573</v>
      </c>
      <c r="L793" s="8">
        <v>45536</v>
      </c>
      <c r="M793" t="s">
        <v>2861</v>
      </c>
      <c r="N793">
        <v>43</v>
      </c>
      <c r="O793">
        <v>93</v>
      </c>
      <c r="P793" t="s">
        <v>27</v>
      </c>
    </row>
    <row r="794" spans="1:16" x14ac:dyDescent="0.35">
      <c r="A794" t="s">
        <v>2862</v>
      </c>
      <c r="B794" t="s">
        <v>109</v>
      </c>
      <c r="C794" t="s">
        <v>23</v>
      </c>
      <c r="D794" t="s">
        <v>2863</v>
      </c>
      <c r="E794" t="s">
        <v>347</v>
      </c>
      <c r="F794">
        <v>54</v>
      </c>
      <c r="G794">
        <v>78</v>
      </c>
      <c r="H794">
        <v>81</v>
      </c>
      <c r="I794" t="s">
        <v>3477</v>
      </c>
      <c r="J794" s="8">
        <v>45414</v>
      </c>
      <c r="K794" s="8">
        <v>45619</v>
      </c>
      <c r="L794" s="8">
        <v>45478</v>
      </c>
      <c r="M794" t="s">
        <v>2864</v>
      </c>
      <c r="N794">
        <v>41</v>
      </c>
      <c r="O794">
        <v>63</v>
      </c>
      <c r="P794" t="s">
        <v>39</v>
      </c>
    </row>
    <row r="795" spans="1:16" x14ac:dyDescent="0.35">
      <c r="A795" t="s">
        <v>2865</v>
      </c>
      <c r="B795" t="s">
        <v>456</v>
      </c>
      <c r="C795" t="s">
        <v>59</v>
      </c>
      <c r="D795" t="s">
        <v>2866</v>
      </c>
      <c r="E795" t="s">
        <v>2867</v>
      </c>
      <c r="F795">
        <v>44</v>
      </c>
      <c r="G795">
        <v>83</v>
      </c>
      <c r="H795">
        <v>78</v>
      </c>
      <c r="I795" t="s">
        <v>3500</v>
      </c>
      <c r="J795" s="8">
        <v>45481</v>
      </c>
      <c r="K795" s="8">
        <v>45664</v>
      </c>
      <c r="L795" s="8">
        <v>45524</v>
      </c>
      <c r="M795" t="s">
        <v>2868</v>
      </c>
      <c r="N795">
        <v>46</v>
      </c>
      <c r="O795">
        <v>4</v>
      </c>
      <c r="P795" t="s">
        <v>27</v>
      </c>
    </row>
    <row r="796" spans="1:16" x14ac:dyDescent="0.35">
      <c r="A796" t="s">
        <v>2869</v>
      </c>
      <c r="B796" t="s">
        <v>502</v>
      </c>
      <c r="C796" t="s">
        <v>23</v>
      </c>
      <c r="D796" t="s">
        <v>2870</v>
      </c>
      <c r="E796" t="s">
        <v>1440</v>
      </c>
      <c r="F796">
        <v>77</v>
      </c>
      <c r="G796">
        <v>19</v>
      </c>
      <c r="H796">
        <v>31</v>
      </c>
      <c r="I796" t="s">
        <v>3506</v>
      </c>
      <c r="J796" s="8">
        <v>45594</v>
      </c>
      <c r="K796" s="8">
        <v>45680</v>
      </c>
      <c r="L796" s="8">
        <v>45371</v>
      </c>
      <c r="M796" t="s">
        <v>2871</v>
      </c>
      <c r="N796">
        <v>27</v>
      </c>
      <c r="O796">
        <v>25</v>
      </c>
      <c r="P796" t="s">
        <v>39</v>
      </c>
    </row>
    <row r="797" spans="1:16" x14ac:dyDescent="0.35">
      <c r="A797" t="s">
        <v>2872</v>
      </c>
      <c r="B797" t="s">
        <v>1185</v>
      </c>
      <c r="C797" t="s">
        <v>48</v>
      </c>
      <c r="D797" t="s">
        <v>2873</v>
      </c>
      <c r="E797" t="s">
        <v>1128</v>
      </c>
      <c r="F797">
        <v>42</v>
      </c>
      <c r="G797">
        <v>61</v>
      </c>
      <c r="H797">
        <v>52</v>
      </c>
      <c r="I797" t="s">
        <v>3489</v>
      </c>
      <c r="J797" s="8">
        <v>45628</v>
      </c>
      <c r="K797" s="8">
        <v>45688</v>
      </c>
      <c r="L797" s="8">
        <v>45564</v>
      </c>
      <c r="M797" t="s">
        <v>2874</v>
      </c>
      <c r="N797">
        <v>86</v>
      </c>
      <c r="O797">
        <v>99</v>
      </c>
      <c r="P797" t="s">
        <v>39</v>
      </c>
    </row>
    <row r="798" spans="1:16" x14ac:dyDescent="0.35">
      <c r="A798" t="s">
        <v>2875</v>
      </c>
      <c r="B798" t="s">
        <v>1532</v>
      </c>
      <c r="C798" t="s">
        <v>48</v>
      </c>
      <c r="D798" t="s">
        <v>2876</v>
      </c>
      <c r="E798" t="s">
        <v>944</v>
      </c>
      <c r="F798">
        <v>44</v>
      </c>
      <c r="G798">
        <v>77</v>
      </c>
      <c r="H798">
        <v>45</v>
      </c>
      <c r="I798" t="s">
        <v>3484</v>
      </c>
      <c r="J798" s="8">
        <v>45500</v>
      </c>
      <c r="K798" s="8">
        <v>45465</v>
      </c>
      <c r="L798" s="8">
        <v>45436</v>
      </c>
      <c r="M798" t="s">
        <v>2877</v>
      </c>
      <c r="N798">
        <v>89</v>
      </c>
      <c r="O798">
        <v>64</v>
      </c>
      <c r="P798" t="s">
        <v>27</v>
      </c>
    </row>
    <row r="799" spans="1:16" x14ac:dyDescent="0.35">
      <c r="A799" t="s">
        <v>2878</v>
      </c>
      <c r="B799" t="s">
        <v>646</v>
      </c>
      <c r="C799" t="s">
        <v>65</v>
      </c>
      <c r="D799" t="s">
        <v>2879</v>
      </c>
      <c r="E799" t="s">
        <v>352</v>
      </c>
      <c r="F799">
        <v>81</v>
      </c>
      <c r="G799">
        <v>76</v>
      </c>
      <c r="H799">
        <v>10</v>
      </c>
      <c r="I799" t="s">
        <v>3478</v>
      </c>
      <c r="J799" s="8">
        <v>45425</v>
      </c>
      <c r="K799" s="8">
        <v>45439</v>
      </c>
      <c r="L799" s="8">
        <v>45644</v>
      </c>
      <c r="M799" t="s">
        <v>2880</v>
      </c>
      <c r="N799">
        <v>68</v>
      </c>
      <c r="O799">
        <v>100</v>
      </c>
      <c r="P799" t="s">
        <v>39</v>
      </c>
    </row>
    <row r="800" spans="1:16" x14ac:dyDescent="0.35">
      <c r="A800" t="s">
        <v>2881</v>
      </c>
      <c r="B800" t="s">
        <v>35</v>
      </c>
      <c r="C800" t="s">
        <v>23</v>
      </c>
      <c r="D800" t="s">
        <v>2882</v>
      </c>
      <c r="E800" t="s">
        <v>818</v>
      </c>
      <c r="F800">
        <v>92</v>
      </c>
      <c r="G800">
        <v>48</v>
      </c>
      <c r="H800">
        <v>22</v>
      </c>
      <c r="I800" t="s">
        <v>3568</v>
      </c>
      <c r="J800" s="8">
        <v>45625</v>
      </c>
      <c r="K800" s="8">
        <v>45627</v>
      </c>
      <c r="L800" s="8">
        <v>45677</v>
      </c>
      <c r="M800" t="s">
        <v>2883</v>
      </c>
      <c r="N800">
        <v>38</v>
      </c>
      <c r="O800">
        <v>61</v>
      </c>
      <c r="P800" t="s">
        <v>39</v>
      </c>
    </row>
    <row r="801" spans="1:16" x14ac:dyDescent="0.35">
      <c r="A801" t="s">
        <v>2884</v>
      </c>
      <c r="B801" t="s">
        <v>1480</v>
      </c>
      <c r="C801" t="s">
        <v>133</v>
      </c>
      <c r="D801" t="s">
        <v>2885</v>
      </c>
      <c r="E801" t="s">
        <v>1736</v>
      </c>
      <c r="F801">
        <v>78</v>
      </c>
      <c r="G801">
        <v>68</v>
      </c>
      <c r="H801">
        <v>86</v>
      </c>
      <c r="I801" t="s">
        <v>3495</v>
      </c>
      <c r="J801" s="8">
        <v>45376</v>
      </c>
      <c r="K801" s="8">
        <v>45371</v>
      </c>
      <c r="L801" s="8">
        <v>45654</v>
      </c>
      <c r="M801" t="s">
        <v>2886</v>
      </c>
      <c r="N801">
        <v>47</v>
      </c>
      <c r="O801">
        <v>95</v>
      </c>
      <c r="P801" t="s">
        <v>27</v>
      </c>
    </row>
    <row r="802" spans="1:16" x14ac:dyDescent="0.35">
      <c r="A802" t="s">
        <v>2887</v>
      </c>
      <c r="B802" t="s">
        <v>364</v>
      </c>
      <c r="C802" t="s">
        <v>65</v>
      </c>
      <c r="D802" t="s">
        <v>2888</v>
      </c>
      <c r="E802" t="s">
        <v>944</v>
      </c>
      <c r="F802">
        <v>85</v>
      </c>
      <c r="G802">
        <v>66</v>
      </c>
      <c r="H802">
        <v>85</v>
      </c>
      <c r="I802" t="s">
        <v>3512</v>
      </c>
      <c r="J802" s="8">
        <v>45663</v>
      </c>
      <c r="K802" s="8">
        <v>45596</v>
      </c>
      <c r="L802" s="8">
        <v>45544</v>
      </c>
      <c r="M802" t="s">
        <v>2889</v>
      </c>
      <c r="N802">
        <v>65</v>
      </c>
      <c r="O802">
        <v>58</v>
      </c>
      <c r="P802" t="s">
        <v>27</v>
      </c>
    </row>
    <row r="803" spans="1:16" x14ac:dyDescent="0.35">
      <c r="A803" t="s">
        <v>2890</v>
      </c>
      <c r="B803" t="s">
        <v>546</v>
      </c>
      <c r="C803" t="s">
        <v>48</v>
      </c>
      <c r="D803" t="s">
        <v>2891</v>
      </c>
      <c r="E803" t="s">
        <v>2640</v>
      </c>
      <c r="F803">
        <v>65</v>
      </c>
      <c r="G803">
        <v>69</v>
      </c>
      <c r="H803">
        <v>4</v>
      </c>
      <c r="I803" t="s">
        <v>3476</v>
      </c>
      <c r="J803" s="8">
        <v>45518</v>
      </c>
      <c r="K803" s="8">
        <v>45458</v>
      </c>
      <c r="L803" s="8">
        <v>45578</v>
      </c>
      <c r="M803" t="s">
        <v>2892</v>
      </c>
      <c r="N803">
        <v>80</v>
      </c>
      <c r="O803">
        <v>26</v>
      </c>
      <c r="P803" t="s">
        <v>45</v>
      </c>
    </row>
    <row r="804" spans="1:16" x14ac:dyDescent="0.35">
      <c r="A804" t="s">
        <v>2893</v>
      </c>
      <c r="B804" t="s">
        <v>187</v>
      </c>
      <c r="C804" t="s">
        <v>59</v>
      </c>
      <c r="D804" t="s">
        <v>2894</v>
      </c>
      <c r="E804" t="s">
        <v>1466</v>
      </c>
      <c r="F804">
        <v>36</v>
      </c>
      <c r="G804">
        <v>3</v>
      </c>
      <c r="H804">
        <v>54</v>
      </c>
      <c r="I804" t="s">
        <v>3476</v>
      </c>
      <c r="J804" s="8">
        <v>45354</v>
      </c>
      <c r="K804" s="8">
        <v>45456</v>
      </c>
      <c r="L804" s="8">
        <v>45639</v>
      </c>
      <c r="M804" t="s">
        <v>2895</v>
      </c>
      <c r="N804">
        <v>74</v>
      </c>
      <c r="O804">
        <v>8</v>
      </c>
      <c r="P804" t="s">
        <v>27</v>
      </c>
    </row>
    <row r="805" spans="1:16" x14ac:dyDescent="0.35">
      <c r="A805" t="s">
        <v>2896</v>
      </c>
      <c r="B805" t="s">
        <v>390</v>
      </c>
      <c r="C805" t="s">
        <v>48</v>
      </c>
      <c r="D805" t="s">
        <v>2897</v>
      </c>
      <c r="E805" t="s">
        <v>2898</v>
      </c>
      <c r="F805">
        <v>26</v>
      </c>
      <c r="G805">
        <v>63</v>
      </c>
      <c r="H805">
        <v>88</v>
      </c>
      <c r="I805" t="s">
        <v>3501</v>
      </c>
      <c r="J805" s="8">
        <v>45421</v>
      </c>
      <c r="K805" s="8">
        <v>45351</v>
      </c>
      <c r="L805" s="8">
        <v>45436</v>
      </c>
      <c r="M805" t="s">
        <v>2899</v>
      </c>
      <c r="N805">
        <v>84</v>
      </c>
      <c r="O805">
        <v>70</v>
      </c>
      <c r="P805" t="s">
        <v>45</v>
      </c>
    </row>
    <row r="806" spans="1:16" x14ac:dyDescent="0.35">
      <c r="A806" t="s">
        <v>2900</v>
      </c>
      <c r="B806" t="s">
        <v>865</v>
      </c>
      <c r="C806" t="s">
        <v>59</v>
      </c>
      <c r="D806" t="s">
        <v>2901</v>
      </c>
      <c r="E806" t="s">
        <v>1280</v>
      </c>
      <c r="F806">
        <v>39</v>
      </c>
      <c r="G806">
        <v>13</v>
      </c>
      <c r="H806">
        <v>13</v>
      </c>
      <c r="I806" t="s">
        <v>3480</v>
      </c>
      <c r="J806" s="8">
        <v>45548</v>
      </c>
      <c r="K806" s="8">
        <v>45707</v>
      </c>
      <c r="L806" s="8">
        <v>45365</v>
      </c>
      <c r="M806" t="s">
        <v>2902</v>
      </c>
      <c r="N806">
        <v>84</v>
      </c>
      <c r="O806">
        <v>93</v>
      </c>
      <c r="P806" t="s">
        <v>45</v>
      </c>
    </row>
    <row r="807" spans="1:16" x14ac:dyDescent="0.35">
      <c r="A807" t="s">
        <v>2903</v>
      </c>
      <c r="B807" t="s">
        <v>84</v>
      </c>
      <c r="C807" t="s">
        <v>23</v>
      </c>
      <c r="D807" t="s">
        <v>2904</v>
      </c>
      <c r="E807" t="s">
        <v>2142</v>
      </c>
      <c r="F807">
        <v>39</v>
      </c>
      <c r="G807">
        <v>83</v>
      </c>
      <c r="H807">
        <v>21</v>
      </c>
      <c r="I807" t="s">
        <v>3484</v>
      </c>
      <c r="J807" s="8">
        <v>45657</v>
      </c>
      <c r="K807" s="8">
        <v>45405</v>
      </c>
      <c r="L807" s="8">
        <v>45394</v>
      </c>
      <c r="M807" t="s">
        <v>2905</v>
      </c>
      <c r="N807">
        <v>73</v>
      </c>
      <c r="O807">
        <v>88</v>
      </c>
      <c r="P807" t="s">
        <v>45</v>
      </c>
    </row>
    <row r="808" spans="1:16" x14ac:dyDescent="0.35">
      <c r="A808" t="s">
        <v>2906</v>
      </c>
      <c r="B808" t="s">
        <v>143</v>
      </c>
      <c r="C808" t="s">
        <v>48</v>
      </c>
      <c r="D808" t="s">
        <v>2907</v>
      </c>
      <c r="E808" t="s">
        <v>227</v>
      </c>
      <c r="F808">
        <v>83</v>
      </c>
      <c r="G808">
        <v>61</v>
      </c>
      <c r="H808">
        <v>4</v>
      </c>
      <c r="I808" t="s">
        <v>3482</v>
      </c>
      <c r="J808" s="8">
        <v>45551</v>
      </c>
      <c r="K808" s="8">
        <v>45601</v>
      </c>
      <c r="L808" s="8">
        <v>45589</v>
      </c>
      <c r="M808" t="s">
        <v>2908</v>
      </c>
      <c r="N808">
        <v>35</v>
      </c>
      <c r="O808">
        <v>7</v>
      </c>
      <c r="P808" t="s">
        <v>39</v>
      </c>
    </row>
    <row r="809" spans="1:16" x14ac:dyDescent="0.35">
      <c r="A809" t="s">
        <v>2909</v>
      </c>
      <c r="B809" t="s">
        <v>177</v>
      </c>
      <c r="C809" t="s">
        <v>48</v>
      </c>
      <c r="D809" t="s">
        <v>2910</v>
      </c>
      <c r="E809" t="s">
        <v>2181</v>
      </c>
      <c r="F809">
        <v>28</v>
      </c>
      <c r="G809">
        <v>5</v>
      </c>
      <c r="H809">
        <v>9</v>
      </c>
      <c r="I809" t="s">
        <v>3500</v>
      </c>
      <c r="J809" s="8">
        <v>45673</v>
      </c>
      <c r="K809" s="8">
        <v>45673</v>
      </c>
      <c r="L809" s="8">
        <v>45355</v>
      </c>
      <c r="M809" t="s">
        <v>2911</v>
      </c>
      <c r="N809">
        <v>33</v>
      </c>
      <c r="O809">
        <v>9</v>
      </c>
      <c r="P809" t="s">
        <v>27</v>
      </c>
    </row>
    <row r="810" spans="1:16" x14ac:dyDescent="0.35">
      <c r="A810" t="s">
        <v>2912</v>
      </c>
      <c r="B810" t="s">
        <v>625</v>
      </c>
      <c r="C810" t="s">
        <v>133</v>
      </c>
      <c r="D810" t="s">
        <v>2913</v>
      </c>
      <c r="E810" t="s">
        <v>1466</v>
      </c>
      <c r="F810">
        <v>85</v>
      </c>
      <c r="G810">
        <v>17</v>
      </c>
      <c r="H810">
        <v>96</v>
      </c>
      <c r="I810" t="s">
        <v>3513</v>
      </c>
      <c r="J810" s="8">
        <v>45601</v>
      </c>
      <c r="K810" s="8">
        <v>45475</v>
      </c>
      <c r="L810" s="8">
        <v>45390</v>
      </c>
      <c r="M810" t="s">
        <v>2914</v>
      </c>
      <c r="N810">
        <v>92</v>
      </c>
      <c r="O810">
        <v>34</v>
      </c>
      <c r="P810" t="s">
        <v>27</v>
      </c>
    </row>
    <row r="811" spans="1:16" x14ac:dyDescent="0.35">
      <c r="A811" t="s">
        <v>2915</v>
      </c>
      <c r="B811" t="s">
        <v>882</v>
      </c>
      <c r="C811" t="s">
        <v>48</v>
      </c>
      <c r="D811" t="s">
        <v>2916</v>
      </c>
      <c r="E811" t="s">
        <v>1079</v>
      </c>
      <c r="F811">
        <v>76</v>
      </c>
      <c r="G811">
        <v>39</v>
      </c>
      <c r="H811">
        <v>15</v>
      </c>
      <c r="I811" t="s">
        <v>3484</v>
      </c>
      <c r="J811" s="8">
        <v>45632</v>
      </c>
      <c r="K811" s="8">
        <v>45466</v>
      </c>
      <c r="L811" s="8">
        <v>45520</v>
      </c>
      <c r="M811" t="s">
        <v>2917</v>
      </c>
      <c r="N811">
        <v>77</v>
      </c>
      <c r="O811">
        <v>70</v>
      </c>
      <c r="P811" t="s">
        <v>39</v>
      </c>
    </row>
    <row r="812" spans="1:16" x14ac:dyDescent="0.35">
      <c r="A812" t="s">
        <v>2918</v>
      </c>
      <c r="B812" t="s">
        <v>1269</v>
      </c>
      <c r="C812" t="s">
        <v>48</v>
      </c>
      <c r="D812" t="s">
        <v>2919</v>
      </c>
      <c r="E812" t="s">
        <v>1455</v>
      </c>
      <c r="F812">
        <v>100</v>
      </c>
      <c r="G812">
        <v>64</v>
      </c>
      <c r="H812">
        <v>62</v>
      </c>
      <c r="I812" t="s">
        <v>3480</v>
      </c>
      <c r="J812" s="8">
        <v>45641</v>
      </c>
      <c r="K812" s="8">
        <v>45656</v>
      </c>
      <c r="L812" s="8">
        <v>45528</v>
      </c>
      <c r="M812" t="s">
        <v>2920</v>
      </c>
      <c r="N812">
        <v>84</v>
      </c>
      <c r="O812">
        <v>44</v>
      </c>
      <c r="P812" t="s">
        <v>27</v>
      </c>
    </row>
    <row r="813" spans="1:16" x14ac:dyDescent="0.35">
      <c r="A813" t="s">
        <v>2921</v>
      </c>
      <c r="B813" t="s">
        <v>546</v>
      </c>
      <c r="C813" t="s">
        <v>48</v>
      </c>
      <c r="D813" t="s">
        <v>2922</v>
      </c>
      <c r="E813" t="s">
        <v>2923</v>
      </c>
      <c r="F813">
        <v>17</v>
      </c>
      <c r="G813">
        <v>45</v>
      </c>
      <c r="H813">
        <v>44</v>
      </c>
      <c r="I813" t="s">
        <v>3476</v>
      </c>
      <c r="J813" s="8">
        <v>45498</v>
      </c>
      <c r="K813" s="8">
        <v>45385</v>
      </c>
      <c r="L813" s="8">
        <v>45575</v>
      </c>
      <c r="M813" t="s">
        <v>2924</v>
      </c>
      <c r="N813">
        <v>37</v>
      </c>
      <c r="O813">
        <v>16</v>
      </c>
      <c r="P813" t="s">
        <v>45</v>
      </c>
    </row>
    <row r="814" spans="1:16" x14ac:dyDescent="0.35">
      <c r="A814" t="s">
        <v>2925</v>
      </c>
      <c r="B814" t="s">
        <v>801</v>
      </c>
      <c r="C814" t="s">
        <v>133</v>
      </c>
      <c r="D814" t="s">
        <v>2926</v>
      </c>
      <c r="E814" t="s">
        <v>845</v>
      </c>
      <c r="F814">
        <v>51</v>
      </c>
      <c r="G814">
        <v>35</v>
      </c>
      <c r="H814">
        <v>95</v>
      </c>
      <c r="I814" t="s">
        <v>3503</v>
      </c>
      <c r="J814" s="8">
        <v>45587</v>
      </c>
      <c r="K814" s="8">
        <v>45420</v>
      </c>
      <c r="L814" s="8">
        <v>45520</v>
      </c>
      <c r="M814" t="s">
        <v>2927</v>
      </c>
      <c r="N814">
        <v>80</v>
      </c>
      <c r="O814">
        <v>89</v>
      </c>
      <c r="P814" t="s">
        <v>39</v>
      </c>
    </row>
    <row r="815" spans="1:16" x14ac:dyDescent="0.35">
      <c r="A815" t="s">
        <v>2928</v>
      </c>
      <c r="B815" t="s">
        <v>1126</v>
      </c>
      <c r="C815" t="s">
        <v>48</v>
      </c>
      <c r="D815" t="s">
        <v>2929</v>
      </c>
      <c r="E815" t="s">
        <v>174</v>
      </c>
      <c r="F815">
        <v>54</v>
      </c>
      <c r="G815">
        <v>88</v>
      </c>
      <c r="H815">
        <v>43</v>
      </c>
      <c r="I815" t="s">
        <v>3531</v>
      </c>
      <c r="J815" s="8">
        <v>45700</v>
      </c>
      <c r="K815" s="8">
        <v>45436</v>
      </c>
      <c r="L815" s="8">
        <v>45401</v>
      </c>
      <c r="M815" t="s">
        <v>2930</v>
      </c>
      <c r="N815">
        <v>81</v>
      </c>
      <c r="O815">
        <v>77</v>
      </c>
      <c r="P815" t="s">
        <v>39</v>
      </c>
    </row>
    <row r="816" spans="1:16" x14ac:dyDescent="0.35">
      <c r="A816" t="s">
        <v>2931</v>
      </c>
      <c r="B816" t="s">
        <v>266</v>
      </c>
      <c r="C816" t="s">
        <v>90</v>
      </c>
      <c r="D816" t="s">
        <v>2932</v>
      </c>
      <c r="E816" t="s">
        <v>1094</v>
      </c>
      <c r="F816">
        <v>94</v>
      </c>
      <c r="G816">
        <v>56</v>
      </c>
      <c r="H816">
        <v>80</v>
      </c>
      <c r="I816" t="s">
        <v>3478</v>
      </c>
      <c r="J816" s="8">
        <v>45661</v>
      </c>
      <c r="K816" s="8">
        <v>45628</v>
      </c>
      <c r="L816" s="8">
        <v>45562</v>
      </c>
      <c r="M816" t="s">
        <v>2933</v>
      </c>
      <c r="N816">
        <v>47</v>
      </c>
      <c r="O816">
        <v>96</v>
      </c>
      <c r="P816" t="s">
        <v>39</v>
      </c>
    </row>
    <row r="817" spans="1:16" x14ac:dyDescent="0.35">
      <c r="A817" t="s">
        <v>2934</v>
      </c>
      <c r="B817" t="s">
        <v>752</v>
      </c>
      <c r="C817" t="s">
        <v>48</v>
      </c>
      <c r="D817" t="s">
        <v>2935</v>
      </c>
      <c r="E817" t="s">
        <v>92</v>
      </c>
      <c r="F817">
        <v>34</v>
      </c>
      <c r="G817">
        <v>95</v>
      </c>
      <c r="H817">
        <v>18</v>
      </c>
      <c r="I817" t="s">
        <v>3489</v>
      </c>
      <c r="J817" s="8">
        <v>45579</v>
      </c>
      <c r="K817" s="8">
        <v>45582</v>
      </c>
      <c r="L817" s="8">
        <v>45424</v>
      </c>
      <c r="M817" t="s">
        <v>2936</v>
      </c>
      <c r="N817">
        <v>41</v>
      </c>
      <c r="O817">
        <v>26</v>
      </c>
      <c r="P817" t="s">
        <v>27</v>
      </c>
    </row>
    <row r="818" spans="1:16" x14ac:dyDescent="0.35">
      <c r="A818" t="s">
        <v>2937</v>
      </c>
      <c r="B818" t="s">
        <v>192</v>
      </c>
      <c r="C818" t="s">
        <v>30</v>
      </c>
      <c r="D818" t="s">
        <v>2938</v>
      </c>
      <c r="E818" t="s">
        <v>2939</v>
      </c>
      <c r="F818">
        <v>27</v>
      </c>
      <c r="G818">
        <v>1</v>
      </c>
      <c r="H818">
        <v>3</v>
      </c>
      <c r="I818" t="s">
        <v>3491</v>
      </c>
      <c r="J818" s="8">
        <v>45398</v>
      </c>
      <c r="K818" s="8">
        <v>45513</v>
      </c>
      <c r="L818" s="8">
        <v>45624</v>
      </c>
      <c r="M818" t="s">
        <v>2940</v>
      </c>
      <c r="N818">
        <v>34</v>
      </c>
      <c r="O818">
        <v>63</v>
      </c>
      <c r="P818" t="s">
        <v>39</v>
      </c>
    </row>
    <row r="819" spans="1:16" x14ac:dyDescent="0.35">
      <c r="A819" t="s">
        <v>2941</v>
      </c>
      <c r="B819" t="s">
        <v>53</v>
      </c>
      <c r="C819" t="s">
        <v>23</v>
      </c>
      <c r="D819" t="s">
        <v>2942</v>
      </c>
      <c r="E819" t="s">
        <v>194</v>
      </c>
      <c r="F819">
        <v>50</v>
      </c>
      <c r="G819">
        <v>42</v>
      </c>
      <c r="H819">
        <v>20</v>
      </c>
      <c r="I819" t="s">
        <v>3479</v>
      </c>
      <c r="J819" s="8">
        <v>45602</v>
      </c>
      <c r="K819" s="8">
        <v>45707</v>
      </c>
      <c r="L819" s="8">
        <v>45497</v>
      </c>
      <c r="M819" t="s">
        <v>2943</v>
      </c>
      <c r="N819">
        <v>87</v>
      </c>
      <c r="O819">
        <v>59</v>
      </c>
      <c r="P819" t="s">
        <v>45</v>
      </c>
    </row>
    <row r="820" spans="1:16" x14ac:dyDescent="0.35">
      <c r="A820" t="s">
        <v>2944</v>
      </c>
      <c r="B820" t="s">
        <v>502</v>
      </c>
      <c r="C820" t="s">
        <v>23</v>
      </c>
      <c r="D820" t="s">
        <v>2945</v>
      </c>
      <c r="E820" t="s">
        <v>2651</v>
      </c>
      <c r="F820">
        <v>85</v>
      </c>
      <c r="G820">
        <v>12</v>
      </c>
      <c r="H820">
        <v>94</v>
      </c>
      <c r="I820" t="s">
        <v>3506</v>
      </c>
      <c r="J820" s="8">
        <v>45375</v>
      </c>
      <c r="K820" s="8">
        <v>45590</v>
      </c>
      <c r="L820" s="8">
        <v>45365</v>
      </c>
      <c r="M820" t="s">
        <v>2946</v>
      </c>
      <c r="N820">
        <v>26</v>
      </c>
      <c r="O820">
        <v>32</v>
      </c>
      <c r="P820" t="s">
        <v>27</v>
      </c>
    </row>
    <row r="821" spans="1:16" x14ac:dyDescent="0.35">
      <c r="A821" t="s">
        <v>2947</v>
      </c>
      <c r="B821" t="s">
        <v>473</v>
      </c>
      <c r="C821" t="s">
        <v>23</v>
      </c>
      <c r="D821" t="s">
        <v>2948</v>
      </c>
      <c r="E821" t="s">
        <v>908</v>
      </c>
      <c r="F821">
        <v>24</v>
      </c>
      <c r="G821">
        <v>2</v>
      </c>
      <c r="H821">
        <v>49</v>
      </c>
      <c r="I821" t="s">
        <v>3484</v>
      </c>
      <c r="J821" s="8">
        <v>45445</v>
      </c>
      <c r="K821" s="8">
        <v>45682</v>
      </c>
      <c r="L821" s="8">
        <v>45540</v>
      </c>
      <c r="M821" t="s">
        <v>2949</v>
      </c>
      <c r="N821">
        <v>98</v>
      </c>
      <c r="O821">
        <v>82</v>
      </c>
      <c r="P821" t="s">
        <v>45</v>
      </c>
    </row>
    <row r="822" spans="1:16" x14ac:dyDescent="0.35">
      <c r="A822" t="s">
        <v>2950</v>
      </c>
      <c r="B822" t="s">
        <v>1167</v>
      </c>
      <c r="C822" t="s">
        <v>133</v>
      </c>
      <c r="D822" t="s">
        <v>2951</v>
      </c>
      <c r="E822" t="s">
        <v>762</v>
      </c>
      <c r="F822">
        <v>82</v>
      </c>
      <c r="G822">
        <v>31</v>
      </c>
      <c r="H822">
        <v>86</v>
      </c>
      <c r="I822" t="s">
        <v>3475</v>
      </c>
      <c r="J822" s="8">
        <v>45392</v>
      </c>
      <c r="K822" s="8">
        <v>45429</v>
      </c>
      <c r="L822" s="8">
        <v>45665</v>
      </c>
      <c r="M822" t="s">
        <v>2952</v>
      </c>
      <c r="N822">
        <v>66</v>
      </c>
      <c r="O822">
        <v>74</v>
      </c>
      <c r="P822" t="s">
        <v>45</v>
      </c>
    </row>
    <row r="823" spans="1:16" x14ac:dyDescent="0.35">
      <c r="A823" t="s">
        <v>2953</v>
      </c>
      <c r="B823" t="s">
        <v>1235</v>
      </c>
      <c r="C823" t="s">
        <v>48</v>
      </c>
      <c r="D823" t="s">
        <v>2954</v>
      </c>
      <c r="E823" t="s">
        <v>2344</v>
      </c>
      <c r="F823">
        <v>17</v>
      </c>
      <c r="G823">
        <v>14</v>
      </c>
      <c r="H823">
        <v>17</v>
      </c>
      <c r="I823" t="s">
        <v>3490</v>
      </c>
      <c r="J823" s="8">
        <v>45375</v>
      </c>
      <c r="K823" s="8">
        <v>45570</v>
      </c>
      <c r="L823" s="8">
        <v>45396</v>
      </c>
      <c r="M823" t="s">
        <v>2955</v>
      </c>
      <c r="N823">
        <v>36</v>
      </c>
      <c r="O823">
        <v>64</v>
      </c>
      <c r="P823" t="s">
        <v>27</v>
      </c>
    </row>
    <row r="824" spans="1:16" x14ac:dyDescent="0.35">
      <c r="A824" t="s">
        <v>2956</v>
      </c>
      <c r="B824" t="s">
        <v>600</v>
      </c>
      <c r="C824" t="s">
        <v>59</v>
      </c>
      <c r="D824" t="s">
        <v>2957</v>
      </c>
      <c r="E824" t="s">
        <v>272</v>
      </c>
      <c r="F824">
        <v>25</v>
      </c>
      <c r="G824">
        <v>97</v>
      </c>
      <c r="H824">
        <v>63</v>
      </c>
      <c r="I824" t="s">
        <v>3494</v>
      </c>
      <c r="J824" s="8">
        <v>45587</v>
      </c>
      <c r="K824" s="8">
        <v>45465</v>
      </c>
      <c r="L824" s="8">
        <v>45519</v>
      </c>
      <c r="M824" t="s">
        <v>2958</v>
      </c>
      <c r="N824">
        <v>72</v>
      </c>
      <c r="O824">
        <v>23</v>
      </c>
      <c r="P824" t="s">
        <v>27</v>
      </c>
    </row>
    <row r="825" spans="1:16" x14ac:dyDescent="0.35">
      <c r="A825" t="s">
        <v>2959</v>
      </c>
      <c r="B825" t="s">
        <v>509</v>
      </c>
      <c r="C825" t="s">
        <v>133</v>
      </c>
      <c r="D825" t="s">
        <v>2960</v>
      </c>
      <c r="E825" t="s">
        <v>656</v>
      </c>
      <c r="F825">
        <v>56</v>
      </c>
      <c r="G825">
        <v>59</v>
      </c>
      <c r="H825">
        <v>87</v>
      </c>
      <c r="I825" t="s">
        <v>3485</v>
      </c>
      <c r="J825" s="8">
        <v>45683</v>
      </c>
      <c r="K825" s="8">
        <v>45649</v>
      </c>
      <c r="L825" s="8">
        <v>45502</v>
      </c>
      <c r="M825" t="s">
        <v>2961</v>
      </c>
      <c r="N825">
        <v>65</v>
      </c>
      <c r="O825">
        <v>45</v>
      </c>
      <c r="P825" t="s">
        <v>45</v>
      </c>
    </row>
    <row r="826" spans="1:16" x14ac:dyDescent="0.35">
      <c r="A826" t="s">
        <v>2962</v>
      </c>
      <c r="B826" t="s">
        <v>1193</v>
      </c>
      <c r="C826" t="s">
        <v>65</v>
      </c>
      <c r="D826" t="s">
        <v>2963</v>
      </c>
      <c r="E826" t="s">
        <v>486</v>
      </c>
      <c r="F826">
        <v>72</v>
      </c>
      <c r="G826">
        <v>3</v>
      </c>
      <c r="H826">
        <v>10</v>
      </c>
      <c r="I826" t="s">
        <v>3484</v>
      </c>
      <c r="J826" s="8">
        <v>45675</v>
      </c>
      <c r="K826" s="8">
        <v>45504</v>
      </c>
      <c r="L826" s="8">
        <v>45570</v>
      </c>
      <c r="M826" t="s">
        <v>2964</v>
      </c>
      <c r="N826">
        <v>52</v>
      </c>
      <c r="O826">
        <v>14</v>
      </c>
      <c r="P826" t="s">
        <v>39</v>
      </c>
    </row>
    <row r="827" spans="1:16" x14ac:dyDescent="0.35">
      <c r="A827" t="s">
        <v>2965</v>
      </c>
      <c r="B827" t="s">
        <v>163</v>
      </c>
      <c r="C827" t="s">
        <v>48</v>
      </c>
      <c r="D827" t="s">
        <v>2966</v>
      </c>
      <c r="E827" t="s">
        <v>438</v>
      </c>
      <c r="F827">
        <v>65</v>
      </c>
      <c r="G827">
        <v>42</v>
      </c>
      <c r="H827">
        <v>62</v>
      </c>
      <c r="I827" t="s">
        <v>3575</v>
      </c>
      <c r="J827" s="8">
        <v>45589</v>
      </c>
      <c r="K827" s="8">
        <v>45462</v>
      </c>
      <c r="L827" s="8">
        <v>45486</v>
      </c>
      <c r="M827" t="s">
        <v>2967</v>
      </c>
      <c r="N827">
        <v>54</v>
      </c>
      <c r="O827">
        <v>2</v>
      </c>
      <c r="P827" t="s">
        <v>45</v>
      </c>
    </row>
    <row r="828" spans="1:16" x14ac:dyDescent="0.35">
      <c r="A828" t="s">
        <v>2968</v>
      </c>
      <c r="B828" t="s">
        <v>1126</v>
      </c>
      <c r="C828" t="s">
        <v>48</v>
      </c>
      <c r="D828" t="s">
        <v>2969</v>
      </c>
      <c r="E828" t="s">
        <v>1969</v>
      </c>
      <c r="F828">
        <v>30</v>
      </c>
      <c r="G828">
        <v>66</v>
      </c>
      <c r="H828">
        <v>28</v>
      </c>
      <c r="I828" t="s">
        <v>3531</v>
      </c>
      <c r="J828" s="8">
        <v>45513</v>
      </c>
      <c r="K828" s="8">
        <v>45696</v>
      </c>
      <c r="L828" s="8">
        <v>45654</v>
      </c>
      <c r="M828" t="s">
        <v>2970</v>
      </c>
      <c r="N828">
        <v>63</v>
      </c>
      <c r="O828">
        <v>98</v>
      </c>
      <c r="P828" t="s">
        <v>45</v>
      </c>
    </row>
    <row r="829" spans="1:16" x14ac:dyDescent="0.35">
      <c r="A829" t="s">
        <v>2971</v>
      </c>
      <c r="B829" t="s">
        <v>202</v>
      </c>
      <c r="C829" t="s">
        <v>48</v>
      </c>
      <c r="D829" t="s">
        <v>2972</v>
      </c>
      <c r="E829" t="s">
        <v>708</v>
      </c>
      <c r="F829">
        <v>39</v>
      </c>
      <c r="G829">
        <v>37</v>
      </c>
      <c r="H829">
        <v>48</v>
      </c>
      <c r="I829" t="s">
        <v>3484</v>
      </c>
      <c r="J829" s="8">
        <v>45623</v>
      </c>
      <c r="K829" s="8">
        <v>45530</v>
      </c>
      <c r="L829" s="8">
        <v>45467</v>
      </c>
      <c r="M829" t="s">
        <v>2973</v>
      </c>
      <c r="N829">
        <v>25</v>
      </c>
      <c r="O829">
        <v>19</v>
      </c>
      <c r="P829" t="s">
        <v>45</v>
      </c>
    </row>
    <row r="830" spans="1:16" x14ac:dyDescent="0.35">
      <c r="A830" t="s">
        <v>2974</v>
      </c>
      <c r="B830" t="s">
        <v>182</v>
      </c>
      <c r="C830" t="s">
        <v>48</v>
      </c>
      <c r="D830" t="s">
        <v>2975</v>
      </c>
      <c r="E830" t="s">
        <v>1316</v>
      </c>
      <c r="F830">
        <v>14</v>
      </c>
      <c r="G830">
        <v>81</v>
      </c>
      <c r="H830">
        <v>65</v>
      </c>
      <c r="I830" t="s">
        <v>3490</v>
      </c>
      <c r="J830" s="8">
        <v>45613</v>
      </c>
      <c r="K830" s="8">
        <v>45366</v>
      </c>
      <c r="L830" s="8">
        <v>45587</v>
      </c>
      <c r="M830" t="s">
        <v>2976</v>
      </c>
      <c r="N830">
        <v>74</v>
      </c>
      <c r="O830">
        <v>84</v>
      </c>
      <c r="P830" t="s">
        <v>45</v>
      </c>
    </row>
    <row r="831" spans="1:16" x14ac:dyDescent="0.35">
      <c r="A831" t="s">
        <v>2977</v>
      </c>
      <c r="B831" t="s">
        <v>312</v>
      </c>
      <c r="C831" t="s">
        <v>48</v>
      </c>
      <c r="D831" t="s">
        <v>2978</v>
      </c>
      <c r="E831" t="s">
        <v>1094</v>
      </c>
      <c r="F831">
        <v>74</v>
      </c>
      <c r="G831">
        <v>37</v>
      </c>
      <c r="H831">
        <v>57</v>
      </c>
      <c r="I831" t="s">
        <v>3477</v>
      </c>
      <c r="J831" s="8">
        <v>45702</v>
      </c>
      <c r="K831" s="8">
        <v>45355</v>
      </c>
      <c r="L831" s="8">
        <v>45644</v>
      </c>
      <c r="M831" t="s">
        <v>2979</v>
      </c>
      <c r="N831">
        <v>91</v>
      </c>
      <c r="O831">
        <v>18</v>
      </c>
      <c r="P831" t="s">
        <v>45</v>
      </c>
    </row>
    <row r="832" spans="1:16" x14ac:dyDescent="0.35">
      <c r="A832" t="s">
        <v>2980</v>
      </c>
      <c r="B832" t="s">
        <v>148</v>
      </c>
      <c r="C832" t="s">
        <v>65</v>
      </c>
      <c r="D832" t="s">
        <v>2981</v>
      </c>
      <c r="E832" t="s">
        <v>2220</v>
      </c>
      <c r="F832">
        <v>63</v>
      </c>
      <c r="G832">
        <v>41</v>
      </c>
      <c r="H832">
        <v>98</v>
      </c>
      <c r="I832" t="s">
        <v>3580</v>
      </c>
      <c r="J832" s="8">
        <v>45587</v>
      </c>
      <c r="K832" s="8">
        <v>45643</v>
      </c>
      <c r="L832" s="8">
        <v>45518</v>
      </c>
      <c r="M832" t="s">
        <v>2982</v>
      </c>
      <c r="N832">
        <v>37</v>
      </c>
      <c r="O832">
        <v>7</v>
      </c>
      <c r="P832" t="s">
        <v>45</v>
      </c>
    </row>
    <row r="833" spans="1:16" x14ac:dyDescent="0.35">
      <c r="A833" t="s">
        <v>2983</v>
      </c>
      <c r="B833" t="s">
        <v>555</v>
      </c>
      <c r="C833" t="s">
        <v>48</v>
      </c>
      <c r="D833" t="s">
        <v>2984</v>
      </c>
      <c r="E833" t="s">
        <v>106</v>
      </c>
      <c r="F833">
        <v>47</v>
      </c>
      <c r="G833">
        <v>67</v>
      </c>
      <c r="H833">
        <v>57</v>
      </c>
      <c r="I833" t="s">
        <v>3478</v>
      </c>
      <c r="J833" s="8">
        <v>45630</v>
      </c>
      <c r="K833" s="8">
        <v>45495</v>
      </c>
      <c r="L833" s="8">
        <v>45711</v>
      </c>
      <c r="M833" t="s">
        <v>2985</v>
      </c>
      <c r="N833">
        <v>36</v>
      </c>
      <c r="O833">
        <v>48</v>
      </c>
      <c r="P833" t="s">
        <v>39</v>
      </c>
    </row>
    <row r="834" spans="1:16" x14ac:dyDescent="0.35">
      <c r="A834" t="s">
        <v>2986</v>
      </c>
      <c r="B834" t="s">
        <v>729</v>
      </c>
      <c r="C834" t="s">
        <v>65</v>
      </c>
      <c r="D834" t="s">
        <v>2987</v>
      </c>
      <c r="E834" t="s">
        <v>735</v>
      </c>
      <c r="F834">
        <v>42</v>
      </c>
      <c r="G834">
        <v>94</v>
      </c>
      <c r="H834">
        <v>79</v>
      </c>
      <c r="I834" t="s">
        <v>3480</v>
      </c>
      <c r="J834" s="8">
        <v>45643</v>
      </c>
      <c r="K834" s="8">
        <v>45647</v>
      </c>
      <c r="L834" s="8">
        <v>45428</v>
      </c>
      <c r="M834" t="s">
        <v>2988</v>
      </c>
      <c r="N834">
        <v>61</v>
      </c>
      <c r="O834">
        <v>92</v>
      </c>
      <c r="P834" t="s">
        <v>39</v>
      </c>
    </row>
    <row r="835" spans="1:16" x14ac:dyDescent="0.35">
      <c r="A835" t="s">
        <v>2989</v>
      </c>
      <c r="B835" t="s">
        <v>1269</v>
      </c>
      <c r="C835" t="s">
        <v>48</v>
      </c>
      <c r="D835" t="s">
        <v>2990</v>
      </c>
      <c r="E835" t="s">
        <v>1065</v>
      </c>
      <c r="F835">
        <v>32</v>
      </c>
      <c r="G835">
        <v>49</v>
      </c>
      <c r="H835">
        <v>73</v>
      </c>
      <c r="I835" t="s">
        <v>3480</v>
      </c>
      <c r="J835" s="8">
        <v>45479</v>
      </c>
      <c r="K835" s="8">
        <v>45404</v>
      </c>
      <c r="L835" s="8">
        <v>45439</v>
      </c>
      <c r="M835" t="s">
        <v>2991</v>
      </c>
      <c r="N835">
        <v>80</v>
      </c>
      <c r="O835">
        <v>36</v>
      </c>
      <c r="P835" t="s">
        <v>27</v>
      </c>
    </row>
    <row r="836" spans="1:16" x14ac:dyDescent="0.35">
      <c r="A836" t="s">
        <v>2992</v>
      </c>
      <c r="B836" t="s">
        <v>513</v>
      </c>
      <c r="C836" t="s">
        <v>48</v>
      </c>
      <c r="D836" t="s">
        <v>2993</v>
      </c>
      <c r="E836" t="s">
        <v>811</v>
      </c>
      <c r="F836">
        <v>88</v>
      </c>
      <c r="G836">
        <v>56</v>
      </c>
      <c r="H836">
        <v>72</v>
      </c>
      <c r="I836" t="s">
        <v>3484</v>
      </c>
      <c r="J836" s="8">
        <v>45669</v>
      </c>
      <c r="K836" s="8">
        <v>45394</v>
      </c>
      <c r="L836" s="8">
        <v>45471</v>
      </c>
      <c r="M836" t="s">
        <v>2994</v>
      </c>
      <c r="N836">
        <v>25</v>
      </c>
      <c r="O836">
        <v>36</v>
      </c>
      <c r="P836" t="s">
        <v>45</v>
      </c>
    </row>
    <row r="837" spans="1:16" x14ac:dyDescent="0.35">
      <c r="A837" t="s">
        <v>2995</v>
      </c>
      <c r="B837" t="s">
        <v>1219</v>
      </c>
      <c r="C837" t="s">
        <v>65</v>
      </c>
      <c r="D837" t="s">
        <v>2996</v>
      </c>
      <c r="E837" t="s">
        <v>2997</v>
      </c>
      <c r="F837">
        <v>80</v>
      </c>
      <c r="G837">
        <v>69</v>
      </c>
      <c r="H837">
        <v>71</v>
      </c>
      <c r="I837" t="s">
        <v>3479</v>
      </c>
      <c r="J837" s="8">
        <v>45531</v>
      </c>
      <c r="K837" s="8">
        <v>45415</v>
      </c>
      <c r="L837" s="8">
        <v>45399</v>
      </c>
      <c r="M837" t="s">
        <v>2998</v>
      </c>
      <c r="N837">
        <v>41</v>
      </c>
      <c r="O837">
        <v>43</v>
      </c>
      <c r="P837" t="s">
        <v>39</v>
      </c>
    </row>
    <row r="838" spans="1:16" x14ac:dyDescent="0.35">
      <c r="A838" t="s">
        <v>2999</v>
      </c>
      <c r="B838" t="s">
        <v>275</v>
      </c>
      <c r="C838" t="s">
        <v>48</v>
      </c>
      <c r="D838" t="s">
        <v>3000</v>
      </c>
      <c r="E838" t="s">
        <v>1569</v>
      </c>
      <c r="F838">
        <v>36</v>
      </c>
      <c r="G838">
        <v>59</v>
      </c>
      <c r="H838">
        <v>90</v>
      </c>
      <c r="I838" t="s">
        <v>3481</v>
      </c>
      <c r="J838" s="8">
        <v>45481</v>
      </c>
      <c r="K838" s="8">
        <v>45635</v>
      </c>
      <c r="L838" s="8">
        <v>45607</v>
      </c>
      <c r="M838" t="s">
        <v>3001</v>
      </c>
      <c r="N838">
        <v>25</v>
      </c>
      <c r="O838">
        <v>60</v>
      </c>
      <c r="P838" t="s">
        <v>27</v>
      </c>
    </row>
    <row r="839" spans="1:16" x14ac:dyDescent="0.35">
      <c r="A839" t="s">
        <v>3002</v>
      </c>
      <c r="B839" t="s">
        <v>109</v>
      </c>
      <c r="C839" t="s">
        <v>23</v>
      </c>
      <c r="D839" t="s">
        <v>3003</v>
      </c>
      <c r="E839" t="s">
        <v>314</v>
      </c>
      <c r="F839">
        <v>11</v>
      </c>
      <c r="G839">
        <v>77</v>
      </c>
      <c r="H839">
        <v>7</v>
      </c>
      <c r="I839" t="s">
        <v>3477</v>
      </c>
      <c r="J839" s="8">
        <v>45591</v>
      </c>
      <c r="K839" s="8">
        <v>45601</v>
      </c>
      <c r="L839" s="8">
        <v>45483</v>
      </c>
      <c r="M839" t="s">
        <v>3004</v>
      </c>
      <c r="N839">
        <v>77</v>
      </c>
      <c r="O839">
        <v>46</v>
      </c>
      <c r="P839" t="s">
        <v>39</v>
      </c>
    </row>
    <row r="840" spans="1:16" x14ac:dyDescent="0.35">
      <c r="A840" t="s">
        <v>3005</v>
      </c>
      <c r="B840" t="s">
        <v>555</v>
      </c>
      <c r="C840" t="s">
        <v>48</v>
      </c>
      <c r="D840" t="s">
        <v>3006</v>
      </c>
      <c r="E840" t="s">
        <v>1199</v>
      </c>
      <c r="F840">
        <v>40</v>
      </c>
      <c r="G840">
        <v>83</v>
      </c>
      <c r="H840">
        <v>50</v>
      </c>
      <c r="I840" t="s">
        <v>3478</v>
      </c>
      <c r="J840" s="8">
        <v>45448</v>
      </c>
      <c r="K840" s="8">
        <v>45538</v>
      </c>
      <c r="L840" s="8">
        <v>45459</v>
      </c>
      <c r="M840" t="s">
        <v>3007</v>
      </c>
      <c r="N840">
        <v>92</v>
      </c>
      <c r="O840">
        <v>50</v>
      </c>
      <c r="P840" t="s">
        <v>45</v>
      </c>
    </row>
    <row r="841" spans="1:16" x14ac:dyDescent="0.35">
      <c r="A841" t="s">
        <v>3008</v>
      </c>
      <c r="B841" t="s">
        <v>109</v>
      </c>
      <c r="C841" t="s">
        <v>23</v>
      </c>
      <c r="D841" t="s">
        <v>3009</v>
      </c>
      <c r="E841" t="s">
        <v>2848</v>
      </c>
      <c r="F841">
        <v>63</v>
      </c>
      <c r="G841">
        <v>43</v>
      </c>
      <c r="H841">
        <v>8</v>
      </c>
      <c r="I841" t="s">
        <v>3477</v>
      </c>
      <c r="J841" s="8">
        <v>45524</v>
      </c>
      <c r="K841" s="8">
        <v>45402</v>
      </c>
      <c r="L841" s="8">
        <v>45634</v>
      </c>
      <c r="M841" t="s">
        <v>3010</v>
      </c>
      <c r="N841">
        <v>55</v>
      </c>
      <c r="O841">
        <v>72</v>
      </c>
      <c r="P841" t="s">
        <v>45</v>
      </c>
    </row>
    <row r="842" spans="1:16" x14ac:dyDescent="0.35">
      <c r="A842" t="s">
        <v>3011</v>
      </c>
      <c r="B842" t="s">
        <v>153</v>
      </c>
      <c r="C842" t="s">
        <v>23</v>
      </c>
      <c r="D842" t="s">
        <v>3012</v>
      </c>
      <c r="E842" t="s">
        <v>2373</v>
      </c>
      <c r="F842">
        <v>90</v>
      </c>
      <c r="G842">
        <v>75</v>
      </c>
      <c r="H842">
        <v>43</v>
      </c>
      <c r="I842" t="s">
        <v>3477</v>
      </c>
      <c r="J842" s="8">
        <v>45440</v>
      </c>
      <c r="K842" s="8">
        <v>45553</v>
      </c>
      <c r="L842" s="8">
        <v>45711</v>
      </c>
      <c r="M842" t="s">
        <v>3013</v>
      </c>
      <c r="N842">
        <v>80</v>
      </c>
      <c r="O842">
        <v>57</v>
      </c>
      <c r="P842" t="s">
        <v>27</v>
      </c>
    </row>
    <row r="843" spans="1:16" x14ac:dyDescent="0.35">
      <c r="A843" t="s">
        <v>3014</v>
      </c>
      <c r="B843" t="s">
        <v>244</v>
      </c>
      <c r="C843" t="s">
        <v>90</v>
      </c>
      <c r="D843" t="s">
        <v>3015</v>
      </c>
      <c r="E843" t="s">
        <v>973</v>
      </c>
      <c r="F843">
        <v>47</v>
      </c>
      <c r="G843">
        <v>26</v>
      </c>
      <c r="H843">
        <v>40</v>
      </c>
      <c r="I843" t="s">
        <v>3581</v>
      </c>
      <c r="J843" s="8">
        <v>45639</v>
      </c>
      <c r="K843" s="8">
        <v>45669</v>
      </c>
      <c r="L843" s="8">
        <v>45622</v>
      </c>
      <c r="M843" t="s">
        <v>3016</v>
      </c>
      <c r="N843">
        <v>30</v>
      </c>
      <c r="O843">
        <v>72</v>
      </c>
      <c r="P843" t="s">
        <v>45</v>
      </c>
    </row>
    <row r="844" spans="1:16" x14ac:dyDescent="0.35">
      <c r="A844" t="s">
        <v>3017</v>
      </c>
      <c r="B844" t="s">
        <v>984</v>
      </c>
      <c r="C844" t="s">
        <v>90</v>
      </c>
      <c r="D844" t="s">
        <v>3018</v>
      </c>
      <c r="E844" t="s">
        <v>1232</v>
      </c>
      <c r="F844">
        <v>29</v>
      </c>
      <c r="G844">
        <v>2</v>
      </c>
      <c r="H844">
        <v>84</v>
      </c>
      <c r="I844" t="s">
        <v>3478</v>
      </c>
      <c r="J844" s="8">
        <v>45372</v>
      </c>
      <c r="K844" s="8">
        <v>45401</v>
      </c>
      <c r="L844" s="8">
        <v>45560</v>
      </c>
      <c r="M844" t="s">
        <v>3019</v>
      </c>
      <c r="N844">
        <v>80</v>
      </c>
      <c r="O844">
        <v>85</v>
      </c>
      <c r="P844" t="s">
        <v>39</v>
      </c>
    </row>
    <row r="845" spans="1:16" x14ac:dyDescent="0.35">
      <c r="A845" t="s">
        <v>3020</v>
      </c>
      <c r="B845" t="s">
        <v>555</v>
      </c>
      <c r="C845" t="s">
        <v>48</v>
      </c>
      <c r="D845" t="s">
        <v>3021</v>
      </c>
      <c r="E845" t="s">
        <v>2138</v>
      </c>
      <c r="F845">
        <v>94</v>
      </c>
      <c r="G845">
        <v>69</v>
      </c>
      <c r="H845">
        <v>68</v>
      </c>
      <c r="I845" t="s">
        <v>3478</v>
      </c>
      <c r="J845" s="8">
        <v>45481</v>
      </c>
      <c r="K845" s="8">
        <v>45673</v>
      </c>
      <c r="L845" s="8">
        <v>45701</v>
      </c>
      <c r="M845" t="s">
        <v>3022</v>
      </c>
      <c r="N845">
        <v>24</v>
      </c>
      <c r="O845">
        <v>20</v>
      </c>
      <c r="P845" t="s">
        <v>27</v>
      </c>
    </row>
    <row r="846" spans="1:16" x14ac:dyDescent="0.35">
      <c r="A846" t="s">
        <v>3023</v>
      </c>
      <c r="B846" t="s">
        <v>225</v>
      </c>
      <c r="C846" t="s">
        <v>48</v>
      </c>
      <c r="D846" t="s">
        <v>3024</v>
      </c>
      <c r="E846" t="s">
        <v>383</v>
      </c>
      <c r="F846">
        <v>32</v>
      </c>
      <c r="G846">
        <v>63</v>
      </c>
      <c r="H846">
        <v>92</v>
      </c>
      <c r="I846" t="s">
        <v>3582</v>
      </c>
      <c r="J846" s="8">
        <v>45613</v>
      </c>
      <c r="K846" s="8">
        <v>45498</v>
      </c>
      <c r="L846" s="8">
        <v>45605</v>
      </c>
      <c r="M846" t="s">
        <v>3025</v>
      </c>
      <c r="N846">
        <v>84</v>
      </c>
      <c r="O846">
        <v>34</v>
      </c>
      <c r="P846" t="s">
        <v>27</v>
      </c>
    </row>
    <row r="847" spans="1:16" x14ac:dyDescent="0.35">
      <c r="A847" t="s">
        <v>3026</v>
      </c>
      <c r="B847" t="s">
        <v>47</v>
      </c>
      <c r="C847" t="s">
        <v>48</v>
      </c>
      <c r="D847" t="s">
        <v>3027</v>
      </c>
      <c r="E847" t="s">
        <v>1284</v>
      </c>
      <c r="F847">
        <v>40</v>
      </c>
      <c r="G847">
        <v>3</v>
      </c>
      <c r="H847">
        <v>5</v>
      </c>
      <c r="I847" t="s">
        <v>3478</v>
      </c>
      <c r="J847" s="8">
        <v>45355</v>
      </c>
      <c r="K847" s="8">
        <v>45458</v>
      </c>
      <c r="L847" s="8">
        <v>45467</v>
      </c>
      <c r="M847" t="s">
        <v>3028</v>
      </c>
      <c r="N847">
        <v>45</v>
      </c>
      <c r="O847">
        <v>69</v>
      </c>
      <c r="P847" t="s">
        <v>27</v>
      </c>
    </row>
    <row r="848" spans="1:16" x14ac:dyDescent="0.35">
      <c r="A848" t="s">
        <v>3029</v>
      </c>
      <c r="B848" t="s">
        <v>64</v>
      </c>
      <c r="C848" t="s">
        <v>65</v>
      </c>
      <c r="D848" t="s">
        <v>3030</v>
      </c>
      <c r="E848" t="s">
        <v>1462</v>
      </c>
      <c r="F848">
        <v>50</v>
      </c>
      <c r="G848">
        <v>66</v>
      </c>
      <c r="H848">
        <v>1</v>
      </c>
      <c r="I848" t="s">
        <v>3480</v>
      </c>
      <c r="J848" s="8">
        <v>45587</v>
      </c>
      <c r="K848" s="8">
        <v>45633</v>
      </c>
      <c r="L848" s="8">
        <v>45692</v>
      </c>
      <c r="M848" t="s">
        <v>3031</v>
      </c>
      <c r="N848">
        <v>76</v>
      </c>
      <c r="O848">
        <v>73</v>
      </c>
      <c r="P848" t="s">
        <v>45</v>
      </c>
    </row>
    <row r="849" spans="1:16" x14ac:dyDescent="0.35">
      <c r="A849" t="s">
        <v>3032</v>
      </c>
      <c r="B849" t="s">
        <v>533</v>
      </c>
      <c r="C849" t="s">
        <v>133</v>
      </c>
      <c r="D849" t="s">
        <v>3033</v>
      </c>
      <c r="E849" t="s">
        <v>1674</v>
      </c>
      <c r="F849">
        <v>72</v>
      </c>
      <c r="G849">
        <v>29</v>
      </c>
      <c r="H849">
        <v>10</v>
      </c>
      <c r="I849" t="s">
        <v>3486</v>
      </c>
      <c r="J849" s="8">
        <v>45357</v>
      </c>
      <c r="K849" s="8">
        <v>45389</v>
      </c>
      <c r="L849" s="8">
        <v>45375</v>
      </c>
      <c r="M849" t="s">
        <v>3034</v>
      </c>
      <c r="N849">
        <v>54</v>
      </c>
      <c r="O849">
        <v>38</v>
      </c>
      <c r="P849" t="s">
        <v>27</v>
      </c>
    </row>
    <row r="850" spans="1:16" x14ac:dyDescent="0.35">
      <c r="A850" t="s">
        <v>3035</v>
      </c>
      <c r="B850" t="s">
        <v>546</v>
      </c>
      <c r="C850" t="s">
        <v>48</v>
      </c>
      <c r="D850" t="s">
        <v>3036</v>
      </c>
      <c r="E850" t="s">
        <v>395</v>
      </c>
      <c r="F850">
        <v>22</v>
      </c>
      <c r="G850">
        <v>35</v>
      </c>
      <c r="H850">
        <v>55</v>
      </c>
      <c r="I850" t="s">
        <v>3476</v>
      </c>
      <c r="J850" s="8">
        <v>45534</v>
      </c>
      <c r="K850" s="8">
        <v>45531</v>
      </c>
      <c r="L850" s="8">
        <v>45591</v>
      </c>
      <c r="M850" t="s">
        <v>3037</v>
      </c>
      <c r="N850">
        <v>41</v>
      </c>
      <c r="O850">
        <v>27</v>
      </c>
      <c r="P850" t="s">
        <v>45</v>
      </c>
    </row>
    <row r="851" spans="1:16" x14ac:dyDescent="0.35">
      <c r="A851" t="s">
        <v>3038</v>
      </c>
      <c r="B851" t="s">
        <v>446</v>
      </c>
      <c r="C851" t="s">
        <v>90</v>
      </c>
      <c r="D851" t="s">
        <v>3039</v>
      </c>
      <c r="E851" t="s">
        <v>1451</v>
      </c>
      <c r="F851">
        <v>23</v>
      </c>
      <c r="G851">
        <v>76</v>
      </c>
      <c r="H851">
        <v>70</v>
      </c>
      <c r="I851" t="s">
        <v>3489</v>
      </c>
      <c r="J851" s="8">
        <v>45664</v>
      </c>
      <c r="K851" s="8">
        <v>45554</v>
      </c>
      <c r="L851" s="8">
        <v>45536</v>
      </c>
      <c r="M851" t="s">
        <v>3040</v>
      </c>
      <c r="N851">
        <v>97</v>
      </c>
      <c r="O851">
        <v>38</v>
      </c>
      <c r="P851" t="s">
        <v>39</v>
      </c>
    </row>
    <row r="852" spans="1:16" x14ac:dyDescent="0.35">
      <c r="A852" t="s">
        <v>3041</v>
      </c>
      <c r="B852" t="s">
        <v>1167</v>
      </c>
      <c r="C852" t="s">
        <v>133</v>
      </c>
      <c r="D852" t="s">
        <v>3042</v>
      </c>
      <c r="E852" t="s">
        <v>1336</v>
      </c>
      <c r="F852">
        <v>35</v>
      </c>
      <c r="G852">
        <v>72</v>
      </c>
      <c r="H852">
        <v>70</v>
      </c>
      <c r="I852" t="s">
        <v>3475</v>
      </c>
      <c r="J852" s="8">
        <v>45399</v>
      </c>
      <c r="K852" s="8">
        <v>45386</v>
      </c>
      <c r="L852" s="8">
        <v>45698</v>
      </c>
      <c r="M852" t="s">
        <v>3043</v>
      </c>
      <c r="N852">
        <v>74</v>
      </c>
      <c r="O852">
        <v>15</v>
      </c>
      <c r="P852" t="s">
        <v>39</v>
      </c>
    </row>
    <row r="853" spans="1:16" x14ac:dyDescent="0.35">
      <c r="A853" t="s">
        <v>3044</v>
      </c>
      <c r="B853" t="s">
        <v>177</v>
      </c>
      <c r="C853" t="s">
        <v>48</v>
      </c>
      <c r="D853" t="s">
        <v>3045</v>
      </c>
      <c r="E853" t="s">
        <v>1701</v>
      </c>
      <c r="F853">
        <v>12</v>
      </c>
      <c r="G853">
        <v>93</v>
      </c>
      <c r="H853">
        <v>29</v>
      </c>
      <c r="I853" t="s">
        <v>3479</v>
      </c>
      <c r="J853" s="8">
        <v>45708</v>
      </c>
      <c r="K853" s="8">
        <v>45632</v>
      </c>
      <c r="L853" s="8">
        <v>45519</v>
      </c>
      <c r="M853" t="s">
        <v>3046</v>
      </c>
      <c r="N853">
        <v>45</v>
      </c>
      <c r="O853">
        <v>12</v>
      </c>
      <c r="P853" t="s">
        <v>39</v>
      </c>
    </row>
    <row r="854" spans="1:16" x14ac:dyDescent="0.35">
      <c r="A854" t="s">
        <v>3047</v>
      </c>
      <c r="B854" t="s">
        <v>720</v>
      </c>
      <c r="C854" t="s">
        <v>65</v>
      </c>
      <c r="D854" t="s">
        <v>3048</v>
      </c>
      <c r="E854" t="s">
        <v>1079</v>
      </c>
      <c r="F854">
        <v>86</v>
      </c>
      <c r="G854">
        <v>23</v>
      </c>
      <c r="H854">
        <v>1</v>
      </c>
      <c r="I854" t="s">
        <v>3492</v>
      </c>
      <c r="J854" s="8">
        <v>45463</v>
      </c>
      <c r="K854" s="8">
        <v>45431</v>
      </c>
      <c r="L854" s="8">
        <v>45374</v>
      </c>
      <c r="M854" t="s">
        <v>3049</v>
      </c>
      <c r="N854">
        <v>100</v>
      </c>
      <c r="O854">
        <v>86</v>
      </c>
      <c r="P854" t="s">
        <v>39</v>
      </c>
    </row>
    <row r="855" spans="1:16" x14ac:dyDescent="0.35">
      <c r="A855" t="s">
        <v>3050</v>
      </c>
      <c r="B855" t="s">
        <v>1043</v>
      </c>
      <c r="C855" t="s">
        <v>133</v>
      </c>
      <c r="D855" t="s">
        <v>3051</v>
      </c>
      <c r="E855" t="s">
        <v>490</v>
      </c>
      <c r="F855">
        <v>91</v>
      </c>
      <c r="G855">
        <v>96</v>
      </c>
      <c r="H855">
        <v>90</v>
      </c>
      <c r="I855" t="s">
        <v>3527</v>
      </c>
      <c r="J855" s="8">
        <v>45702</v>
      </c>
      <c r="K855" s="8">
        <v>45515</v>
      </c>
      <c r="L855" s="8">
        <v>45650</v>
      </c>
      <c r="M855" t="s">
        <v>3052</v>
      </c>
      <c r="N855">
        <v>90</v>
      </c>
      <c r="O855">
        <v>75</v>
      </c>
      <c r="P855" t="s">
        <v>39</v>
      </c>
    </row>
    <row r="856" spans="1:16" x14ac:dyDescent="0.35">
      <c r="A856" t="s">
        <v>3053</v>
      </c>
      <c r="B856" t="s">
        <v>1193</v>
      </c>
      <c r="C856" t="s">
        <v>65</v>
      </c>
      <c r="D856" t="s">
        <v>3054</v>
      </c>
      <c r="E856" t="s">
        <v>1986</v>
      </c>
      <c r="F856">
        <v>23</v>
      </c>
      <c r="G856">
        <v>99</v>
      </c>
      <c r="H856">
        <v>97</v>
      </c>
      <c r="I856" t="s">
        <v>3484</v>
      </c>
      <c r="J856" s="8">
        <v>45452</v>
      </c>
      <c r="K856" s="8">
        <v>45388</v>
      </c>
      <c r="L856" s="8">
        <v>45392</v>
      </c>
      <c r="M856" t="s">
        <v>3055</v>
      </c>
      <c r="N856">
        <v>68</v>
      </c>
      <c r="O856">
        <v>76</v>
      </c>
      <c r="P856" t="s">
        <v>27</v>
      </c>
    </row>
    <row r="857" spans="1:16" x14ac:dyDescent="0.35">
      <c r="A857" t="s">
        <v>3056</v>
      </c>
      <c r="B857" t="s">
        <v>202</v>
      </c>
      <c r="C857" t="s">
        <v>48</v>
      </c>
      <c r="D857" t="s">
        <v>3057</v>
      </c>
      <c r="E857" t="s">
        <v>379</v>
      </c>
      <c r="F857">
        <v>98</v>
      </c>
      <c r="G857">
        <v>40</v>
      </c>
      <c r="H857">
        <v>100</v>
      </c>
      <c r="I857" t="s">
        <v>3484</v>
      </c>
      <c r="J857" s="8">
        <v>45691</v>
      </c>
      <c r="K857" s="8">
        <v>45595</v>
      </c>
      <c r="L857" s="8">
        <v>45645</v>
      </c>
      <c r="M857" t="s">
        <v>3058</v>
      </c>
      <c r="N857">
        <v>46</v>
      </c>
      <c r="O857">
        <v>9</v>
      </c>
      <c r="P857" t="s">
        <v>45</v>
      </c>
    </row>
    <row r="858" spans="1:16" x14ac:dyDescent="0.35">
      <c r="A858" t="s">
        <v>3059</v>
      </c>
      <c r="B858" t="s">
        <v>2258</v>
      </c>
      <c r="C858" t="s">
        <v>48</v>
      </c>
      <c r="D858" t="s">
        <v>3060</v>
      </c>
      <c r="E858" t="s">
        <v>96</v>
      </c>
      <c r="F858">
        <v>29</v>
      </c>
      <c r="G858">
        <v>66</v>
      </c>
      <c r="H858">
        <v>21</v>
      </c>
      <c r="I858" t="s">
        <v>3486</v>
      </c>
      <c r="J858" s="8">
        <v>45594</v>
      </c>
      <c r="K858" s="8">
        <v>45484</v>
      </c>
      <c r="L858" s="8">
        <v>45603</v>
      </c>
      <c r="M858" t="s">
        <v>3061</v>
      </c>
      <c r="N858">
        <v>74</v>
      </c>
      <c r="O858">
        <v>93</v>
      </c>
      <c r="P858" t="s">
        <v>27</v>
      </c>
    </row>
    <row r="859" spans="1:16" x14ac:dyDescent="0.35">
      <c r="A859" t="s">
        <v>3062</v>
      </c>
      <c r="B859" t="s">
        <v>529</v>
      </c>
      <c r="C859" t="s">
        <v>48</v>
      </c>
      <c r="D859" t="s">
        <v>3063</v>
      </c>
      <c r="E859" t="s">
        <v>3064</v>
      </c>
      <c r="F859">
        <v>32</v>
      </c>
      <c r="G859">
        <v>27</v>
      </c>
      <c r="H859">
        <v>26</v>
      </c>
      <c r="I859" t="s">
        <v>3489</v>
      </c>
      <c r="J859" s="8">
        <v>45442</v>
      </c>
      <c r="K859" s="8">
        <v>45616</v>
      </c>
      <c r="L859" s="8">
        <v>45671</v>
      </c>
      <c r="M859" t="s">
        <v>3065</v>
      </c>
      <c r="N859">
        <v>38</v>
      </c>
      <c r="O859">
        <v>79</v>
      </c>
      <c r="P859" t="s">
        <v>39</v>
      </c>
    </row>
    <row r="860" spans="1:16" x14ac:dyDescent="0.35">
      <c r="A860" t="s">
        <v>3066</v>
      </c>
      <c r="B860" t="s">
        <v>172</v>
      </c>
      <c r="C860" t="s">
        <v>48</v>
      </c>
      <c r="D860" t="s">
        <v>3067</v>
      </c>
      <c r="E860" t="s">
        <v>996</v>
      </c>
      <c r="F860">
        <v>84</v>
      </c>
      <c r="G860">
        <v>74</v>
      </c>
      <c r="H860">
        <v>48</v>
      </c>
      <c r="I860" t="s">
        <v>3474</v>
      </c>
      <c r="J860" s="8">
        <v>45650</v>
      </c>
      <c r="K860" s="8">
        <v>45582</v>
      </c>
      <c r="L860" s="8">
        <v>45436</v>
      </c>
      <c r="M860" t="s">
        <v>3068</v>
      </c>
      <c r="N860">
        <v>64</v>
      </c>
      <c r="O860">
        <v>32</v>
      </c>
      <c r="P860" t="s">
        <v>39</v>
      </c>
    </row>
    <row r="861" spans="1:16" x14ac:dyDescent="0.35">
      <c r="A861" t="s">
        <v>3069</v>
      </c>
      <c r="B861" t="s">
        <v>1219</v>
      </c>
      <c r="C861" t="s">
        <v>65</v>
      </c>
      <c r="D861" t="s">
        <v>3070</v>
      </c>
      <c r="E861" t="s">
        <v>619</v>
      </c>
      <c r="F861">
        <v>86</v>
      </c>
      <c r="G861">
        <v>20</v>
      </c>
      <c r="H861">
        <v>67</v>
      </c>
      <c r="I861" t="s">
        <v>3479</v>
      </c>
      <c r="J861" s="8">
        <v>45700</v>
      </c>
      <c r="K861" s="8">
        <v>45480</v>
      </c>
      <c r="L861" s="8">
        <v>45507</v>
      </c>
      <c r="M861" t="s">
        <v>3071</v>
      </c>
      <c r="N861">
        <v>83</v>
      </c>
      <c r="O861">
        <v>82</v>
      </c>
      <c r="P861" t="s">
        <v>27</v>
      </c>
    </row>
    <row r="862" spans="1:16" x14ac:dyDescent="0.35">
      <c r="A862" t="s">
        <v>3072</v>
      </c>
      <c r="B862" t="s">
        <v>35</v>
      </c>
      <c r="C862" t="s">
        <v>23</v>
      </c>
      <c r="D862" t="s">
        <v>3073</v>
      </c>
      <c r="E862" t="s">
        <v>2867</v>
      </c>
      <c r="F862">
        <v>11</v>
      </c>
      <c r="G862">
        <v>58</v>
      </c>
      <c r="H862">
        <v>26</v>
      </c>
      <c r="I862" t="s">
        <v>3543</v>
      </c>
      <c r="J862" s="8">
        <v>45449</v>
      </c>
      <c r="K862" s="8">
        <v>45629</v>
      </c>
      <c r="L862" s="8">
        <v>45481</v>
      </c>
      <c r="M862" t="s">
        <v>3074</v>
      </c>
      <c r="N862">
        <v>49</v>
      </c>
      <c r="O862">
        <v>34</v>
      </c>
      <c r="P862" t="s">
        <v>45</v>
      </c>
    </row>
    <row r="863" spans="1:16" x14ac:dyDescent="0.35">
      <c r="A863" t="s">
        <v>3075</v>
      </c>
      <c r="B863" t="s">
        <v>772</v>
      </c>
      <c r="C863" t="s">
        <v>23</v>
      </c>
      <c r="D863" t="s">
        <v>3076</v>
      </c>
      <c r="E863" t="s">
        <v>908</v>
      </c>
      <c r="F863">
        <v>60</v>
      </c>
      <c r="G863">
        <v>69</v>
      </c>
      <c r="H863">
        <v>64</v>
      </c>
      <c r="I863" t="s">
        <v>3519</v>
      </c>
      <c r="J863" s="8">
        <v>45711</v>
      </c>
      <c r="K863" s="8">
        <v>45360</v>
      </c>
      <c r="L863" s="8">
        <v>45659</v>
      </c>
      <c r="M863" t="s">
        <v>3077</v>
      </c>
      <c r="N863">
        <v>51</v>
      </c>
      <c r="O863">
        <v>6</v>
      </c>
      <c r="P863" t="s">
        <v>45</v>
      </c>
    </row>
    <row r="864" spans="1:16" x14ac:dyDescent="0.35">
      <c r="A864" t="s">
        <v>3078</v>
      </c>
      <c r="B864" t="s">
        <v>1552</v>
      </c>
      <c r="C864" t="s">
        <v>90</v>
      </c>
      <c r="D864" t="s">
        <v>3079</v>
      </c>
      <c r="E864" t="s">
        <v>1284</v>
      </c>
      <c r="F864">
        <v>58</v>
      </c>
      <c r="G864">
        <v>48</v>
      </c>
      <c r="H864">
        <v>9</v>
      </c>
      <c r="I864" t="s">
        <v>3490</v>
      </c>
      <c r="J864" s="8">
        <v>45633</v>
      </c>
      <c r="K864" s="8">
        <v>45507</v>
      </c>
      <c r="L864" s="8">
        <v>45370</v>
      </c>
      <c r="M864" t="s">
        <v>3080</v>
      </c>
      <c r="N864">
        <v>98</v>
      </c>
      <c r="O864">
        <v>69</v>
      </c>
      <c r="P864" t="s">
        <v>45</v>
      </c>
    </row>
    <row r="865" spans="1:16" x14ac:dyDescent="0.35">
      <c r="A865" t="s">
        <v>3081</v>
      </c>
      <c r="B865" t="s">
        <v>329</v>
      </c>
      <c r="C865" t="s">
        <v>65</v>
      </c>
      <c r="D865" t="s">
        <v>3082</v>
      </c>
      <c r="E865" t="s">
        <v>580</v>
      </c>
      <c r="F865">
        <v>64</v>
      </c>
      <c r="G865">
        <v>95</v>
      </c>
      <c r="H865">
        <v>62</v>
      </c>
      <c r="I865" t="s">
        <v>3476</v>
      </c>
      <c r="J865" s="8">
        <v>45436</v>
      </c>
      <c r="K865" s="8">
        <v>45526</v>
      </c>
      <c r="L865" s="8">
        <v>45429</v>
      </c>
      <c r="M865" t="s">
        <v>3083</v>
      </c>
      <c r="N865">
        <v>55</v>
      </c>
      <c r="O865">
        <v>1</v>
      </c>
      <c r="P865" t="s">
        <v>27</v>
      </c>
    </row>
    <row r="866" spans="1:16" x14ac:dyDescent="0.35">
      <c r="A866" t="s">
        <v>3084</v>
      </c>
      <c r="B866" t="s">
        <v>600</v>
      </c>
      <c r="C866" t="s">
        <v>59</v>
      </c>
      <c r="D866" t="s">
        <v>3085</v>
      </c>
      <c r="E866" t="s">
        <v>952</v>
      </c>
      <c r="F866">
        <v>19</v>
      </c>
      <c r="G866">
        <v>80</v>
      </c>
      <c r="H866">
        <v>87</v>
      </c>
      <c r="I866" t="s">
        <v>3494</v>
      </c>
      <c r="J866" s="8">
        <v>45576</v>
      </c>
      <c r="K866" s="8">
        <v>45588</v>
      </c>
      <c r="L866" s="8">
        <v>45656</v>
      </c>
      <c r="M866" t="s">
        <v>3086</v>
      </c>
      <c r="N866">
        <v>33</v>
      </c>
      <c r="O866">
        <v>38</v>
      </c>
      <c r="P866" t="s">
        <v>39</v>
      </c>
    </row>
    <row r="867" spans="1:16" x14ac:dyDescent="0.35">
      <c r="A867" t="s">
        <v>3087</v>
      </c>
      <c r="B867" t="s">
        <v>2258</v>
      </c>
      <c r="C867" t="s">
        <v>48</v>
      </c>
      <c r="D867" t="s">
        <v>3088</v>
      </c>
      <c r="E867" t="s">
        <v>140</v>
      </c>
      <c r="F867">
        <v>43</v>
      </c>
      <c r="G867">
        <v>41</v>
      </c>
      <c r="H867">
        <v>100</v>
      </c>
      <c r="I867" t="s">
        <v>3486</v>
      </c>
      <c r="J867" s="8">
        <v>45459</v>
      </c>
      <c r="K867" s="8">
        <v>45390</v>
      </c>
      <c r="L867" s="8">
        <v>45444</v>
      </c>
      <c r="M867" t="s">
        <v>3089</v>
      </c>
      <c r="N867">
        <v>27</v>
      </c>
      <c r="O867">
        <v>78</v>
      </c>
      <c r="P867" t="s">
        <v>45</v>
      </c>
    </row>
    <row r="868" spans="1:16" x14ac:dyDescent="0.35">
      <c r="A868" t="s">
        <v>3090</v>
      </c>
      <c r="B868" t="s">
        <v>436</v>
      </c>
      <c r="C868" t="s">
        <v>59</v>
      </c>
      <c r="D868" t="s">
        <v>3091</v>
      </c>
      <c r="E868" t="s">
        <v>395</v>
      </c>
      <c r="F868">
        <v>38</v>
      </c>
      <c r="G868">
        <v>62</v>
      </c>
      <c r="H868">
        <v>47</v>
      </c>
      <c r="I868" t="s">
        <v>3478</v>
      </c>
      <c r="J868" s="8">
        <v>45628</v>
      </c>
      <c r="K868" s="8">
        <v>45638</v>
      </c>
      <c r="L868" s="8">
        <v>45609</v>
      </c>
      <c r="M868" t="s">
        <v>3092</v>
      </c>
      <c r="N868">
        <v>41</v>
      </c>
      <c r="O868">
        <v>34</v>
      </c>
      <c r="P868" t="s">
        <v>27</v>
      </c>
    </row>
    <row r="869" spans="1:16" x14ac:dyDescent="0.35">
      <c r="A869" t="s">
        <v>3093</v>
      </c>
      <c r="B869" t="s">
        <v>630</v>
      </c>
      <c r="C869" t="s">
        <v>65</v>
      </c>
      <c r="D869" t="s">
        <v>3094</v>
      </c>
      <c r="E869" t="s">
        <v>1517</v>
      </c>
      <c r="F869">
        <v>70</v>
      </c>
      <c r="G869">
        <v>66</v>
      </c>
      <c r="H869">
        <v>74</v>
      </c>
      <c r="I869" t="s">
        <v>3480</v>
      </c>
      <c r="J869" s="8">
        <v>45607</v>
      </c>
      <c r="K869" s="8">
        <v>45484</v>
      </c>
      <c r="L869" s="8">
        <v>45379</v>
      </c>
      <c r="M869" t="s">
        <v>3095</v>
      </c>
      <c r="N869">
        <v>47</v>
      </c>
      <c r="O869">
        <v>77</v>
      </c>
      <c r="P869" t="s">
        <v>45</v>
      </c>
    </row>
    <row r="870" spans="1:16" x14ac:dyDescent="0.35">
      <c r="A870" t="s">
        <v>3096</v>
      </c>
      <c r="B870" t="s">
        <v>752</v>
      </c>
      <c r="C870" t="s">
        <v>48</v>
      </c>
      <c r="D870" t="s">
        <v>3097</v>
      </c>
      <c r="E870" t="s">
        <v>803</v>
      </c>
      <c r="F870">
        <v>18</v>
      </c>
      <c r="G870">
        <v>3</v>
      </c>
      <c r="H870">
        <v>39</v>
      </c>
      <c r="I870" t="s">
        <v>3489</v>
      </c>
      <c r="J870" s="8">
        <v>45583</v>
      </c>
      <c r="K870" s="8">
        <v>45704</v>
      </c>
      <c r="L870" s="8">
        <v>45620</v>
      </c>
      <c r="M870" t="s">
        <v>3098</v>
      </c>
      <c r="N870">
        <v>58</v>
      </c>
      <c r="O870">
        <v>61</v>
      </c>
      <c r="P870" t="s">
        <v>39</v>
      </c>
    </row>
    <row r="871" spans="1:16" x14ac:dyDescent="0.35">
      <c r="A871" t="s">
        <v>3099</v>
      </c>
      <c r="B871" t="s">
        <v>1146</v>
      </c>
      <c r="C871" t="s">
        <v>23</v>
      </c>
      <c r="D871" t="s">
        <v>3100</v>
      </c>
      <c r="E871" t="s">
        <v>81</v>
      </c>
      <c r="F871">
        <v>46</v>
      </c>
      <c r="G871">
        <v>81</v>
      </c>
      <c r="H871">
        <v>47</v>
      </c>
      <c r="I871" t="s">
        <v>3480</v>
      </c>
      <c r="J871" s="8">
        <v>45540</v>
      </c>
      <c r="K871" s="8">
        <v>45546</v>
      </c>
      <c r="L871" s="8">
        <v>45673</v>
      </c>
      <c r="M871" t="s">
        <v>3101</v>
      </c>
      <c r="N871">
        <v>48</v>
      </c>
      <c r="O871">
        <v>48</v>
      </c>
      <c r="P871" t="s">
        <v>45</v>
      </c>
    </row>
    <row r="872" spans="1:16" x14ac:dyDescent="0.35">
      <c r="A872" t="s">
        <v>3102</v>
      </c>
      <c r="B872" t="s">
        <v>29</v>
      </c>
      <c r="C872" t="s">
        <v>30</v>
      </c>
      <c r="D872" t="s">
        <v>3103</v>
      </c>
      <c r="E872" t="s">
        <v>3104</v>
      </c>
      <c r="F872">
        <v>78</v>
      </c>
      <c r="G872">
        <v>34</v>
      </c>
      <c r="H872">
        <v>39</v>
      </c>
      <c r="I872" t="s">
        <v>3583</v>
      </c>
      <c r="J872" s="8">
        <v>45609</v>
      </c>
      <c r="K872" s="8">
        <v>45530</v>
      </c>
      <c r="L872" s="8">
        <v>45527</v>
      </c>
      <c r="M872" t="s">
        <v>3105</v>
      </c>
      <c r="N872">
        <v>62</v>
      </c>
      <c r="O872">
        <v>2</v>
      </c>
      <c r="P872" t="s">
        <v>45</v>
      </c>
    </row>
    <row r="873" spans="1:16" x14ac:dyDescent="0.35">
      <c r="A873" t="s">
        <v>3106</v>
      </c>
      <c r="B873" t="s">
        <v>600</v>
      </c>
      <c r="C873" t="s">
        <v>59</v>
      </c>
      <c r="D873" t="s">
        <v>3107</v>
      </c>
      <c r="E873" t="s">
        <v>395</v>
      </c>
      <c r="F873">
        <v>53</v>
      </c>
      <c r="G873">
        <v>20</v>
      </c>
      <c r="H873">
        <v>75</v>
      </c>
      <c r="I873" t="s">
        <v>3494</v>
      </c>
      <c r="J873" s="8">
        <v>45455</v>
      </c>
      <c r="K873" s="8">
        <v>45566</v>
      </c>
      <c r="L873" s="8">
        <v>45661</v>
      </c>
      <c r="M873" t="s">
        <v>3108</v>
      </c>
      <c r="N873">
        <v>83</v>
      </c>
      <c r="O873">
        <v>77</v>
      </c>
      <c r="P873" t="s">
        <v>39</v>
      </c>
    </row>
    <row r="874" spans="1:16" x14ac:dyDescent="0.35">
      <c r="A874" t="s">
        <v>3109</v>
      </c>
      <c r="B874" t="s">
        <v>197</v>
      </c>
      <c r="C874" t="s">
        <v>133</v>
      </c>
      <c r="D874" t="s">
        <v>3110</v>
      </c>
      <c r="E874" t="s">
        <v>656</v>
      </c>
      <c r="F874">
        <v>67</v>
      </c>
      <c r="G874">
        <v>71</v>
      </c>
      <c r="H874">
        <v>4</v>
      </c>
      <c r="I874" t="s">
        <v>3492</v>
      </c>
      <c r="J874" s="8">
        <v>45645</v>
      </c>
      <c r="K874" s="8">
        <v>45396</v>
      </c>
      <c r="L874" s="8">
        <v>45481</v>
      </c>
      <c r="M874" t="s">
        <v>3111</v>
      </c>
      <c r="N874">
        <v>76</v>
      </c>
      <c r="O874">
        <v>34</v>
      </c>
      <c r="P874" t="s">
        <v>39</v>
      </c>
    </row>
    <row r="875" spans="1:16" x14ac:dyDescent="0.35">
      <c r="A875" t="s">
        <v>3112</v>
      </c>
      <c r="B875" t="s">
        <v>2289</v>
      </c>
      <c r="C875" t="s">
        <v>65</v>
      </c>
      <c r="D875" t="s">
        <v>3113</v>
      </c>
      <c r="E875" t="s">
        <v>2475</v>
      </c>
      <c r="F875">
        <v>36</v>
      </c>
      <c r="G875">
        <v>30</v>
      </c>
      <c r="H875">
        <v>44</v>
      </c>
      <c r="I875" t="s">
        <v>3562</v>
      </c>
      <c r="J875" s="8">
        <v>45393</v>
      </c>
      <c r="K875" s="8">
        <v>45354</v>
      </c>
      <c r="L875" s="8">
        <v>45438</v>
      </c>
      <c r="M875" t="s">
        <v>3114</v>
      </c>
      <c r="N875">
        <v>68</v>
      </c>
      <c r="O875">
        <v>88</v>
      </c>
      <c r="P875" t="s">
        <v>39</v>
      </c>
    </row>
    <row r="876" spans="1:16" x14ac:dyDescent="0.35">
      <c r="A876" t="s">
        <v>3115</v>
      </c>
      <c r="B876" t="s">
        <v>772</v>
      </c>
      <c r="C876" t="s">
        <v>23</v>
      </c>
      <c r="D876" t="s">
        <v>3116</v>
      </c>
      <c r="E876" t="s">
        <v>3064</v>
      </c>
      <c r="F876">
        <v>39</v>
      </c>
      <c r="G876">
        <v>53</v>
      </c>
      <c r="H876">
        <v>64</v>
      </c>
      <c r="I876" t="s">
        <v>3519</v>
      </c>
      <c r="J876" s="8">
        <v>45465</v>
      </c>
      <c r="K876" s="8">
        <v>45475</v>
      </c>
      <c r="L876" s="8">
        <v>45653</v>
      </c>
      <c r="M876" t="s">
        <v>3117</v>
      </c>
      <c r="N876">
        <v>92</v>
      </c>
      <c r="O876">
        <v>8</v>
      </c>
      <c r="P876" t="s">
        <v>45</v>
      </c>
    </row>
    <row r="877" spans="1:16" x14ac:dyDescent="0.35">
      <c r="A877" t="s">
        <v>3118</v>
      </c>
      <c r="B877" t="s">
        <v>1532</v>
      </c>
      <c r="C877" t="s">
        <v>48</v>
      </c>
      <c r="D877" t="s">
        <v>3119</v>
      </c>
      <c r="E877" t="s">
        <v>2475</v>
      </c>
      <c r="F877">
        <v>95</v>
      </c>
      <c r="G877">
        <v>87</v>
      </c>
      <c r="H877">
        <v>13</v>
      </c>
      <c r="I877" t="s">
        <v>3484</v>
      </c>
      <c r="J877" s="8">
        <v>45577</v>
      </c>
      <c r="K877" s="8">
        <v>45353</v>
      </c>
      <c r="L877" s="8">
        <v>45508</v>
      </c>
      <c r="M877" t="s">
        <v>3120</v>
      </c>
      <c r="N877">
        <v>61</v>
      </c>
      <c r="O877">
        <v>4</v>
      </c>
      <c r="P877" t="s">
        <v>39</v>
      </c>
    </row>
    <row r="878" spans="1:16" x14ac:dyDescent="0.35">
      <c r="A878" t="s">
        <v>3121</v>
      </c>
      <c r="B878" t="s">
        <v>502</v>
      </c>
      <c r="C878" t="s">
        <v>23</v>
      </c>
      <c r="D878" t="s">
        <v>3122</v>
      </c>
      <c r="E878" t="s">
        <v>453</v>
      </c>
      <c r="F878">
        <v>12</v>
      </c>
      <c r="G878">
        <v>56</v>
      </c>
      <c r="H878">
        <v>92</v>
      </c>
      <c r="I878" t="s">
        <v>3506</v>
      </c>
      <c r="J878" s="8">
        <v>45420</v>
      </c>
      <c r="K878" s="8">
        <v>45641</v>
      </c>
      <c r="L878" s="8">
        <v>45425</v>
      </c>
      <c r="M878" t="s">
        <v>3123</v>
      </c>
      <c r="N878">
        <v>56</v>
      </c>
      <c r="O878">
        <v>6</v>
      </c>
      <c r="P878" t="s">
        <v>45</v>
      </c>
    </row>
    <row r="879" spans="1:16" x14ac:dyDescent="0.35">
      <c r="A879" t="s">
        <v>3124</v>
      </c>
      <c r="B879" t="s">
        <v>1469</v>
      </c>
      <c r="C879" t="s">
        <v>23</v>
      </c>
      <c r="D879" t="s">
        <v>3125</v>
      </c>
      <c r="E879" t="s">
        <v>1012</v>
      </c>
      <c r="F879">
        <v>98</v>
      </c>
      <c r="G879">
        <v>30</v>
      </c>
      <c r="H879">
        <v>39</v>
      </c>
      <c r="I879" t="s">
        <v>3503</v>
      </c>
      <c r="J879" s="8">
        <v>45621</v>
      </c>
      <c r="K879" s="8">
        <v>45396</v>
      </c>
      <c r="L879" s="8">
        <v>45514</v>
      </c>
      <c r="M879" t="s">
        <v>3126</v>
      </c>
      <c r="N879">
        <v>31</v>
      </c>
      <c r="O879">
        <v>26</v>
      </c>
      <c r="P879" t="s">
        <v>45</v>
      </c>
    </row>
    <row r="880" spans="1:16" x14ac:dyDescent="0.35">
      <c r="A880" t="s">
        <v>3127</v>
      </c>
      <c r="B880" t="s">
        <v>468</v>
      </c>
      <c r="C880" t="s">
        <v>23</v>
      </c>
      <c r="D880" t="s">
        <v>3128</v>
      </c>
      <c r="E880" t="s">
        <v>1295</v>
      </c>
      <c r="F880">
        <v>50</v>
      </c>
      <c r="G880">
        <v>14</v>
      </c>
      <c r="H880">
        <v>99</v>
      </c>
      <c r="I880" t="s">
        <v>3504</v>
      </c>
      <c r="J880" s="8">
        <v>45666</v>
      </c>
      <c r="K880" s="8">
        <v>45379</v>
      </c>
      <c r="L880" s="8">
        <v>45397</v>
      </c>
      <c r="M880" t="s">
        <v>3129</v>
      </c>
      <c r="N880">
        <v>52</v>
      </c>
      <c r="O880">
        <v>75</v>
      </c>
      <c r="P880" t="s">
        <v>45</v>
      </c>
    </row>
    <row r="881" spans="1:16" x14ac:dyDescent="0.35">
      <c r="A881" t="s">
        <v>3130</v>
      </c>
      <c r="B881" t="s">
        <v>215</v>
      </c>
      <c r="C881" t="s">
        <v>48</v>
      </c>
      <c r="D881" t="s">
        <v>3131</v>
      </c>
      <c r="E881" t="s">
        <v>448</v>
      </c>
      <c r="F881">
        <v>98</v>
      </c>
      <c r="G881">
        <v>14</v>
      </c>
      <c r="H881">
        <v>11</v>
      </c>
      <c r="I881" t="s">
        <v>3480</v>
      </c>
      <c r="J881" s="8">
        <v>45399</v>
      </c>
      <c r="K881" s="8">
        <v>45627</v>
      </c>
      <c r="L881" s="8">
        <v>45371</v>
      </c>
      <c r="M881" t="s">
        <v>3132</v>
      </c>
      <c r="N881">
        <v>48</v>
      </c>
      <c r="O881">
        <v>38</v>
      </c>
      <c r="P881" t="s">
        <v>27</v>
      </c>
    </row>
    <row r="882" spans="1:16" x14ac:dyDescent="0.35">
      <c r="A882" t="s">
        <v>3133</v>
      </c>
      <c r="B882" t="s">
        <v>58</v>
      </c>
      <c r="C882" t="s">
        <v>59</v>
      </c>
      <c r="D882" t="s">
        <v>3134</v>
      </c>
      <c r="E882" t="s">
        <v>535</v>
      </c>
      <c r="F882">
        <v>28</v>
      </c>
      <c r="G882">
        <v>32</v>
      </c>
      <c r="H882">
        <v>71</v>
      </c>
      <c r="I882" t="s">
        <v>3480</v>
      </c>
      <c r="J882" s="8">
        <v>45648</v>
      </c>
      <c r="K882" s="8">
        <v>45414</v>
      </c>
      <c r="L882" s="8">
        <v>45632</v>
      </c>
      <c r="M882" t="s">
        <v>3135</v>
      </c>
      <c r="N882">
        <v>32</v>
      </c>
      <c r="O882">
        <v>49</v>
      </c>
      <c r="P882" t="s">
        <v>27</v>
      </c>
    </row>
    <row r="883" spans="1:16" x14ac:dyDescent="0.35">
      <c r="A883" t="s">
        <v>3136</v>
      </c>
      <c r="B883" t="s">
        <v>177</v>
      </c>
      <c r="C883" t="s">
        <v>48</v>
      </c>
      <c r="D883" t="s">
        <v>3137</v>
      </c>
      <c r="E883" t="s">
        <v>635</v>
      </c>
      <c r="F883">
        <v>67</v>
      </c>
      <c r="G883">
        <v>14</v>
      </c>
      <c r="H883">
        <v>25</v>
      </c>
      <c r="I883" t="s">
        <v>3500</v>
      </c>
      <c r="J883" s="8">
        <v>45414</v>
      </c>
      <c r="K883" s="8">
        <v>45524</v>
      </c>
      <c r="L883" s="8">
        <v>45581</v>
      </c>
      <c r="M883" t="s">
        <v>3138</v>
      </c>
      <c r="N883">
        <v>81</v>
      </c>
      <c r="O883">
        <v>77</v>
      </c>
      <c r="P883" t="s">
        <v>45</v>
      </c>
    </row>
    <row r="884" spans="1:16" x14ac:dyDescent="0.35">
      <c r="A884" t="s">
        <v>3139</v>
      </c>
      <c r="B884" t="s">
        <v>202</v>
      </c>
      <c r="C884" t="s">
        <v>48</v>
      </c>
      <c r="D884" t="s">
        <v>3140</v>
      </c>
      <c r="E884" t="s">
        <v>1606</v>
      </c>
      <c r="F884">
        <v>20</v>
      </c>
      <c r="G884">
        <v>93</v>
      </c>
      <c r="H884">
        <v>37</v>
      </c>
      <c r="I884" t="s">
        <v>3484</v>
      </c>
      <c r="J884" s="8">
        <v>45585</v>
      </c>
      <c r="K884" s="8">
        <v>45358</v>
      </c>
      <c r="L884" s="8">
        <v>45651</v>
      </c>
      <c r="M884" t="s">
        <v>3141</v>
      </c>
      <c r="N884">
        <v>23</v>
      </c>
      <c r="O884">
        <v>2</v>
      </c>
      <c r="P884" t="s">
        <v>27</v>
      </c>
    </row>
    <row r="885" spans="1:16" x14ac:dyDescent="0.35">
      <c r="A885" t="s">
        <v>3142</v>
      </c>
      <c r="B885" t="s">
        <v>132</v>
      </c>
      <c r="C885" t="s">
        <v>133</v>
      </c>
      <c r="D885" t="s">
        <v>3143</v>
      </c>
      <c r="E885" t="s">
        <v>461</v>
      </c>
      <c r="F885">
        <v>67</v>
      </c>
      <c r="G885">
        <v>83</v>
      </c>
      <c r="H885">
        <v>90</v>
      </c>
      <c r="I885" t="s">
        <v>3584</v>
      </c>
      <c r="J885" s="8">
        <v>45592</v>
      </c>
      <c r="K885" s="8">
        <v>45565</v>
      </c>
      <c r="L885" s="8">
        <v>45533</v>
      </c>
      <c r="M885" t="s">
        <v>3144</v>
      </c>
      <c r="N885">
        <v>66</v>
      </c>
      <c r="O885">
        <v>77</v>
      </c>
      <c r="P885" t="s">
        <v>45</v>
      </c>
    </row>
    <row r="886" spans="1:16" x14ac:dyDescent="0.35">
      <c r="A886" t="s">
        <v>3145</v>
      </c>
      <c r="B886" t="s">
        <v>158</v>
      </c>
      <c r="C886" t="s">
        <v>65</v>
      </c>
      <c r="D886" t="s">
        <v>3146</v>
      </c>
      <c r="E886" t="s">
        <v>1029</v>
      </c>
      <c r="F886">
        <v>94</v>
      </c>
      <c r="G886">
        <v>60</v>
      </c>
      <c r="H886">
        <v>78</v>
      </c>
      <c r="I886" t="s">
        <v>3488</v>
      </c>
      <c r="J886" s="8">
        <v>45634</v>
      </c>
      <c r="K886" s="8">
        <v>45358</v>
      </c>
      <c r="L886" s="8">
        <v>45555</v>
      </c>
      <c r="M886" t="s">
        <v>3147</v>
      </c>
      <c r="N886">
        <v>100</v>
      </c>
      <c r="O886">
        <v>42</v>
      </c>
      <c r="P886" t="s">
        <v>45</v>
      </c>
    </row>
    <row r="887" spans="1:16" x14ac:dyDescent="0.35">
      <c r="A887" t="s">
        <v>3148</v>
      </c>
      <c r="B887" t="s">
        <v>317</v>
      </c>
      <c r="C887" t="s">
        <v>30</v>
      </c>
      <c r="D887" t="s">
        <v>3149</v>
      </c>
      <c r="E887" t="s">
        <v>3150</v>
      </c>
      <c r="F887">
        <v>45</v>
      </c>
      <c r="G887">
        <v>58</v>
      </c>
      <c r="H887">
        <v>84</v>
      </c>
      <c r="I887" t="s">
        <v>3489</v>
      </c>
      <c r="J887" s="8">
        <v>45663</v>
      </c>
      <c r="K887" s="8">
        <v>45372</v>
      </c>
      <c r="L887" s="8">
        <v>45381</v>
      </c>
      <c r="M887" t="s">
        <v>3151</v>
      </c>
      <c r="N887">
        <v>90</v>
      </c>
      <c r="O887">
        <v>67</v>
      </c>
      <c r="P887" t="s">
        <v>45</v>
      </c>
    </row>
    <row r="888" spans="1:16" x14ac:dyDescent="0.35">
      <c r="A888" t="s">
        <v>3152</v>
      </c>
      <c r="B888" t="s">
        <v>801</v>
      </c>
      <c r="C888" t="s">
        <v>133</v>
      </c>
      <c r="D888" t="s">
        <v>3153</v>
      </c>
      <c r="E888" t="s">
        <v>379</v>
      </c>
      <c r="F888">
        <v>86</v>
      </c>
      <c r="G888">
        <v>55</v>
      </c>
      <c r="H888">
        <v>96</v>
      </c>
      <c r="I888" t="s">
        <v>3503</v>
      </c>
      <c r="J888" s="8">
        <v>45645</v>
      </c>
      <c r="K888" s="8">
        <v>45482</v>
      </c>
      <c r="L888" s="8">
        <v>45564</v>
      </c>
      <c r="M888" t="s">
        <v>3154</v>
      </c>
      <c r="N888">
        <v>37</v>
      </c>
      <c r="O888">
        <v>53</v>
      </c>
      <c r="P888" t="s">
        <v>39</v>
      </c>
    </row>
    <row r="889" spans="1:16" x14ac:dyDescent="0.35">
      <c r="A889" t="s">
        <v>3155</v>
      </c>
      <c r="B889" t="s">
        <v>1469</v>
      </c>
      <c r="C889" t="s">
        <v>23</v>
      </c>
      <c r="D889" t="s">
        <v>3156</v>
      </c>
      <c r="E889" t="s">
        <v>241</v>
      </c>
      <c r="F889">
        <v>72</v>
      </c>
      <c r="G889">
        <v>82</v>
      </c>
      <c r="H889">
        <v>52</v>
      </c>
      <c r="I889" t="s">
        <v>3576</v>
      </c>
      <c r="J889" s="8">
        <v>45507</v>
      </c>
      <c r="K889" s="8">
        <v>45482</v>
      </c>
      <c r="L889" s="8">
        <v>45563</v>
      </c>
      <c r="M889" t="s">
        <v>3157</v>
      </c>
      <c r="N889">
        <v>51</v>
      </c>
      <c r="O889">
        <v>95</v>
      </c>
      <c r="P889" t="s">
        <v>39</v>
      </c>
    </row>
    <row r="890" spans="1:16" x14ac:dyDescent="0.35">
      <c r="A890" t="s">
        <v>3158</v>
      </c>
      <c r="B890" t="s">
        <v>138</v>
      </c>
      <c r="C890" t="s">
        <v>48</v>
      </c>
      <c r="D890" t="s">
        <v>3159</v>
      </c>
      <c r="E890" t="s">
        <v>807</v>
      </c>
      <c r="F890">
        <v>31</v>
      </c>
      <c r="G890">
        <v>61</v>
      </c>
      <c r="H890">
        <v>28</v>
      </c>
      <c r="I890" t="s">
        <v>3544</v>
      </c>
      <c r="J890" s="8">
        <v>45361</v>
      </c>
      <c r="K890" s="8">
        <v>45482</v>
      </c>
      <c r="L890" s="8">
        <v>45521</v>
      </c>
      <c r="M890" t="s">
        <v>3160</v>
      </c>
      <c r="N890">
        <v>55</v>
      </c>
      <c r="O890">
        <v>70</v>
      </c>
      <c r="P890" t="s">
        <v>45</v>
      </c>
    </row>
    <row r="891" spans="1:16" x14ac:dyDescent="0.35">
      <c r="A891" t="s">
        <v>3161</v>
      </c>
      <c r="B891" t="s">
        <v>398</v>
      </c>
      <c r="C891" t="s">
        <v>90</v>
      </c>
      <c r="D891" t="s">
        <v>3162</v>
      </c>
      <c r="E891" t="s">
        <v>3163</v>
      </c>
      <c r="F891">
        <v>12</v>
      </c>
      <c r="G891">
        <v>7</v>
      </c>
      <c r="H891">
        <v>23</v>
      </c>
      <c r="I891" t="s">
        <v>3476</v>
      </c>
      <c r="J891" s="8">
        <v>45694</v>
      </c>
      <c r="K891" s="8">
        <v>45705</v>
      </c>
      <c r="L891" s="8">
        <v>45466</v>
      </c>
      <c r="M891" t="s">
        <v>3164</v>
      </c>
      <c r="N891">
        <v>72</v>
      </c>
      <c r="O891">
        <v>16</v>
      </c>
      <c r="P891" t="s">
        <v>27</v>
      </c>
    </row>
    <row r="892" spans="1:16" x14ac:dyDescent="0.35">
      <c r="A892" t="s">
        <v>3165</v>
      </c>
      <c r="B892" t="s">
        <v>613</v>
      </c>
      <c r="C892" t="s">
        <v>65</v>
      </c>
      <c r="D892" t="s">
        <v>3166</v>
      </c>
      <c r="E892" t="s">
        <v>1720</v>
      </c>
      <c r="F892">
        <v>71</v>
      </c>
      <c r="G892">
        <v>93</v>
      </c>
      <c r="H892">
        <v>75</v>
      </c>
      <c r="I892" t="s">
        <v>3485</v>
      </c>
      <c r="J892" s="8">
        <v>45574</v>
      </c>
      <c r="K892" s="8">
        <v>45523</v>
      </c>
      <c r="L892" s="8">
        <v>45691</v>
      </c>
      <c r="M892" t="s">
        <v>3167</v>
      </c>
      <c r="N892">
        <v>77</v>
      </c>
      <c r="O892">
        <v>58</v>
      </c>
      <c r="P892" t="s">
        <v>27</v>
      </c>
    </row>
    <row r="893" spans="1:16" x14ac:dyDescent="0.35">
      <c r="A893" t="s">
        <v>3168</v>
      </c>
      <c r="B893" t="s">
        <v>801</v>
      </c>
      <c r="C893" t="s">
        <v>133</v>
      </c>
      <c r="D893" t="s">
        <v>3169</v>
      </c>
      <c r="E893" t="s">
        <v>1151</v>
      </c>
      <c r="F893">
        <v>64</v>
      </c>
      <c r="G893">
        <v>1</v>
      </c>
      <c r="H893">
        <v>92</v>
      </c>
      <c r="I893" t="s">
        <v>3503</v>
      </c>
      <c r="J893" s="8">
        <v>45387</v>
      </c>
      <c r="K893" s="8">
        <v>45405</v>
      </c>
      <c r="L893" s="8">
        <v>45681</v>
      </c>
      <c r="M893" t="s">
        <v>3170</v>
      </c>
      <c r="N893">
        <v>49</v>
      </c>
      <c r="O893">
        <v>15</v>
      </c>
      <c r="P893" t="s">
        <v>45</v>
      </c>
    </row>
    <row r="894" spans="1:16" x14ac:dyDescent="0.35">
      <c r="A894" t="s">
        <v>3171</v>
      </c>
      <c r="B894" t="s">
        <v>1539</v>
      </c>
      <c r="C894" t="s">
        <v>59</v>
      </c>
      <c r="D894" t="s">
        <v>3172</v>
      </c>
      <c r="E894" t="s">
        <v>254</v>
      </c>
      <c r="F894">
        <v>89</v>
      </c>
      <c r="G894">
        <v>79</v>
      </c>
      <c r="H894">
        <v>66</v>
      </c>
      <c r="I894" t="s">
        <v>3489</v>
      </c>
      <c r="J894" s="8">
        <v>45504</v>
      </c>
      <c r="K894" s="8">
        <v>45646</v>
      </c>
      <c r="L894" s="8">
        <v>45582</v>
      </c>
      <c r="M894" t="s">
        <v>3173</v>
      </c>
      <c r="N894">
        <v>91</v>
      </c>
      <c r="O894">
        <v>31</v>
      </c>
      <c r="P894" t="s">
        <v>27</v>
      </c>
    </row>
    <row r="895" spans="1:16" x14ac:dyDescent="0.35">
      <c r="A895" t="s">
        <v>3174</v>
      </c>
      <c r="B895" t="s">
        <v>738</v>
      </c>
      <c r="C895" t="s">
        <v>59</v>
      </c>
      <c r="D895" t="s">
        <v>3175</v>
      </c>
      <c r="E895" t="s">
        <v>2596</v>
      </c>
      <c r="F895">
        <v>50</v>
      </c>
      <c r="G895">
        <v>36</v>
      </c>
      <c r="H895">
        <v>96</v>
      </c>
      <c r="I895" t="s">
        <v>3516</v>
      </c>
      <c r="J895" s="8">
        <v>45638</v>
      </c>
      <c r="K895" s="8">
        <v>45516</v>
      </c>
      <c r="L895" s="8">
        <v>45474</v>
      </c>
      <c r="M895" t="s">
        <v>3176</v>
      </c>
      <c r="N895">
        <v>53</v>
      </c>
      <c r="O895">
        <v>73</v>
      </c>
      <c r="P895" t="s">
        <v>39</v>
      </c>
    </row>
    <row r="896" spans="1:16" x14ac:dyDescent="0.35">
      <c r="A896" t="s">
        <v>3177</v>
      </c>
      <c r="B896" t="s">
        <v>225</v>
      </c>
      <c r="C896" t="s">
        <v>48</v>
      </c>
      <c r="D896" t="s">
        <v>3178</v>
      </c>
      <c r="E896" t="s">
        <v>1606</v>
      </c>
      <c r="F896">
        <v>53</v>
      </c>
      <c r="G896">
        <v>98</v>
      </c>
      <c r="H896">
        <v>23</v>
      </c>
      <c r="I896" t="s">
        <v>3489</v>
      </c>
      <c r="J896" s="8">
        <v>45712</v>
      </c>
      <c r="K896" s="8">
        <v>45477</v>
      </c>
      <c r="L896" s="8">
        <v>45564</v>
      </c>
      <c r="M896" t="s">
        <v>3179</v>
      </c>
      <c r="N896">
        <v>41</v>
      </c>
      <c r="O896">
        <v>84</v>
      </c>
      <c r="P896" t="s">
        <v>39</v>
      </c>
    </row>
    <row r="897" spans="1:16" x14ac:dyDescent="0.35">
      <c r="A897" t="s">
        <v>3180</v>
      </c>
      <c r="B897" t="s">
        <v>197</v>
      </c>
      <c r="C897" t="s">
        <v>133</v>
      </c>
      <c r="D897" t="s">
        <v>3181</v>
      </c>
      <c r="E897" t="s">
        <v>2655</v>
      </c>
      <c r="F897">
        <v>19</v>
      </c>
      <c r="G897">
        <v>99</v>
      </c>
      <c r="H897">
        <v>78</v>
      </c>
      <c r="I897" t="s">
        <v>3492</v>
      </c>
      <c r="J897" s="8">
        <v>45617</v>
      </c>
      <c r="K897" s="8">
        <v>45705</v>
      </c>
      <c r="L897" s="8">
        <v>45656</v>
      </c>
      <c r="M897" t="s">
        <v>3182</v>
      </c>
      <c r="N897">
        <v>29</v>
      </c>
      <c r="O897">
        <v>54</v>
      </c>
      <c r="P897" t="s">
        <v>27</v>
      </c>
    </row>
    <row r="898" spans="1:16" x14ac:dyDescent="0.35">
      <c r="A898" t="s">
        <v>3183</v>
      </c>
      <c r="B898" t="s">
        <v>350</v>
      </c>
      <c r="C898" t="s">
        <v>48</v>
      </c>
      <c r="D898" t="s">
        <v>3184</v>
      </c>
      <c r="E898" t="s">
        <v>1596</v>
      </c>
      <c r="F898">
        <v>89</v>
      </c>
      <c r="G898">
        <v>40</v>
      </c>
      <c r="H898">
        <v>64</v>
      </c>
      <c r="I898" t="s">
        <v>3478</v>
      </c>
      <c r="J898" s="8">
        <v>45581</v>
      </c>
      <c r="K898" s="8">
        <v>45700</v>
      </c>
      <c r="L898" s="8">
        <v>45554</v>
      </c>
      <c r="M898" t="s">
        <v>3185</v>
      </c>
      <c r="N898">
        <v>93</v>
      </c>
      <c r="O898">
        <v>48</v>
      </c>
      <c r="P898" t="s">
        <v>45</v>
      </c>
    </row>
    <row r="899" spans="1:16" x14ac:dyDescent="0.35">
      <c r="A899" t="s">
        <v>3186</v>
      </c>
      <c r="B899" t="s">
        <v>533</v>
      </c>
      <c r="C899" t="s">
        <v>133</v>
      </c>
      <c r="D899" t="s">
        <v>3187</v>
      </c>
      <c r="E899" t="s">
        <v>272</v>
      </c>
      <c r="F899">
        <v>96</v>
      </c>
      <c r="G899">
        <v>12</v>
      </c>
      <c r="H899">
        <v>8</v>
      </c>
      <c r="I899" t="s">
        <v>3486</v>
      </c>
      <c r="J899" s="8">
        <v>45423</v>
      </c>
      <c r="K899" s="8">
        <v>45436</v>
      </c>
      <c r="L899" s="8">
        <v>45524</v>
      </c>
      <c r="M899" t="s">
        <v>3188</v>
      </c>
      <c r="N899">
        <v>97</v>
      </c>
      <c r="O899">
        <v>92</v>
      </c>
      <c r="P899" t="s">
        <v>45</v>
      </c>
    </row>
    <row r="900" spans="1:16" x14ac:dyDescent="0.35">
      <c r="A900" t="s">
        <v>3189</v>
      </c>
      <c r="B900" t="s">
        <v>148</v>
      </c>
      <c r="C900" t="s">
        <v>65</v>
      </c>
      <c r="D900" t="s">
        <v>3190</v>
      </c>
      <c r="E900" t="s">
        <v>3191</v>
      </c>
      <c r="F900">
        <v>52</v>
      </c>
      <c r="G900">
        <v>56</v>
      </c>
      <c r="H900">
        <v>34</v>
      </c>
      <c r="I900" t="s">
        <v>3487</v>
      </c>
      <c r="J900" s="8">
        <v>45562</v>
      </c>
      <c r="K900" s="8">
        <v>45569</v>
      </c>
      <c r="L900" s="8">
        <v>45501</v>
      </c>
      <c r="M900" t="s">
        <v>3192</v>
      </c>
      <c r="N900">
        <v>31</v>
      </c>
      <c r="O900">
        <v>69</v>
      </c>
      <c r="P900" t="s">
        <v>39</v>
      </c>
    </row>
    <row r="901" spans="1:16" x14ac:dyDescent="0.35">
      <c r="A901" t="s">
        <v>3193</v>
      </c>
      <c r="B901" t="s">
        <v>738</v>
      </c>
      <c r="C901" t="s">
        <v>59</v>
      </c>
      <c r="D901" t="s">
        <v>3194</v>
      </c>
      <c r="E901" t="s">
        <v>1687</v>
      </c>
      <c r="F901">
        <v>97</v>
      </c>
      <c r="G901">
        <v>20</v>
      </c>
      <c r="H901">
        <v>8</v>
      </c>
      <c r="I901" t="s">
        <v>3516</v>
      </c>
      <c r="J901" s="8">
        <v>45459</v>
      </c>
      <c r="K901" s="8">
        <v>45602</v>
      </c>
      <c r="L901" s="8">
        <v>45605</v>
      </c>
      <c r="M901" t="s">
        <v>3195</v>
      </c>
      <c r="N901">
        <v>51</v>
      </c>
      <c r="O901">
        <v>51</v>
      </c>
      <c r="P901" t="s">
        <v>45</v>
      </c>
    </row>
    <row r="902" spans="1:16" x14ac:dyDescent="0.35">
      <c r="A902" t="s">
        <v>3196</v>
      </c>
      <c r="B902" t="s">
        <v>1167</v>
      </c>
      <c r="C902" t="s">
        <v>133</v>
      </c>
      <c r="D902" t="s">
        <v>3197</v>
      </c>
      <c r="E902" t="s">
        <v>1440</v>
      </c>
      <c r="F902">
        <v>88</v>
      </c>
      <c r="G902">
        <v>42</v>
      </c>
      <c r="H902">
        <v>68</v>
      </c>
      <c r="I902" t="s">
        <v>3475</v>
      </c>
      <c r="J902" s="8">
        <v>45466</v>
      </c>
      <c r="K902" s="8">
        <v>45625</v>
      </c>
      <c r="L902" s="8">
        <v>45391</v>
      </c>
      <c r="M902" t="s">
        <v>3198</v>
      </c>
      <c r="N902">
        <v>92</v>
      </c>
      <c r="O902">
        <v>29</v>
      </c>
      <c r="P902" t="s">
        <v>45</v>
      </c>
    </row>
    <row r="903" spans="1:16" x14ac:dyDescent="0.35">
      <c r="A903" t="s">
        <v>3199</v>
      </c>
      <c r="B903" t="s">
        <v>468</v>
      </c>
      <c r="C903" t="s">
        <v>23</v>
      </c>
      <c r="D903" t="s">
        <v>3200</v>
      </c>
      <c r="E903" t="s">
        <v>2521</v>
      </c>
      <c r="F903">
        <v>33</v>
      </c>
      <c r="G903">
        <v>44</v>
      </c>
      <c r="H903">
        <v>89</v>
      </c>
      <c r="I903" t="s">
        <v>3504</v>
      </c>
      <c r="J903" s="8">
        <v>45366</v>
      </c>
      <c r="K903" s="8">
        <v>45540</v>
      </c>
      <c r="L903" s="8">
        <v>45399</v>
      </c>
      <c r="M903" t="s">
        <v>3201</v>
      </c>
      <c r="N903">
        <v>93</v>
      </c>
      <c r="O903">
        <v>19</v>
      </c>
      <c r="P903" t="s">
        <v>27</v>
      </c>
    </row>
    <row r="904" spans="1:16" x14ac:dyDescent="0.35">
      <c r="A904" t="s">
        <v>3202</v>
      </c>
      <c r="B904" t="s">
        <v>468</v>
      </c>
      <c r="C904" t="s">
        <v>23</v>
      </c>
      <c r="D904" t="s">
        <v>3203</v>
      </c>
      <c r="E904" t="s">
        <v>272</v>
      </c>
      <c r="F904">
        <v>98</v>
      </c>
      <c r="G904">
        <v>20</v>
      </c>
      <c r="H904">
        <v>81</v>
      </c>
      <c r="I904" t="s">
        <v>3504</v>
      </c>
      <c r="J904" s="8">
        <v>45518</v>
      </c>
      <c r="K904" s="8">
        <v>45483</v>
      </c>
      <c r="L904" s="8">
        <v>45656</v>
      </c>
      <c r="M904" t="s">
        <v>3204</v>
      </c>
      <c r="N904">
        <v>51</v>
      </c>
      <c r="O904">
        <v>23</v>
      </c>
      <c r="P904" t="s">
        <v>39</v>
      </c>
    </row>
    <row r="905" spans="1:16" x14ac:dyDescent="0.35">
      <c r="A905" t="s">
        <v>3205</v>
      </c>
      <c r="B905" t="s">
        <v>555</v>
      </c>
      <c r="C905" t="s">
        <v>48</v>
      </c>
      <c r="D905" t="s">
        <v>3206</v>
      </c>
      <c r="E905" t="s">
        <v>418</v>
      </c>
      <c r="F905">
        <v>45</v>
      </c>
      <c r="G905">
        <v>79</v>
      </c>
      <c r="H905">
        <v>95</v>
      </c>
      <c r="I905" t="s">
        <v>3478</v>
      </c>
      <c r="J905" s="8">
        <v>45632</v>
      </c>
      <c r="K905" s="8">
        <v>45469</v>
      </c>
      <c r="L905" s="8">
        <v>45611</v>
      </c>
      <c r="M905" t="s">
        <v>3207</v>
      </c>
      <c r="N905">
        <v>84</v>
      </c>
      <c r="O905">
        <v>62</v>
      </c>
      <c r="P905" t="s">
        <v>39</v>
      </c>
    </row>
    <row r="906" spans="1:16" x14ac:dyDescent="0.35">
      <c r="A906" t="s">
        <v>3208</v>
      </c>
      <c r="B906" t="s">
        <v>590</v>
      </c>
      <c r="C906" t="s">
        <v>23</v>
      </c>
      <c r="D906" t="s">
        <v>3209</v>
      </c>
      <c r="E906" t="s">
        <v>2269</v>
      </c>
      <c r="F906">
        <v>80</v>
      </c>
      <c r="G906">
        <v>86</v>
      </c>
      <c r="H906">
        <v>50</v>
      </c>
      <c r="I906" t="s">
        <v>3500</v>
      </c>
      <c r="J906" s="8">
        <v>45417</v>
      </c>
      <c r="K906" s="8">
        <v>45495</v>
      </c>
      <c r="L906" s="8">
        <v>45712</v>
      </c>
      <c r="M906" t="s">
        <v>3210</v>
      </c>
      <c r="N906">
        <v>46</v>
      </c>
      <c r="O906">
        <v>69</v>
      </c>
      <c r="P906" t="s">
        <v>27</v>
      </c>
    </row>
    <row r="907" spans="1:16" x14ac:dyDescent="0.35">
      <c r="A907" t="s">
        <v>3211</v>
      </c>
      <c r="B907" t="s">
        <v>1167</v>
      </c>
      <c r="C907" t="s">
        <v>133</v>
      </c>
      <c r="D907" t="s">
        <v>3212</v>
      </c>
      <c r="E907" t="s">
        <v>694</v>
      </c>
      <c r="F907">
        <v>68</v>
      </c>
      <c r="G907">
        <v>43</v>
      </c>
      <c r="H907">
        <v>96</v>
      </c>
      <c r="I907" t="s">
        <v>3475</v>
      </c>
      <c r="J907" s="8">
        <v>45613</v>
      </c>
      <c r="K907" s="8">
        <v>45410</v>
      </c>
      <c r="L907" s="8">
        <v>45580</v>
      </c>
      <c r="M907" t="s">
        <v>3213</v>
      </c>
      <c r="N907">
        <v>75</v>
      </c>
      <c r="O907">
        <v>35</v>
      </c>
      <c r="P907" t="s">
        <v>39</v>
      </c>
    </row>
    <row r="908" spans="1:16" x14ac:dyDescent="0.35">
      <c r="A908" t="s">
        <v>3214</v>
      </c>
      <c r="B908" t="s">
        <v>1185</v>
      </c>
      <c r="C908" t="s">
        <v>48</v>
      </c>
      <c r="D908" t="s">
        <v>3215</v>
      </c>
      <c r="E908" t="s">
        <v>1232</v>
      </c>
      <c r="F908">
        <v>90</v>
      </c>
      <c r="G908">
        <v>91</v>
      </c>
      <c r="H908">
        <v>62</v>
      </c>
      <c r="I908" t="s">
        <v>3489</v>
      </c>
      <c r="J908" s="8">
        <v>45620</v>
      </c>
      <c r="K908" s="8">
        <v>45623</v>
      </c>
      <c r="L908" s="8">
        <v>45620</v>
      </c>
      <c r="M908" t="s">
        <v>3216</v>
      </c>
      <c r="N908">
        <v>34</v>
      </c>
      <c r="O908">
        <v>72</v>
      </c>
      <c r="P908" t="s">
        <v>45</v>
      </c>
    </row>
    <row r="909" spans="1:16" x14ac:dyDescent="0.35">
      <c r="A909" t="s">
        <v>3217</v>
      </c>
      <c r="B909" t="s">
        <v>132</v>
      </c>
      <c r="C909" t="s">
        <v>133</v>
      </c>
      <c r="D909" t="s">
        <v>3218</v>
      </c>
      <c r="E909" t="s">
        <v>1288</v>
      </c>
      <c r="F909">
        <v>89</v>
      </c>
      <c r="G909">
        <v>67</v>
      </c>
      <c r="H909">
        <v>89</v>
      </c>
      <c r="I909" t="s">
        <v>3487</v>
      </c>
      <c r="J909" s="8">
        <v>45702</v>
      </c>
      <c r="K909" s="8">
        <v>45662</v>
      </c>
      <c r="L909" s="8">
        <v>45606</v>
      </c>
      <c r="M909" t="s">
        <v>3219</v>
      </c>
      <c r="N909">
        <v>96</v>
      </c>
      <c r="O909">
        <v>42</v>
      </c>
      <c r="P909" t="s">
        <v>27</v>
      </c>
    </row>
    <row r="910" spans="1:16" x14ac:dyDescent="0.35">
      <c r="A910" t="s">
        <v>3220</v>
      </c>
      <c r="B910" t="s">
        <v>177</v>
      </c>
      <c r="C910" t="s">
        <v>48</v>
      </c>
      <c r="D910" t="s">
        <v>3221</v>
      </c>
      <c r="E910" t="s">
        <v>1790</v>
      </c>
      <c r="F910">
        <v>38</v>
      </c>
      <c r="G910">
        <v>94</v>
      </c>
      <c r="H910">
        <v>87</v>
      </c>
      <c r="I910" t="s">
        <v>3500</v>
      </c>
      <c r="J910" s="8">
        <v>45439</v>
      </c>
      <c r="K910" s="8">
        <v>45415</v>
      </c>
      <c r="L910" s="8">
        <v>45525</v>
      </c>
      <c r="M910" t="s">
        <v>3222</v>
      </c>
      <c r="N910">
        <v>89</v>
      </c>
      <c r="O910">
        <v>100</v>
      </c>
      <c r="P910" t="s">
        <v>27</v>
      </c>
    </row>
    <row r="911" spans="1:16" x14ac:dyDescent="0.35">
      <c r="A911" t="s">
        <v>3223</v>
      </c>
      <c r="B911" t="s">
        <v>138</v>
      </c>
      <c r="C911" t="s">
        <v>48</v>
      </c>
      <c r="D911" t="s">
        <v>3224</v>
      </c>
      <c r="E911" t="s">
        <v>3225</v>
      </c>
      <c r="F911">
        <v>99</v>
      </c>
      <c r="G911">
        <v>37</v>
      </c>
      <c r="H911">
        <v>74</v>
      </c>
      <c r="I911" t="s">
        <v>3544</v>
      </c>
      <c r="J911" s="8">
        <v>45498</v>
      </c>
      <c r="K911" s="8">
        <v>45647</v>
      </c>
      <c r="L911" s="8">
        <v>45353</v>
      </c>
      <c r="M911" t="s">
        <v>3226</v>
      </c>
      <c r="N911">
        <v>46</v>
      </c>
      <c r="O911">
        <v>46</v>
      </c>
      <c r="P911" t="s">
        <v>45</v>
      </c>
    </row>
    <row r="912" spans="1:16" x14ac:dyDescent="0.35">
      <c r="A912" t="s">
        <v>3227</v>
      </c>
      <c r="B912" t="s">
        <v>688</v>
      </c>
      <c r="C912" t="s">
        <v>23</v>
      </c>
      <c r="D912" t="s">
        <v>3228</v>
      </c>
      <c r="E912" t="s">
        <v>894</v>
      </c>
      <c r="F912">
        <v>66</v>
      </c>
      <c r="G912">
        <v>19</v>
      </c>
      <c r="H912">
        <v>20</v>
      </c>
      <c r="I912" t="s">
        <v>3502</v>
      </c>
      <c r="J912" s="8">
        <v>45553</v>
      </c>
      <c r="K912" s="8">
        <v>45542</v>
      </c>
      <c r="L912" s="8">
        <v>45444</v>
      </c>
      <c r="M912" t="s">
        <v>3229</v>
      </c>
      <c r="N912">
        <v>30</v>
      </c>
      <c r="O912">
        <v>49</v>
      </c>
      <c r="P912" t="s">
        <v>45</v>
      </c>
    </row>
    <row r="913" spans="1:16" x14ac:dyDescent="0.35">
      <c r="A913" t="s">
        <v>3230</v>
      </c>
      <c r="B913" t="s">
        <v>546</v>
      </c>
      <c r="C913" t="s">
        <v>48</v>
      </c>
      <c r="D913" t="s">
        <v>3231</v>
      </c>
      <c r="E913" t="s">
        <v>2121</v>
      </c>
      <c r="F913">
        <v>66</v>
      </c>
      <c r="G913">
        <v>28</v>
      </c>
      <c r="H913">
        <v>7</v>
      </c>
      <c r="I913" t="s">
        <v>3476</v>
      </c>
      <c r="J913" s="8">
        <v>45409</v>
      </c>
      <c r="K913" s="8">
        <v>45591</v>
      </c>
      <c r="L913" s="8">
        <v>45518</v>
      </c>
      <c r="M913" t="s">
        <v>3232</v>
      </c>
      <c r="N913">
        <v>85</v>
      </c>
      <c r="O913">
        <v>6</v>
      </c>
      <c r="P913" t="s">
        <v>39</v>
      </c>
    </row>
    <row r="914" spans="1:16" x14ac:dyDescent="0.35">
      <c r="A914" t="s">
        <v>3233</v>
      </c>
      <c r="B914" t="s">
        <v>109</v>
      </c>
      <c r="C914" t="s">
        <v>23</v>
      </c>
      <c r="D914" t="s">
        <v>3234</v>
      </c>
      <c r="E914" t="s">
        <v>1000</v>
      </c>
      <c r="F914">
        <v>64</v>
      </c>
      <c r="G914">
        <v>11</v>
      </c>
      <c r="H914">
        <v>97</v>
      </c>
      <c r="I914" t="s">
        <v>3477</v>
      </c>
      <c r="J914" s="8">
        <v>45652</v>
      </c>
      <c r="K914" s="8">
        <v>45644</v>
      </c>
      <c r="L914" s="8">
        <v>45478</v>
      </c>
      <c r="M914" t="s">
        <v>3235</v>
      </c>
      <c r="N914">
        <v>33</v>
      </c>
      <c r="O914">
        <v>83</v>
      </c>
      <c r="P914" t="s">
        <v>27</v>
      </c>
    </row>
    <row r="915" spans="1:16" x14ac:dyDescent="0.35">
      <c r="A915" t="s">
        <v>3236</v>
      </c>
      <c r="B915" t="s">
        <v>35</v>
      </c>
      <c r="C915" t="s">
        <v>23</v>
      </c>
      <c r="D915" t="s">
        <v>3237</v>
      </c>
      <c r="E915" t="s">
        <v>2465</v>
      </c>
      <c r="F915">
        <v>18</v>
      </c>
      <c r="G915">
        <v>78</v>
      </c>
      <c r="H915">
        <v>43</v>
      </c>
      <c r="I915" t="s">
        <v>3476</v>
      </c>
      <c r="J915" s="8">
        <v>45661</v>
      </c>
      <c r="K915" s="8">
        <v>45478</v>
      </c>
      <c r="L915" s="8">
        <v>45364</v>
      </c>
      <c r="M915" t="s">
        <v>3238</v>
      </c>
      <c r="N915">
        <v>85</v>
      </c>
      <c r="O915">
        <v>97</v>
      </c>
      <c r="P915" t="s">
        <v>45</v>
      </c>
    </row>
    <row r="916" spans="1:16" x14ac:dyDescent="0.35">
      <c r="A916" t="s">
        <v>3239</v>
      </c>
      <c r="B916" t="s">
        <v>772</v>
      </c>
      <c r="C916" t="s">
        <v>23</v>
      </c>
      <c r="D916" t="s">
        <v>3240</v>
      </c>
      <c r="E916" t="s">
        <v>1316</v>
      </c>
      <c r="F916">
        <v>86</v>
      </c>
      <c r="G916">
        <v>100</v>
      </c>
      <c r="H916">
        <v>78</v>
      </c>
      <c r="I916" t="s">
        <v>3519</v>
      </c>
      <c r="J916" s="8">
        <v>45388</v>
      </c>
      <c r="K916" s="8">
        <v>45440</v>
      </c>
      <c r="L916" s="8">
        <v>45693</v>
      </c>
      <c r="M916" t="s">
        <v>3241</v>
      </c>
      <c r="N916">
        <v>52</v>
      </c>
      <c r="O916">
        <v>91</v>
      </c>
      <c r="P916" t="s">
        <v>39</v>
      </c>
    </row>
    <row r="917" spans="1:16" x14ac:dyDescent="0.35">
      <c r="A917" t="s">
        <v>3242</v>
      </c>
      <c r="B917" t="s">
        <v>317</v>
      </c>
      <c r="C917" t="s">
        <v>30</v>
      </c>
      <c r="D917" t="s">
        <v>3243</v>
      </c>
      <c r="E917" t="s">
        <v>217</v>
      </c>
      <c r="F917">
        <v>35</v>
      </c>
      <c r="G917">
        <v>88</v>
      </c>
      <c r="H917">
        <v>87</v>
      </c>
      <c r="I917" t="s">
        <v>3538</v>
      </c>
      <c r="J917" s="8">
        <v>45387</v>
      </c>
      <c r="K917" s="8">
        <v>45577</v>
      </c>
      <c r="L917" s="8">
        <v>45617</v>
      </c>
      <c r="M917" t="s">
        <v>3244</v>
      </c>
      <c r="N917">
        <v>39</v>
      </c>
      <c r="O917">
        <v>62</v>
      </c>
      <c r="P917" t="s">
        <v>45</v>
      </c>
    </row>
    <row r="918" spans="1:16" x14ac:dyDescent="0.35">
      <c r="A918" t="s">
        <v>3245</v>
      </c>
      <c r="B918" t="s">
        <v>138</v>
      </c>
      <c r="C918" t="s">
        <v>48</v>
      </c>
      <c r="D918" t="s">
        <v>3246</v>
      </c>
      <c r="E918" t="s">
        <v>963</v>
      </c>
      <c r="F918">
        <v>26</v>
      </c>
      <c r="G918">
        <v>70</v>
      </c>
      <c r="H918">
        <v>52</v>
      </c>
      <c r="I918" t="s">
        <v>3484</v>
      </c>
      <c r="J918" s="8">
        <v>45542</v>
      </c>
      <c r="K918" s="8">
        <v>45361</v>
      </c>
      <c r="L918" s="8">
        <v>45599</v>
      </c>
      <c r="M918" t="s">
        <v>3247</v>
      </c>
      <c r="N918">
        <v>36</v>
      </c>
      <c r="O918">
        <v>10</v>
      </c>
      <c r="P918" t="s">
        <v>27</v>
      </c>
    </row>
    <row r="919" spans="1:16" x14ac:dyDescent="0.35">
      <c r="A919" t="s">
        <v>3248</v>
      </c>
      <c r="B919" t="s">
        <v>148</v>
      </c>
      <c r="C919" t="s">
        <v>65</v>
      </c>
      <c r="D919" t="s">
        <v>3249</v>
      </c>
      <c r="E919" t="s">
        <v>165</v>
      </c>
      <c r="F919">
        <v>80</v>
      </c>
      <c r="G919">
        <v>100</v>
      </c>
      <c r="H919">
        <v>48</v>
      </c>
      <c r="I919" t="s">
        <v>3487</v>
      </c>
      <c r="J919" s="8">
        <v>45522</v>
      </c>
      <c r="K919" s="8">
        <v>45577</v>
      </c>
      <c r="L919" s="8">
        <v>45388</v>
      </c>
      <c r="M919" t="s">
        <v>3250</v>
      </c>
      <c r="N919">
        <v>100</v>
      </c>
      <c r="O919">
        <v>28</v>
      </c>
      <c r="P919" t="s">
        <v>39</v>
      </c>
    </row>
    <row r="920" spans="1:16" x14ac:dyDescent="0.35">
      <c r="A920" t="s">
        <v>3251</v>
      </c>
      <c r="B920" t="s">
        <v>215</v>
      </c>
      <c r="C920" t="s">
        <v>48</v>
      </c>
      <c r="D920" t="s">
        <v>3252</v>
      </c>
      <c r="E920" t="s">
        <v>758</v>
      </c>
      <c r="F920">
        <v>63</v>
      </c>
      <c r="G920">
        <v>56</v>
      </c>
      <c r="H920">
        <v>33</v>
      </c>
      <c r="I920" t="s">
        <v>3480</v>
      </c>
      <c r="J920" s="8">
        <v>45666</v>
      </c>
      <c r="K920" s="8">
        <v>45450</v>
      </c>
      <c r="L920" s="8">
        <v>45581</v>
      </c>
      <c r="M920" t="s">
        <v>3253</v>
      </c>
      <c r="N920">
        <v>35</v>
      </c>
      <c r="O920">
        <v>16</v>
      </c>
      <c r="P920" t="s">
        <v>39</v>
      </c>
    </row>
    <row r="921" spans="1:16" x14ac:dyDescent="0.35">
      <c r="A921" t="s">
        <v>3254</v>
      </c>
      <c r="B921" t="s">
        <v>1434</v>
      </c>
      <c r="C921" t="s">
        <v>90</v>
      </c>
      <c r="D921" t="s">
        <v>3255</v>
      </c>
      <c r="E921" t="s">
        <v>400</v>
      </c>
      <c r="F921">
        <v>89</v>
      </c>
      <c r="G921">
        <v>22</v>
      </c>
      <c r="H921">
        <v>23</v>
      </c>
      <c r="I921" t="s">
        <v>3531</v>
      </c>
      <c r="J921" s="8">
        <v>45424</v>
      </c>
      <c r="K921" s="8">
        <v>45468</v>
      </c>
      <c r="L921" s="8">
        <v>45518</v>
      </c>
      <c r="M921" t="s">
        <v>3256</v>
      </c>
      <c r="N921">
        <v>83</v>
      </c>
      <c r="O921">
        <v>25</v>
      </c>
      <c r="P921" t="s">
        <v>27</v>
      </c>
    </row>
    <row r="922" spans="1:16" x14ac:dyDescent="0.35">
      <c r="A922" t="s">
        <v>3257</v>
      </c>
      <c r="B922" t="s">
        <v>1532</v>
      </c>
      <c r="C922" t="s">
        <v>48</v>
      </c>
      <c r="D922" t="s">
        <v>3258</v>
      </c>
      <c r="E922" t="s">
        <v>2596</v>
      </c>
      <c r="F922">
        <v>80</v>
      </c>
      <c r="G922">
        <v>60</v>
      </c>
      <c r="H922">
        <v>71</v>
      </c>
      <c r="I922" t="s">
        <v>3484</v>
      </c>
      <c r="J922" s="8">
        <v>45573</v>
      </c>
      <c r="K922" s="8">
        <v>45458</v>
      </c>
      <c r="L922" s="8">
        <v>45521</v>
      </c>
      <c r="M922" t="s">
        <v>3259</v>
      </c>
      <c r="N922">
        <v>98</v>
      </c>
      <c r="O922">
        <v>13</v>
      </c>
      <c r="P922" t="s">
        <v>45</v>
      </c>
    </row>
    <row r="923" spans="1:16" x14ac:dyDescent="0.35">
      <c r="A923" t="s">
        <v>3260</v>
      </c>
      <c r="B923" t="s">
        <v>711</v>
      </c>
      <c r="C923" t="s">
        <v>59</v>
      </c>
      <c r="D923" t="s">
        <v>3261</v>
      </c>
      <c r="E923" t="s">
        <v>371</v>
      </c>
      <c r="F923">
        <v>41</v>
      </c>
      <c r="G923">
        <v>66</v>
      </c>
      <c r="H923">
        <v>50</v>
      </c>
      <c r="I923" t="s">
        <v>3484</v>
      </c>
      <c r="J923" s="8">
        <v>45706</v>
      </c>
      <c r="K923" s="8">
        <v>45503</v>
      </c>
      <c r="L923" s="8">
        <v>45367</v>
      </c>
      <c r="M923" t="s">
        <v>3262</v>
      </c>
      <c r="N923">
        <v>55</v>
      </c>
      <c r="O923">
        <v>74</v>
      </c>
      <c r="P923" t="s">
        <v>39</v>
      </c>
    </row>
    <row r="924" spans="1:16" x14ac:dyDescent="0.35">
      <c r="A924" t="s">
        <v>3263</v>
      </c>
      <c r="B924" t="s">
        <v>446</v>
      </c>
      <c r="C924" t="s">
        <v>90</v>
      </c>
      <c r="D924" t="s">
        <v>3264</v>
      </c>
      <c r="E924" t="s">
        <v>3265</v>
      </c>
      <c r="F924">
        <v>53</v>
      </c>
      <c r="G924">
        <v>19</v>
      </c>
      <c r="H924">
        <v>94</v>
      </c>
      <c r="I924" t="s">
        <v>3489</v>
      </c>
      <c r="J924" s="8">
        <v>45380</v>
      </c>
      <c r="K924" s="8">
        <v>45608</v>
      </c>
      <c r="L924" s="8">
        <v>45583</v>
      </c>
      <c r="M924" t="s">
        <v>3266</v>
      </c>
      <c r="N924">
        <v>82</v>
      </c>
      <c r="O924">
        <v>56</v>
      </c>
      <c r="P924" t="s">
        <v>27</v>
      </c>
    </row>
    <row r="925" spans="1:16" x14ac:dyDescent="0.35">
      <c r="A925" t="s">
        <v>3267</v>
      </c>
      <c r="B925" t="s">
        <v>197</v>
      </c>
      <c r="C925" t="s">
        <v>133</v>
      </c>
      <c r="D925" t="s">
        <v>3268</v>
      </c>
      <c r="E925" t="s">
        <v>129</v>
      </c>
      <c r="F925">
        <v>61</v>
      </c>
      <c r="G925">
        <v>91</v>
      </c>
      <c r="H925">
        <v>40</v>
      </c>
      <c r="I925" t="s">
        <v>3492</v>
      </c>
      <c r="J925" s="8">
        <v>45665</v>
      </c>
      <c r="K925" s="8">
        <v>45531</v>
      </c>
      <c r="L925" s="8">
        <v>45452</v>
      </c>
      <c r="M925" t="s">
        <v>3269</v>
      </c>
      <c r="N925">
        <v>34</v>
      </c>
      <c r="O925">
        <v>76</v>
      </c>
      <c r="P925" t="s">
        <v>45</v>
      </c>
    </row>
    <row r="926" spans="1:16" x14ac:dyDescent="0.35">
      <c r="A926" t="s">
        <v>3270</v>
      </c>
      <c r="B926" t="s">
        <v>75</v>
      </c>
      <c r="C926" t="s">
        <v>65</v>
      </c>
      <c r="D926" t="s">
        <v>3271</v>
      </c>
      <c r="E926" t="s">
        <v>1871</v>
      </c>
      <c r="F926">
        <v>70</v>
      </c>
      <c r="G926">
        <v>92</v>
      </c>
      <c r="H926">
        <v>74</v>
      </c>
      <c r="I926" t="s">
        <v>3482</v>
      </c>
      <c r="J926" s="8">
        <v>45626</v>
      </c>
      <c r="K926" s="8">
        <v>45521</v>
      </c>
      <c r="L926" s="8">
        <v>45484</v>
      </c>
      <c r="M926" t="s">
        <v>3272</v>
      </c>
      <c r="N926">
        <v>95</v>
      </c>
      <c r="O926">
        <v>26</v>
      </c>
      <c r="P926" t="s">
        <v>39</v>
      </c>
    </row>
    <row r="927" spans="1:16" x14ac:dyDescent="0.35">
      <c r="A927" t="s">
        <v>3273</v>
      </c>
      <c r="B927" t="s">
        <v>225</v>
      </c>
      <c r="C927" t="s">
        <v>48</v>
      </c>
      <c r="D927" t="s">
        <v>3274</v>
      </c>
      <c r="E927" t="s">
        <v>925</v>
      </c>
      <c r="F927">
        <v>73</v>
      </c>
      <c r="G927">
        <v>69</v>
      </c>
      <c r="H927">
        <v>1</v>
      </c>
      <c r="I927" t="s">
        <v>3489</v>
      </c>
      <c r="J927" s="8">
        <v>45601</v>
      </c>
      <c r="K927" s="8">
        <v>45426</v>
      </c>
      <c r="L927" s="8">
        <v>45552</v>
      </c>
      <c r="M927" t="s">
        <v>3275</v>
      </c>
      <c r="N927">
        <v>50</v>
      </c>
      <c r="O927">
        <v>67</v>
      </c>
      <c r="P927" t="s">
        <v>45</v>
      </c>
    </row>
    <row r="928" spans="1:16" x14ac:dyDescent="0.35">
      <c r="A928" t="s">
        <v>3276</v>
      </c>
      <c r="B928" t="s">
        <v>1003</v>
      </c>
      <c r="C928" t="s">
        <v>48</v>
      </c>
      <c r="D928" t="s">
        <v>3277</v>
      </c>
      <c r="E928" t="s">
        <v>129</v>
      </c>
      <c r="F928">
        <v>60</v>
      </c>
      <c r="G928">
        <v>15</v>
      </c>
      <c r="H928">
        <v>89</v>
      </c>
      <c r="I928" t="s">
        <v>3478</v>
      </c>
      <c r="J928" s="8">
        <v>45450</v>
      </c>
      <c r="K928" s="8">
        <v>45709</v>
      </c>
      <c r="L928" s="8">
        <v>45393</v>
      </c>
      <c r="M928" t="s">
        <v>3278</v>
      </c>
      <c r="N928">
        <v>21</v>
      </c>
      <c r="O928">
        <v>29</v>
      </c>
      <c r="P928" t="s">
        <v>27</v>
      </c>
    </row>
    <row r="929" spans="1:16" x14ac:dyDescent="0.35">
      <c r="A929" t="s">
        <v>3279</v>
      </c>
      <c r="B929" t="s">
        <v>546</v>
      </c>
      <c r="C929" t="s">
        <v>48</v>
      </c>
      <c r="D929" t="s">
        <v>3280</v>
      </c>
      <c r="E929" t="s">
        <v>300</v>
      </c>
      <c r="F929">
        <v>88</v>
      </c>
      <c r="G929">
        <v>24</v>
      </c>
      <c r="H929">
        <v>44</v>
      </c>
      <c r="I929" t="s">
        <v>3476</v>
      </c>
      <c r="J929" s="8">
        <v>45601</v>
      </c>
      <c r="K929" s="8">
        <v>45604</v>
      </c>
      <c r="L929" s="8">
        <v>45644</v>
      </c>
      <c r="M929" t="s">
        <v>3281</v>
      </c>
      <c r="N929">
        <v>72</v>
      </c>
      <c r="O929">
        <v>88</v>
      </c>
      <c r="P929" t="s">
        <v>39</v>
      </c>
    </row>
    <row r="930" spans="1:16" x14ac:dyDescent="0.35">
      <c r="A930" t="s">
        <v>3282</v>
      </c>
      <c r="B930" t="s">
        <v>595</v>
      </c>
      <c r="C930" t="s">
        <v>48</v>
      </c>
      <c r="D930" t="s">
        <v>3283</v>
      </c>
      <c r="E930" t="s">
        <v>300</v>
      </c>
      <c r="F930">
        <v>95</v>
      </c>
      <c r="G930">
        <v>6</v>
      </c>
      <c r="H930">
        <v>59</v>
      </c>
      <c r="I930" t="s">
        <v>3480</v>
      </c>
      <c r="J930" s="8">
        <v>45657</v>
      </c>
      <c r="K930" s="8">
        <v>45519</v>
      </c>
      <c r="L930" s="8">
        <v>45564</v>
      </c>
      <c r="M930" t="s">
        <v>3284</v>
      </c>
      <c r="N930">
        <v>49</v>
      </c>
      <c r="O930">
        <v>77</v>
      </c>
      <c r="P930" t="s">
        <v>45</v>
      </c>
    </row>
    <row r="931" spans="1:16" x14ac:dyDescent="0.35">
      <c r="A931" t="s">
        <v>3285</v>
      </c>
      <c r="B931" t="s">
        <v>688</v>
      </c>
      <c r="C931" t="s">
        <v>23</v>
      </c>
      <c r="D931" t="s">
        <v>3286</v>
      </c>
      <c r="E931" t="s">
        <v>576</v>
      </c>
      <c r="F931">
        <v>47</v>
      </c>
      <c r="G931">
        <v>30</v>
      </c>
      <c r="H931">
        <v>16</v>
      </c>
      <c r="I931" t="s">
        <v>3480</v>
      </c>
      <c r="J931" s="8">
        <v>45361</v>
      </c>
      <c r="K931" s="8">
        <v>45484</v>
      </c>
      <c r="L931" s="8">
        <v>45435</v>
      </c>
      <c r="M931" t="s">
        <v>3287</v>
      </c>
      <c r="N931">
        <v>22</v>
      </c>
      <c r="O931">
        <v>81</v>
      </c>
      <c r="P931" t="s">
        <v>45</v>
      </c>
    </row>
    <row r="932" spans="1:16" x14ac:dyDescent="0.35">
      <c r="A932" t="s">
        <v>3288</v>
      </c>
      <c r="B932" t="s">
        <v>345</v>
      </c>
      <c r="C932" t="s">
        <v>65</v>
      </c>
      <c r="D932" t="s">
        <v>3289</v>
      </c>
      <c r="E932" t="s">
        <v>610</v>
      </c>
      <c r="F932">
        <v>24</v>
      </c>
      <c r="G932">
        <v>1</v>
      </c>
      <c r="H932">
        <v>65</v>
      </c>
      <c r="I932" t="s">
        <v>3485</v>
      </c>
      <c r="J932" s="8">
        <v>45614</v>
      </c>
      <c r="K932" s="8">
        <v>45485</v>
      </c>
      <c r="L932" s="8">
        <v>45351</v>
      </c>
      <c r="M932" t="s">
        <v>3290</v>
      </c>
      <c r="N932">
        <v>58</v>
      </c>
      <c r="O932">
        <v>61</v>
      </c>
      <c r="P932" t="s">
        <v>45</v>
      </c>
    </row>
    <row r="933" spans="1:16" x14ac:dyDescent="0.35">
      <c r="A933" t="s">
        <v>3291</v>
      </c>
      <c r="B933" t="s">
        <v>801</v>
      </c>
      <c r="C933" t="s">
        <v>133</v>
      </c>
      <c r="D933" t="s">
        <v>3292</v>
      </c>
      <c r="E933" t="s">
        <v>933</v>
      </c>
      <c r="F933">
        <v>93</v>
      </c>
      <c r="G933">
        <v>51</v>
      </c>
      <c r="H933">
        <v>70</v>
      </c>
      <c r="I933" t="s">
        <v>3503</v>
      </c>
      <c r="J933" s="8">
        <v>45404</v>
      </c>
      <c r="K933" s="8">
        <v>45455</v>
      </c>
      <c r="L933" s="8">
        <v>45539</v>
      </c>
      <c r="M933" t="s">
        <v>3293</v>
      </c>
      <c r="N933">
        <v>81</v>
      </c>
      <c r="O933">
        <v>18</v>
      </c>
      <c r="P933" t="s">
        <v>45</v>
      </c>
    </row>
    <row r="934" spans="1:16" x14ac:dyDescent="0.35">
      <c r="A934" t="s">
        <v>3294</v>
      </c>
      <c r="B934" t="s">
        <v>865</v>
      </c>
      <c r="C934" t="s">
        <v>59</v>
      </c>
      <c r="D934" t="s">
        <v>3295</v>
      </c>
      <c r="E934" t="s">
        <v>3163</v>
      </c>
      <c r="F934">
        <v>80</v>
      </c>
      <c r="G934">
        <v>24</v>
      </c>
      <c r="H934">
        <v>60</v>
      </c>
      <c r="I934" t="s">
        <v>3480</v>
      </c>
      <c r="J934" s="8">
        <v>45678</v>
      </c>
      <c r="K934" s="8">
        <v>45609</v>
      </c>
      <c r="L934" s="8">
        <v>45410</v>
      </c>
      <c r="M934" t="s">
        <v>3296</v>
      </c>
      <c r="N934">
        <v>98</v>
      </c>
      <c r="O934">
        <v>38</v>
      </c>
      <c r="P934" t="s">
        <v>45</v>
      </c>
    </row>
    <row r="935" spans="1:16" x14ac:dyDescent="0.35">
      <c r="A935" t="s">
        <v>3297</v>
      </c>
      <c r="B935" t="s">
        <v>1235</v>
      </c>
      <c r="C935" t="s">
        <v>48</v>
      </c>
      <c r="D935" t="s">
        <v>3298</v>
      </c>
      <c r="E935" t="s">
        <v>656</v>
      </c>
      <c r="F935">
        <v>77</v>
      </c>
      <c r="G935">
        <v>58</v>
      </c>
      <c r="H935">
        <v>13</v>
      </c>
      <c r="I935" t="s">
        <v>3490</v>
      </c>
      <c r="J935" s="8">
        <v>45465</v>
      </c>
      <c r="K935" s="8">
        <v>45435</v>
      </c>
      <c r="L935" s="8">
        <v>45398</v>
      </c>
      <c r="M935" t="s">
        <v>3299</v>
      </c>
      <c r="N935">
        <v>63</v>
      </c>
      <c r="O935">
        <v>28</v>
      </c>
      <c r="P935" t="s">
        <v>27</v>
      </c>
    </row>
    <row r="936" spans="1:16" x14ac:dyDescent="0.35">
      <c r="A936" t="s">
        <v>3300</v>
      </c>
      <c r="B936" t="s">
        <v>138</v>
      </c>
      <c r="C936" t="s">
        <v>48</v>
      </c>
      <c r="D936" t="s">
        <v>3301</v>
      </c>
      <c r="E936" t="s">
        <v>635</v>
      </c>
      <c r="F936">
        <v>42</v>
      </c>
      <c r="G936">
        <v>48</v>
      </c>
      <c r="H936">
        <v>18</v>
      </c>
      <c r="I936" t="s">
        <v>3484</v>
      </c>
      <c r="J936" s="8">
        <v>45666</v>
      </c>
      <c r="K936" s="8">
        <v>45401</v>
      </c>
      <c r="L936" s="8">
        <v>45405</v>
      </c>
      <c r="M936" t="s">
        <v>3302</v>
      </c>
      <c r="N936">
        <v>39</v>
      </c>
      <c r="O936">
        <v>57</v>
      </c>
      <c r="P936" t="s">
        <v>45</v>
      </c>
    </row>
    <row r="937" spans="1:16" x14ac:dyDescent="0.35">
      <c r="A937" t="s">
        <v>3303</v>
      </c>
      <c r="B937" t="s">
        <v>729</v>
      </c>
      <c r="C937" t="s">
        <v>65</v>
      </c>
      <c r="D937" t="s">
        <v>3304</v>
      </c>
      <c r="E937" t="s">
        <v>410</v>
      </c>
      <c r="F937">
        <v>92</v>
      </c>
      <c r="G937">
        <v>1</v>
      </c>
      <c r="H937">
        <v>23</v>
      </c>
      <c r="I937" t="s">
        <v>3480</v>
      </c>
      <c r="J937" s="8">
        <v>45531</v>
      </c>
      <c r="K937" s="8">
        <v>45567</v>
      </c>
      <c r="L937" s="8">
        <v>45395</v>
      </c>
      <c r="M937" t="s">
        <v>3305</v>
      </c>
      <c r="N937">
        <v>78</v>
      </c>
      <c r="O937">
        <v>36</v>
      </c>
      <c r="P937" t="s">
        <v>27</v>
      </c>
    </row>
    <row r="938" spans="1:16" x14ac:dyDescent="0.35">
      <c r="A938" t="s">
        <v>3306</v>
      </c>
      <c r="B938" t="s">
        <v>163</v>
      </c>
      <c r="C938" t="s">
        <v>48</v>
      </c>
      <c r="D938" t="s">
        <v>3307</v>
      </c>
      <c r="E938" t="s">
        <v>1123</v>
      </c>
      <c r="F938">
        <v>81</v>
      </c>
      <c r="G938">
        <v>23</v>
      </c>
      <c r="H938">
        <v>17</v>
      </c>
      <c r="I938" t="s">
        <v>3568</v>
      </c>
      <c r="J938" s="8">
        <v>45438</v>
      </c>
      <c r="K938" s="8">
        <v>45420</v>
      </c>
      <c r="L938" s="8">
        <v>45489</v>
      </c>
      <c r="M938" t="s">
        <v>3308</v>
      </c>
      <c r="N938">
        <v>92</v>
      </c>
      <c r="O938">
        <v>78</v>
      </c>
      <c r="P938" t="s">
        <v>45</v>
      </c>
    </row>
    <row r="939" spans="1:16" x14ac:dyDescent="0.35">
      <c r="A939" t="s">
        <v>3309</v>
      </c>
      <c r="B939" t="s">
        <v>468</v>
      </c>
      <c r="C939" t="s">
        <v>23</v>
      </c>
      <c r="D939" t="s">
        <v>3310</v>
      </c>
      <c r="E939" t="s">
        <v>3311</v>
      </c>
      <c r="F939">
        <v>46</v>
      </c>
      <c r="G939">
        <v>39</v>
      </c>
      <c r="H939">
        <v>11</v>
      </c>
      <c r="I939" t="s">
        <v>3504</v>
      </c>
      <c r="J939" s="8">
        <v>45575</v>
      </c>
      <c r="K939" s="8">
        <v>45520</v>
      </c>
      <c r="L939" s="8">
        <v>45606</v>
      </c>
      <c r="M939" t="s">
        <v>3312</v>
      </c>
      <c r="N939">
        <v>36</v>
      </c>
      <c r="O939">
        <v>54</v>
      </c>
      <c r="P939" t="s">
        <v>45</v>
      </c>
    </row>
    <row r="940" spans="1:16" x14ac:dyDescent="0.35">
      <c r="A940" t="s">
        <v>3313</v>
      </c>
      <c r="B940" t="s">
        <v>1146</v>
      </c>
      <c r="C940" t="s">
        <v>23</v>
      </c>
      <c r="D940" t="s">
        <v>3314</v>
      </c>
      <c r="E940" t="s">
        <v>212</v>
      </c>
      <c r="F940">
        <v>44</v>
      </c>
      <c r="G940">
        <v>67</v>
      </c>
      <c r="H940">
        <v>31</v>
      </c>
      <c r="I940" t="s">
        <v>3480</v>
      </c>
      <c r="J940" s="8">
        <v>45487</v>
      </c>
      <c r="K940" s="8">
        <v>45369</v>
      </c>
      <c r="L940" s="8">
        <v>45448</v>
      </c>
      <c r="M940" t="s">
        <v>3315</v>
      </c>
      <c r="N940">
        <v>44</v>
      </c>
      <c r="O940">
        <v>72</v>
      </c>
      <c r="P940" t="s">
        <v>27</v>
      </c>
    </row>
    <row r="941" spans="1:16" x14ac:dyDescent="0.35">
      <c r="A941" t="s">
        <v>3316</v>
      </c>
      <c r="B941" t="s">
        <v>244</v>
      </c>
      <c r="C941" t="s">
        <v>90</v>
      </c>
      <c r="D941" t="s">
        <v>3317</v>
      </c>
      <c r="E941" t="s">
        <v>898</v>
      </c>
      <c r="F941">
        <v>38</v>
      </c>
      <c r="G941">
        <v>37</v>
      </c>
      <c r="H941">
        <v>27</v>
      </c>
      <c r="I941" t="s">
        <v>3490</v>
      </c>
      <c r="J941" s="8">
        <v>45457</v>
      </c>
      <c r="K941" s="8">
        <v>45570</v>
      </c>
      <c r="L941" s="8">
        <v>45487</v>
      </c>
      <c r="M941" t="s">
        <v>3318</v>
      </c>
      <c r="N941">
        <v>45</v>
      </c>
      <c r="O941">
        <v>88</v>
      </c>
      <c r="P941" t="s">
        <v>39</v>
      </c>
    </row>
    <row r="942" spans="1:16" x14ac:dyDescent="0.35">
      <c r="A942" t="s">
        <v>3319</v>
      </c>
      <c r="B942" t="s">
        <v>1193</v>
      </c>
      <c r="C942" t="s">
        <v>65</v>
      </c>
      <c r="D942" t="s">
        <v>3320</v>
      </c>
      <c r="E942" t="s">
        <v>1140</v>
      </c>
      <c r="F942">
        <v>64</v>
      </c>
      <c r="G942">
        <v>28</v>
      </c>
      <c r="H942">
        <v>35</v>
      </c>
      <c r="I942" t="s">
        <v>3484</v>
      </c>
      <c r="J942" s="8">
        <v>45601</v>
      </c>
      <c r="K942" s="8">
        <v>45603</v>
      </c>
      <c r="L942" s="8">
        <v>45349</v>
      </c>
      <c r="M942" t="s">
        <v>3321</v>
      </c>
      <c r="N942">
        <v>74</v>
      </c>
      <c r="O942">
        <v>50</v>
      </c>
      <c r="P942" t="s">
        <v>45</v>
      </c>
    </row>
    <row r="943" spans="1:16" x14ac:dyDescent="0.35">
      <c r="A943" t="s">
        <v>3322</v>
      </c>
      <c r="B943" t="s">
        <v>41</v>
      </c>
      <c r="C943" t="s">
        <v>23</v>
      </c>
      <c r="D943" t="s">
        <v>3323</v>
      </c>
      <c r="E943" t="s">
        <v>1444</v>
      </c>
      <c r="F943">
        <v>39</v>
      </c>
      <c r="G943">
        <v>2</v>
      </c>
      <c r="H943">
        <v>71</v>
      </c>
      <c r="I943" t="s">
        <v>3553</v>
      </c>
      <c r="J943" s="8">
        <v>45411</v>
      </c>
      <c r="K943" s="8">
        <v>45369</v>
      </c>
      <c r="L943" s="8">
        <v>45403</v>
      </c>
      <c r="M943" t="s">
        <v>3324</v>
      </c>
      <c r="N943">
        <v>20</v>
      </c>
      <c r="O943">
        <v>70</v>
      </c>
      <c r="P943" t="s">
        <v>39</v>
      </c>
    </row>
    <row r="944" spans="1:16" x14ac:dyDescent="0.35">
      <c r="A944" t="s">
        <v>3325</v>
      </c>
      <c r="B944" t="s">
        <v>283</v>
      </c>
      <c r="C944" t="s">
        <v>90</v>
      </c>
      <c r="D944" t="s">
        <v>3326</v>
      </c>
      <c r="E944" t="s">
        <v>2848</v>
      </c>
      <c r="F944">
        <v>42</v>
      </c>
      <c r="G944">
        <v>88</v>
      </c>
      <c r="H944">
        <v>95</v>
      </c>
      <c r="I944" t="s">
        <v>3480</v>
      </c>
      <c r="J944" s="8">
        <v>45379</v>
      </c>
      <c r="K944" s="8">
        <v>45685</v>
      </c>
      <c r="L944" s="8">
        <v>45406</v>
      </c>
      <c r="M944" t="s">
        <v>3327</v>
      </c>
      <c r="N944">
        <v>67</v>
      </c>
      <c r="O944">
        <v>94</v>
      </c>
      <c r="P944" t="s">
        <v>39</v>
      </c>
    </row>
    <row r="945" spans="1:16" x14ac:dyDescent="0.35">
      <c r="A945" t="s">
        <v>3328</v>
      </c>
      <c r="B945" t="s">
        <v>84</v>
      </c>
      <c r="C945" t="s">
        <v>23</v>
      </c>
      <c r="D945" t="s">
        <v>3329</v>
      </c>
      <c r="E945" t="s">
        <v>754</v>
      </c>
      <c r="F945">
        <v>29</v>
      </c>
      <c r="G945">
        <v>54</v>
      </c>
      <c r="H945">
        <v>54</v>
      </c>
      <c r="I945" t="s">
        <v>3484</v>
      </c>
      <c r="J945" s="8">
        <v>45592</v>
      </c>
      <c r="K945" s="8">
        <v>45712</v>
      </c>
      <c r="L945" s="8">
        <v>45651</v>
      </c>
      <c r="M945" t="s">
        <v>3330</v>
      </c>
      <c r="N945">
        <v>58</v>
      </c>
      <c r="O945">
        <v>63</v>
      </c>
      <c r="P945" t="s">
        <v>39</v>
      </c>
    </row>
    <row r="946" spans="1:16" x14ac:dyDescent="0.35">
      <c r="A946" t="s">
        <v>3331</v>
      </c>
      <c r="B946" t="s">
        <v>177</v>
      </c>
      <c r="C946" t="s">
        <v>48</v>
      </c>
      <c r="D946" t="s">
        <v>3332</v>
      </c>
      <c r="E946" t="s">
        <v>619</v>
      </c>
      <c r="F946">
        <v>60</v>
      </c>
      <c r="G946">
        <v>63</v>
      </c>
      <c r="H946">
        <v>81</v>
      </c>
      <c r="I946" t="s">
        <v>3500</v>
      </c>
      <c r="J946" s="8">
        <v>45683</v>
      </c>
      <c r="K946" s="8">
        <v>45568</v>
      </c>
      <c r="L946" s="8">
        <v>45413</v>
      </c>
      <c r="M946" t="s">
        <v>3333</v>
      </c>
      <c r="N946">
        <v>74</v>
      </c>
      <c r="O946">
        <v>31</v>
      </c>
      <c r="P946" t="s">
        <v>45</v>
      </c>
    </row>
    <row r="947" spans="1:16" x14ac:dyDescent="0.35">
      <c r="A947" t="s">
        <v>3334</v>
      </c>
      <c r="B947" t="s">
        <v>148</v>
      </c>
      <c r="C947" t="s">
        <v>65</v>
      </c>
      <c r="D947" t="s">
        <v>3335</v>
      </c>
      <c r="E947" t="s">
        <v>908</v>
      </c>
      <c r="F947">
        <v>65</v>
      </c>
      <c r="G947">
        <v>54</v>
      </c>
      <c r="H947">
        <v>29</v>
      </c>
      <c r="I947" t="s">
        <v>3487</v>
      </c>
      <c r="J947" s="8">
        <v>45626</v>
      </c>
      <c r="K947" s="8">
        <v>45625</v>
      </c>
      <c r="L947" s="8">
        <v>45394</v>
      </c>
      <c r="M947" t="s">
        <v>3336</v>
      </c>
      <c r="N947">
        <v>69</v>
      </c>
      <c r="O947">
        <v>79</v>
      </c>
      <c r="P947" t="s">
        <v>39</v>
      </c>
    </row>
    <row r="948" spans="1:16" x14ac:dyDescent="0.35">
      <c r="A948" t="s">
        <v>3337</v>
      </c>
      <c r="B948" t="s">
        <v>369</v>
      </c>
      <c r="C948" t="s">
        <v>48</v>
      </c>
      <c r="D948" t="s">
        <v>3338</v>
      </c>
      <c r="E948" t="s">
        <v>3339</v>
      </c>
      <c r="F948">
        <v>89</v>
      </c>
      <c r="G948">
        <v>96</v>
      </c>
      <c r="H948">
        <v>94</v>
      </c>
      <c r="I948" t="s">
        <v>3474</v>
      </c>
      <c r="J948" s="8">
        <v>45453</v>
      </c>
      <c r="K948" s="8">
        <v>45663</v>
      </c>
      <c r="L948" s="8">
        <v>45554</v>
      </c>
      <c r="M948" t="s">
        <v>3340</v>
      </c>
      <c r="N948">
        <v>38</v>
      </c>
      <c r="O948">
        <v>96</v>
      </c>
      <c r="P948" t="s">
        <v>27</v>
      </c>
    </row>
    <row r="949" spans="1:16" x14ac:dyDescent="0.35">
      <c r="A949" t="s">
        <v>3341</v>
      </c>
      <c r="B949" t="s">
        <v>58</v>
      </c>
      <c r="C949" t="s">
        <v>59</v>
      </c>
      <c r="D949" t="s">
        <v>3342</v>
      </c>
      <c r="E949" t="s">
        <v>639</v>
      </c>
      <c r="F949">
        <v>50</v>
      </c>
      <c r="G949">
        <v>40</v>
      </c>
      <c r="H949">
        <v>69</v>
      </c>
      <c r="I949" t="s">
        <v>3480</v>
      </c>
      <c r="J949" s="8">
        <v>45473</v>
      </c>
      <c r="K949" s="8">
        <v>45382</v>
      </c>
      <c r="L949" s="8">
        <v>45530</v>
      </c>
      <c r="M949" t="s">
        <v>3343</v>
      </c>
      <c r="N949">
        <v>28</v>
      </c>
      <c r="O949">
        <v>98</v>
      </c>
      <c r="P949" t="s">
        <v>45</v>
      </c>
    </row>
    <row r="950" spans="1:16" x14ac:dyDescent="0.35">
      <c r="A950" t="s">
        <v>3344</v>
      </c>
      <c r="B950" t="s">
        <v>369</v>
      </c>
      <c r="C950" t="s">
        <v>48</v>
      </c>
      <c r="D950" t="s">
        <v>3345</v>
      </c>
      <c r="E950" t="s">
        <v>478</v>
      </c>
      <c r="F950">
        <v>94</v>
      </c>
      <c r="G950">
        <v>18</v>
      </c>
      <c r="H950">
        <v>84</v>
      </c>
      <c r="I950" t="s">
        <v>3474</v>
      </c>
      <c r="J950" s="8">
        <v>45661</v>
      </c>
      <c r="K950" s="8">
        <v>45580</v>
      </c>
      <c r="L950" s="8">
        <v>45552</v>
      </c>
      <c r="M950" t="s">
        <v>3346</v>
      </c>
      <c r="N950">
        <v>44</v>
      </c>
      <c r="O950">
        <v>49</v>
      </c>
      <c r="P950" t="s">
        <v>27</v>
      </c>
    </row>
    <row r="951" spans="1:16" x14ac:dyDescent="0.35">
      <c r="A951" t="s">
        <v>3347</v>
      </c>
      <c r="B951" t="s">
        <v>600</v>
      </c>
      <c r="C951" t="s">
        <v>59</v>
      </c>
      <c r="D951" t="s">
        <v>3348</v>
      </c>
      <c r="E951" t="s">
        <v>2354</v>
      </c>
      <c r="F951">
        <v>97</v>
      </c>
      <c r="G951">
        <v>32</v>
      </c>
      <c r="H951">
        <v>43</v>
      </c>
      <c r="I951" t="s">
        <v>3494</v>
      </c>
      <c r="J951" s="8">
        <v>45571</v>
      </c>
      <c r="K951" s="8">
        <v>45415</v>
      </c>
      <c r="L951" s="8">
        <v>45442</v>
      </c>
      <c r="M951" t="s">
        <v>3349</v>
      </c>
      <c r="N951">
        <v>82</v>
      </c>
      <c r="O951">
        <v>98</v>
      </c>
      <c r="P951" t="s">
        <v>45</v>
      </c>
    </row>
    <row r="952" spans="1:16" x14ac:dyDescent="0.35">
      <c r="A952" t="s">
        <v>3350</v>
      </c>
      <c r="B952" t="s">
        <v>984</v>
      </c>
      <c r="C952" t="s">
        <v>90</v>
      </c>
      <c r="D952" t="s">
        <v>3351</v>
      </c>
      <c r="E952" t="s">
        <v>2200</v>
      </c>
      <c r="F952">
        <v>72</v>
      </c>
      <c r="G952">
        <v>78</v>
      </c>
      <c r="H952">
        <v>1</v>
      </c>
      <c r="I952" t="s">
        <v>3478</v>
      </c>
      <c r="J952" s="8">
        <v>45606</v>
      </c>
      <c r="K952" s="8">
        <v>45379</v>
      </c>
      <c r="L952" s="8">
        <v>45660</v>
      </c>
      <c r="M952" t="s">
        <v>3352</v>
      </c>
      <c r="N952">
        <v>85</v>
      </c>
      <c r="O952">
        <v>30</v>
      </c>
      <c r="P952" t="s">
        <v>27</v>
      </c>
    </row>
    <row r="953" spans="1:16" x14ac:dyDescent="0.35">
      <c r="A953" t="s">
        <v>3353</v>
      </c>
      <c r="B953" t="s">
        <v>408</v>
      </c>
      <c r="C953" t="s">
        <v>65</v>
      </c>
      <c r="D953" t="s">
        <v>3354</v>
      </c>
      <c r="E953" t="s">
        <v>3355</v>
      </c>
      <c r="F953">
        <v>62</v>
      </c>
      <c r="G953">
        <v>91</v>
      </c>
      <c r="H953">
        <v>14</v>
      </c>
      <c r="I953" t="s">
        <v>3480</v>
      </c>
      <c r="J953" s="8">
        <v>45556</v>
      </c>
      <c r="K953" s="8">
        <v>45443</v>
      </c>
      <c r="L953" s="8">
        <v>45634</v>
      </c>
      <c r="M953" t="s">
        <v>3356</v>
      </c>
      <c r="N953">
        <v>41</v>
      </c>
      <c r="O953">
        <v>77</v>
      </c>
      <c r="P953" t="s">
        <v>27</v>
      </c>
    </row>
    <row r="954" spans="1:16" x14ac:dyDescent="0.35">
      <c r="A954" t="s">
        <v>3357</v>
      </c>
      <c r="B954" t="s">
        <v>1235</v>
      </c>
      <c r="C954" t="s">
        <v>48</v>
      </c>
      <c r="D954" t="s">
        <v>3358</v>
      </c>
      <c r="E954" t="s">
        <v>1312</v>
      </c>
      <c r="F954">
        <v>44</v>
      </c>
      <c r="G954">
        <v>92</v>
      </c>
      <c r="H954">
        <v>92</v>
      </c>
      <c r="I954" t="s">
        <v>3490</v>
      </c>
      <c r="J954" s="8">
        <v>45359</v>
      </c>
      <c r="K954" s="8">
        <v>45668</v>
      </c>
      <c r="L954" s="8">
        <v>45560</v>
      </c>
      <c r="M954" t="s">
        <v>3359</v>
      </c>
      <c r="N954">
        <v>41</v>
      </c>
      <c r="O954">
        <v>61</v>
      </c>
      <c r="P954" t="s">
        <v>45</v>
      </c>
    </row>
    <row r="955" spans="1:16" x14ac:dyDescent="0.35">
      <c r="A955" t="s">
        <v>3360</v>
      </c>
      <c r="B955" t="s">
        <v>436</v>
      </c>
      <c r="C955" t="s">
        <v>59</v>
      </c>
      <c r="D955" t="s">
        <v>3361</v>
      </c>
      <c r="E955" t="s">
        <v>929</v>
      </c>
      <c r="F955">
        <v>21</v>
      </c>
      <c r="G955">
        <v>25</v>
      </c>
      <c r="H955">
        <v>39</v>
      </c>
      <c r="I955" t="s">
        <v>3478</v>
      </c>
      <c r="J955" s="8">
        <v>45503</v>
      </c>
      <c r="K955" s="8">
        <v>45545</v>
      </c>
      <c r="L955" s="8">
        <v>45351</v>
      </c>
      <c r="M955" t="s">
        <v>3362</v>
      </c>
      <c r="N955">
        <v>79</v>
      </c>
      <c r="O955">
        <v>30</v>
      </c>
      <c r="P955" t="s">
        <v>45</v>
      </c>
    </row>
    <row r="956" spans="1:16" x14ac:dyDescent="0.35">
      <c r="A956" t="s">
        <v>3363</v>
      </c>
      <c r="B956" t="s">
        <v>1265</v>
      </c>
      <c r="C956" t="s">
        <v>23</v>
      </c>
      <c r="D956" t="s">
        <v>3364</v>
      </c>
      <c r="E956" t="s">
        <v>849</v>
      </c>
      <c r="F956">
        <v>91</v>
      </c>
      <c r="G956">
        <v>39</v>
      </c>
      <c r="H956">
        <v>48</v>
      </c>
      <c r="I956" t="s">
        <v>3489</v>
      </c>
      <c r="J956" s="8">
        <v>45382</v>
      </c>
      <c r="K956" s="8">
        <v>45647</v>
      </c>
      <c r="L956" s="8">
        <v>45612</v>
      </c>
      <c r="M956" t="s">
        <v>3365</v>
      </c>
      <c r="N956">
        <v>48</v>
      </c>
      <c r="O956">
        <v>18</v>
      </c>
      <c r="P956" t="s">
        <v>45</v>
      </c>
    </row>
    <row r="957" spans="1:16" x14ac:dyDescent="0.35">
      <c r="A957" t="s">
        <v>3366</v>
      </c>
      <c r="B957" t="s">
        <v>625</v>
      </c>
      <c r="C957" t="s">
        <v>133</v>
      </c>
      <c r="D957" t="s">
        <v>3367</v>
      </c>
      <c r="E957" t="s">
        <v>1455</v>
      </c>
      <c r="F957">
        <v>87</v>
      </c>
      <c r="G957">
        <v>24</v>
      </c>
      <c r="H957">
        <v>66</v>
      </c>
      <c r="I957" t="s">
        <v>3513</v>
      </c>
      <c r="J957" s="8">
        <v>45432</v>
      </c>
      <c r="K957" s="8">
        <v>45620</v>
      </c>
      <c r="L957" s="8">
        <v>45416</v>
      </c>
      <c r="M957" t="s">
        <v>3368</v>
      </c>
      <c r="N957">
        <v>22</v>
      </c>
      <c r="O957">
        <v>34</v>
      </c>
      <c r="P957" t="s">
        <v>45</v>
      </c>
    </row>
    <row r="958" spans="1:16" x14ac:dyDescent="0.35">
      <c r="A958" t="s">
        <v>3369</v>
      </c>
      <c r="B958" t="s">
        <v>127</v>
      </c>
      <c r="C958" t="s">
        <v>48</v>
      </c>
      <c r="D958" t="s">
        <v>3370</v>
      </c>
      <c r="E958" t="s">
        <v>1790</v>
      </c>
      <c r="F958">
        <v>61</v>
      </c>
      <c r="G958">
        <v>17</v>
      </c>
      <c r="H958">
        <v>69</v>
      </c>
      <c r="I958" t="s">
        <v>3585</v>
      </c>
      <c r="J958" s="8">
        <v>45434</v>
      </c>
      <c r="K958" s="8">
        <v>45419</v>
      </c>
      <c r="L958" s="8">
        <v>45460</v>
      </c>
      <c r="M958" t="s">
        <v>3371</v>
      </c>
      <c r="N958">
        <v>31</v>
      </c>
      <c r="O958">
        <v>29</v>
      </c>
      <c r="P958" t="s">
        <v>45</v>
      </c>
    </row>
    <row r="959" spans="1:16" x14ac:dyDescent="0.35">
      <c r="A959" t="s">
        <v>3372</v>
      </c>
      <c r="B959" t="s">
        <v>312</v>
      </c>
      <c r="C959" t="s">
        <v>48</v>
      </c>
      <c r="D959" t="s">
        <v>3373</v>
      </c>
      <c r="E959" t="s">
        <v>584</v>
      </c>
      <c r="F959">
        <v>61</v>
      </c>
      <c r="G959">
        <v>81</v>
      </c>
      <c r="H959">
        <v>99</v>
      </c>
      <c r="I959" t="s">
        <v>3477</v>
      </c>
      <c r="J959" s="8">
        <v>45592</v>
      </c>
      <c r="K959" s="8">
        <v>45364</v>
      </c>
      <c r="L959" s="8">
        <v>45406</v>
      </c>
      <c r="M959" t="s">
        <v>3374</v>
      </c>
      <c r="N959">
        <v>26</v>
      </c>
      <c r="O959">
        <v>76</v>
      </c>
      <c r="P959" t="s">
        <v>27</v>
      </c>
    </row>
    <row r="960" spans="1:16" x14ac:dyDescent="0.35">
      <c r="A960" t="s">
        <v>3375</v>
      </c>
      <c r="B960" t="s">
        <v>1532</v>
      </c>
      <c r="C960" t="s">
        <v>48</v>
      </c>
      <c r="D960" t="s">
        <v>3376</v>
      </c>
      <c r="E960" t="s">
        <v>2174</v>
      </c>
      <c r="F960">
        <v>49</v>
      </c>
      <c r="G960">
        <v>1</v>
      </c>
      <c r="H960">
        <v>28</v>
      </c>
      <c r="I960" t="s">
        <v>3484</v>
      </c>
      <c r="J960" s="8">
        <v>45627</v>
      </c>
      <c r="K960" s="8">
        <v>45649</v>
      </c>
      <c r="L960" s="8">
        <v>45614</v>
      </c>
      <c r="M960" t="s">
        <v>3377</v>
      </c>
      <c r="N960">
        <v>97</v>
      </c>
      <c r="O960">
        <v>95</v>
      </c>
      <c r="P960" t="s">
        <v>45</v>
      </c>
    </row>
    <row r="961" spans="1:16" x14ac:dyDescent="0.35">
      <c r="A961" t="s">
        <v>3378</v>
      </c>
      <c r="B961" t="s">
        <v>230</v>
      </c>
      <c r="C961" t="s">
        <v>48</v>
      </c>
      <c r="D961" t="s">
        <v>3379</v>
      </c>
      <c r="E961" t="s">
        <v>2390</v>
      </c>
      <c r="F961">
        <v>87</v>
      </c>
      <c r="G961">
        <v>1</v>
      </c>
      <c r="H961">
        <v>98</v>
      </c>
      <c r="I961" t="s">
        <v>3480</v>
      </c>
      <c r="J961" s="8">
        <v>45389</v>
      </c>
      <c r="K961" s="8">
        <v>45572</v>
      </c>
      <c r="L961" s="8">
        <v>45492</v>
      </c>
      <c r="M961" t="s">
        <v>3380</v>
      </c>
      <c r="N961">
        <v>61</v>
      </c>
      <c r="O961">
        <v>84</v>
      </c>
      <c r="P961" t="s">
        <v>27</v>
      </c>
    </row>
    <row r="962" spans="1:16" x14ac:dyDescent="0.35">
      <c r="A962" t="s">
        <v>3381</v>
      </c>
      <c r="B962" t="s">
        <v>244</v>
      </c>
      <c r="C962" t="s">
        <v>90</v>
      </c>
      <c r="D962" t="s">
        <v>3382</v>
      </c>
      <c r="E962" t="s">
        <v>272</v>
      </c>
      <c r="F962">
        <v>93</v>
      </c>
      <c r="G962">
        <v>55</v>
      </c>
      <c r="H962">
        <v>95</v>
      </c>
      <c r="I962" t="s">
        <v>3581</v>
      </c>
      <c r="J962" s="8">
        <v>45699</v>
      </c>
      <c r="K962" s="8">
        <v>45356</v>
      </c>
      <c r="L962" s="8">
        <v>45645</v>
      </c>
      <c r="M962" t="s">
        <v>3383</v>
      </c>
      <c r="N962">
        <v>56</v>
      </c>
      <c r="O962">
        <v>72</v>
      </c>
      <c r="P962" t="s">
        <v>39</v>
      </c>
    </row>
    <row r="963" spans="1:16" x14ac:dyDescent="0.35">
      <c r="A963" t="s">
        <v>3384</v>
      </c>
      <c r="B963" t="s">
        <v>829</v>
      </c>
      <c r="C963" t="s">
        <v>23</v>
      </c>
      <c r="D963" t="s">
        <v>3385</v>
      </c>
      <c r="E963" t="s">
        <v>663</v>
      </c>
      <c r="F963">
        <v>55</v>
      </c>
      <c r="G963">
        <v>13</v>
      </c>
      <c r="H963">
        <v>71</v>
      </c>
      <c r="I963" t="s">
        <v>3498</v>
      </c>
      <c r="J963" s="8">
        <v>45408</v>
      </c>
      <c r="K963" s="8">
        <v>45587</v>
      </c>
      <c r="L963" s="8">
        <v>45396</v>
      </c>
      <c r="M963" t="s">
        <v>3386</v>
      </c>
      <c r="N963">
        <v>37</v>
      </c>
      <c r="O963">
        <v>4</v>
      </c>
      <c r="P963" t="s">
        <v>39</v>
      </c>
    </row>
    <row r="964" spans="1:16" x14ac:dyDescent="0.35">
      <c r="A964" t="s">
        <v>3387</v>
      </c>
      <c r="B964" t="s">
        <v>646</v>
      </c>
      <c r="C964" t="s">
        <v>65</v>
      </c>
      <c r="D964" t="s">
        <v>3388</v>
      </c>
      <c r="E964" t="s">
        <v>2465</v>
      </c>
      <c r="F964">
        <v>29</v>
      </c>
      <c r="G964">
        <v>39</v>
      </c>
      <c r="H964">
        <v>80</v>
      </c>
      <c r="I964" t="s">
        <v>3478</v>
      </c>
      <c r="J964" s="8">
        <v>45441</v>
      </c>
      <c r="K964" s="8">
        <v>45599</v>
      </c>
      <c r="L964" s="8">
        <v>45388</v>
      </c>
      <c r="M964" t="s">
        <v>3389</v>
      </c>
      <c r="N964">
        <v>23</v>
      </c>
      <c r="O964">
        <v>85</v>
      </c>
      <c r="P964" t="s">
        <v>39</v>
      </c>
    </row>
    <row r="965" spans="1:16" x14ac:dyDescent="0.35">
      <c r="A965" t="s">
        <v>3390</v>
      </c>
      <c r="B965" t="s">
        <v>2289</v>
      </c>
      <c r="C965" t="s">
        <v>65</v>
      </c>
      <c r="D965" t="s">
        <v>3391</v>
      </c>
      <c r="E965" t="s">
        <v>101</v>
      </c>
      <c r="F965">
        <v>63</v>
      </c>
      <c r="G965">
        <v>62</v>
      </c>
      <c r="H965">
        <v>18</v>
      </c>
      <c r="I965" t="s">
        <v>3562</v>
      </c>
      <c r="J965" s="8">
        <v>45399</v>
      </c>
      <c r="K965" s="8">
        <v>45384</v>
      </c>
      <c r="L965" s="8">
        <v>45601</v>
      </c>
      <c r="M965" t="s">
        <v>3392</v>
      </c>
      <c r="N965">
        <v>67</v>
      </c>
      <c r="O965">
        <v>17</v>
      </c>
      <c r="P965" t="s">
        <v>45</v>
      </c>
    </row>
    <row r="966" spans="1:16" x14ac:dyDescent="0.35">
      <c r="A966" t="s">
        <v>3393</v>
      </c>
      <c r="B966" t="s">
        <v>390</v>
      </c>
      <c r="C966" t="s">
        <v>48</v>
      </c>
      <c r="D966" t="s">
        <v>3394</v>
      </c>
      <c r="E966" t="s">
        <v>2043</v>
      </c>
      <c r="F966">
        <v>42</v>
      </c>
      <c r="G966">
        <v>69</v>
      </c>
      <c r="H966">
        <v>54</v>
      </c>
      <c r="I966" t="s">
        <v>3501</v>
      </c>
      <c r="J966" s="8">
        <v>45676</v>
      </c>
      <c r="K966" s="8">
        <v>45357</v>
      </c>
      <c r="L966" s="8">
        <v>45352</v>
      </c>
      <c r="M966" t="s">
        <v>3395</v>
      </c>
      <c r="N966">
        <v>43</v>
      </c>
      <c r="O966">
        <v>96</v>
      </c>
      <c r="P966" t="s">
        <v>45</v>
      </c>
    </row>
    <row r="967" spans="1:16" x14ac:dyDescent="0.35">
      <c r="A967" t="s">
        <v>3396</v>
      </c>
      <c r="B967" t="s">
        <v>202</v>
      </c>
      <c r="C967" t="s">
        <v>48</v>
      </c>
      <c r="D967" t="s">
        <v>3397</v>
      </c>
      <c r="E967" t="s">
        <v>3064</v>
      </c>
      <c r="F967">
        <v>74</v>
      </c>
      <c r="G967">
        <v>4</v>
      </c>
      <c r="H967">
        <v>39</v>
      </c>
      <c r="I967" t="s">
        <v>3484</v>
      </c>
      <c r="J967" s="8">
        <v>45652</v>
      </c>
      <c r="K967" s="8">
        <v>45387</v>
      </c>
      <c r="L967" s="8">
        <v>45511</v>
      </c>
      <c r="M967" t="s">
        <v>3398</v>
      </c>
      <c r="N967">
        <v>97</v>
      </c>
      <c r="O967">
        <v>24</v>
      </c>
      <c r="P967" t="s">
        <v>39</v>
      </c>
    </row>
    <row r="968" spans="1:16" x14ac:dyDescent="0.35">
      <c r="A968" t="s">
        <v>3399</v>
      </c>
      <c r="B968" t="s">
        <v>220</v>
      </c>
      <c r="C968" t="s">
        <v>23</v>
      </c>
      <c r="D968" t="s">
        <v>3400</v>
      </c>
      <c r="E968" t="s">
        <v>2255</v>
      </c>
      <c r="F968">
        <v>22</v>
      </c>
      <c r="G968">
        <v>77</v>
      </c>
      <c r="H968">
        <v>15</v>
      </c>
      <c r="I968" t="s">
        <v>3481</v>
      </c>
      <c r="J968" s="8">
        <v>45393</v>
      </c>
      <c r="K968" s="8">
        <v>45441</v>
      </c>
      <c r="L968" s="8">
        <v>45502</v>
      </c>
      <c r="M968" t="s">
        <v>3401</v>
      </c>
      <c r="N968">
        <v>68</v>
      </c>
      <c r="O968">
        <v>46</v>
      </c>
      <c r="P968" t="s">
        <v>45</v>
      </c>
    </row>
    <row r="969" spans="1:16" x14ac:dyDescent="0.35">
      <c r="A969" t="s">
        <v>3402</v>
      </c>
      <c r="B969" t="s">
        <v>2289</v>
      </c>
      <c r="C969" t="s">
        <v>65</v>
      </c>
      <c r="D969" t="s">
        <v>3403</v>
      </c>
      <c r="E969" t="s">
        <v>619</v>
      </c>
      <c r="F969">
        <v>83</v>
      </c>
      <c r="G969">
        <v>35</v>
      </c>
      <c r="H969">
        <v>43</v>
      </c>
      <c r="I969" t="s">
        <v>3562</v>
      </c>
      <c r="J969" s="8">
        <v>45518</v>
      </c>
      <c r="K969" s="8">
        <v>45530</v>
      </c>
      <c r="L969" s="8">
        <v>45541</v>
      </c>
      <c r="M969" t="s">
        <v>3404</v>
      </c>
      <c r="N969">
        <v>94</v>
      </c>
      <c r="O969">
        <v>68</v>
      </c>
      <c r="P969" t="s">
        <v>27</v>
      </c>
    </row>
    <row r="970" spans="1:16" x14ac:dyDescent="0.35">
      <c r="A970" t="s">
        <v>3405</v>
      </c>
      <c r="B970" t="s">
        <v>1469</v>
      </c>
      <c r="C970" t="s">
        <v>23</v>
      </c>
      <c r="D970" t="s">
        <v>3406</v>
      </c>
      <c r="E970" t="s">
        <v>241</v>
      </c>
      <c r="F970">
        <v>32</v>
      </c>
      <c r="G970">
        <v>91</v>
      </c>
      <c r="H970">
        <v>80</v>
      </c>
      <c r="I970" t="s">
        <v>3503</v>
      </c>
      <c r="J970" s="8">
        <v>45583</v>
      </c>
      <c r="K970" s="8">
        <v>45532</v>
      </c>
      <c r="L970" s="8">
        <v>45673</v>
      </c>
      <c r="M970" t="s">
        <v>3407</v>
      </c>
      <c r="N970">
        <v>69</v>
      </c>
      <c r="O970">
        <v>80</v>
      </c>
      <c r="P970" t="s">
        <v>27</v>
      </c>
    </row>
    <row r="971" spans="1:16" x14ac:dyDescent="0.35">
      <c r="A971" t="s">
        <v>3408</v>
      </c>
      <c r="B971" t="s">
        <v>1235</v>
      </c>
      <c r="C971" t="s">
        <v>48</v>
      </c>
      <c r="D971" t="s">
        <v>3409</v>
      </c>
      <c r="E971" t="s">
        <v>2651</v>
      </c>
      <c r="F971">
        <v>84</v>
      </c>
      <c r="G971">
        <v>46</v>
      </c>
      <c r="H971">
        <v>80</v>
      </c>
      <c r="I971" t="s">
        <v>3490</v>
      </c>
      <c r="J971" s="8">
        <v>45430</v>
      </c>
      <c r="K971" s="8">
        <v>45567</v>
      </c>
      <c r="L971" s="8">
        <v>45650</v>
      </c>
      <c r="M971" t="s">
        <v>3410</v>
      </c>
      <c r="N971">
        <v>66</v>
      </c>
      <c r="O971">
        <v>84</v>
      </c>
      <c r="P971" t="s">
        <v>27</v>
      </c>
    </row>
    <row r="972" spans="1:16" x14ac:dyDescent="0.35">
      <c r="A972" t="s">
        <v>3411</v>
      </c>
      <c r="B972" t="s">
        <v>47</v>
      </c>
      <c r="C972" t="s">
        <v>48</v>
      </c>
      <c r="D972" t="s">
        <v>3412</v>
      </c>
      <c r="E972" t="s">
        <v>1455</v>
      </c>
      <c r="F972">
        <v>22</v>
      </c>
      <c r="G972">
        <v>56</v>
      </c>
      <c r="H972">
        <v>72</v>
      </c>
      <c r="I972" t="s">
        <v>3478</v>
      </c>
      <c r="J972" s="8">
        <v>45391</v>
      </c>
      <c r="K972" s="8">
        <v>45451</v>
      </c>
      <c r="L972" s="8">
        <v>45629</v>
      </c>
      <c r="M972" t="s">
        <v>3413</v>
      </c>
      <c r="N972">
        <v>70</v>
      </c>
      <c r="O972">
        <v>39</v>
      </c>
      <c r="P972" t="s">
        <v>27</v>
      </c>
    </row>
    <row r="973" spans="1:16" x14ac:dyDescent="0.35">
      <c r="A973" t="s">
        <v>3414</v>
      </c>
      <c r="B973" t="s">
        <v>403</v>
      </c>
      <c r="C973" t="s">
        <v>48</v>
      </c>
      <c r="D973" t="s">
        <v>3415</v>
      </c>
      <c r="E973" t="s">
        <v>1790</v>
      </c>
      <c r="F973">
        <v>100</v>
      </c>
      <c r="G973">
        <v>52</v>
      </c>
      <c r="H973">
        <v>2</v>
      </c>
      <c r="I973" t="s">
        <v>3481</v>
      </c>
      <c r="J973" s="8">
        <v>45359</v>
      </c>
      <c r="K973" s="8">
        <v>45625</v>
      </c>
      <c r="L973" s="8">
        <v>45582</v>
      </c>
      <c r="M973" t="s">
        <v>3416</v>
      </c>
      <c r="N973">
        <v>86</v>
      </c>
      <c r="O973">
        <v>70</v>
      </c>
      <c r="P973" t="s">
        <v>39</v>
      </c>
    </row>
    <row r="974" spans="1:16" x14ac:dyDescent="0.35">
      <c r="A974" t="s">
        <v>3417</v>
      </c>
      <c r="B974" t="s">
        <v>720</v>
      </c>
      <c r="C974" t="s">
        <v>65</v>
      </c>
      <c r="D974" t="s">
        <v>3418</v>
      </c>
      <c r="E974" t="s">
        <v>2565</v>
      </c>
      <c r="F974">
        <v>36</v>
      </c>
      <c r="G974">
        <v>77</v>
      </c>
      <c r="H974">
        <v>49</v>
      </c>
      <c r="I974" t="s">
        <v>3492</v>
      </c>
      <c r="J974" s="8">
        <v>45392</v>
      </c>
      <c r="K974" s="8">
        <v>45589</v>
      </c>
      <c r="L974" s="8">
        <v>45697</v>
      </c>
      <c r="M974" t="s">
        <v>3419</v>
      </c>
      <c r="N974">
        <v>30</v>
      </c>
      <c r="O974">
        <v>84</v>
      </c>
      <c r="P974" t="s">
        <v>45</v>
      </c>
    </row>
    <row r="975" spans="1:16" x14ac:dyDescent="0.35">
      <c r="A975" t="s">
        <v>3420</v>
      </c>
      <c r="B975" t="s">
        <v>1167</v>
      </c>
      <c r="C975" t="s">
        <v>133</v>
      </c>
      <c r="D975" t="s">
        <v>3421</v>
      </c>
      <c r="E975" t="s">
        <v>915</v>
      </c>
      <c r="F975">
        <v>14</v>
      </c>
      <c r="G975">
        <v>67</v>
      </c>
      <c r="H975">
        <v>65</v>
      </c>
      <c r="I975" t="s">
        <v>3475</v>
      </c>
      <c r="J975" s="8">
        <v>45365</v>
      </c>
      <c r="K975" s="8">
        <v>45584</v>
      </c>
      <c r="L975" s="8">
        <v>45584</v>
      </c>
      <c r="M975" t="s">
        <v>3422</v>
      </c>
      <c r="N975">
        <v>71</v>
      </c>
      <c r="O975">
        <v>94</v>
      </c>
      <c r="P975" t="s">
        <v>27</v>
      </c>
    </row>
    <row r="976" spans="1:16" x14ac:dyDescent="0.35">
      <c r="A976" t="s">
        <v>3423</v>
      </c>
      <c r="B976" t="s">
        <v>84</v>
      </c>
      <c r="C976" t="s">
        <v>23</v>
      </c>
      <c r="D976" t="s">
        <v>3424</v>
      </c>
      <c r="E976" t="s">
        <v>2758</v>
      </c>
      <c r="F976">
        <v>38</v>
      </c>
      <c r="G976">
        <v>82</v>
      </c>
      <c r="H976">
        <v>17</v>
      </c>
      <c r="I976" t="s">
        <v>3484</v>
      </c>
      <c r="J976" s="8">
        <v>45655</v>
      </c>
      <c r="K976" s="8">
        <v>45372</v>
      </c>
      <c r="L976" s="8">
        <v>45510</v>
      </c>
      <c r="M976" t="s">
        <v>3425</v>
      </c>
      <c r="N976">
        <v>52</v>
      </c>
      <c r="O976">
        <v>47</v>
      </c>
      <c r="P976" t="s">
        <v>27</v>
      </c>
    </row>
    <row r="977" spans="1:16" x14ac:dyDescent="0.35">
      <c r="A977" t="s">
        <v>3426</v>
      </c>
      <c r="B977" t="s">
        <v>355</v>
      </c>
      <c r="C977" t="s">
        <v>48</v>
      </c>
      <c r="D977" t="s">
        <v>3427</v>
      </c>
      <c r="E977" t="s">
        <v>361</v>
      </c>
      <c r="F977">
        <v>97</v>
      </c>
      <c r="G977">
        <v>52</v>
      </c>
      <c r="H977">
        <v>80</v>
      </c>
      <c r="I977" t="s">
        <v>3481</v>
      </c>
      <c r="J977" s="8">
        <v>45676</v>
      </c>
      <c r="K977" s="8">
        <v>45490</v>
      </c>
      <c r="L977" s="8">
        <v>45578</v>
      </c>
      <c r="M977" t="s">
        <v>3428</v>
      </c>
      <c r="N977">
        <v>22</v>
      </c>
      <c r="O977">
        <v>90</v>
      </c>
      <c r="P977" t="s">
        <v>39</v>
      </c>
    </row>
    <row r="978" spans="1:16" x14ac:dyDescent="0.35">
      <c r="A978" t="s">
        <v>3429</v>
      </c>
      <c r="B978" t="s">
        <v>673</v>
      </c>
      <c r="C978" t="s">
        <v>30</v>
      </c>
      <c r="D978" t="s">
        <v>3430</v>
      </c>
      <c r="E978" t="s">
        <v>1000</v>
      </c>
      <c r="F978">
        <v>64</v>
      </c>
      <c r="G978">
        <v>66</v>
      </c>
      <c r="H978">
        <v>28</v>
      </c>
      <c r="I978" t="s">
        <v>3486</v>
      </c>
      <c r="J978" s="8">
        <v>45440</v>
      </c>
      <c r="K978" s="8">
        <v>45671</v>
      </c>
      <c r="L978" s="8">
        <v>45523</v>
      </c>
      <c r="M978" t="s">
        <v>3431</v>
      </c>
      <c r="N978">
        <v>25</v>
      </c>
      <c r="O978">
        <v>52</v>
      </c>
      <c r="P978" t="s">
        <v>27</v>
      </c>
    </row>
    <row r="979" spans="1:16" x14ac:dyDescent="0.35">
      <c r="A979" t="s">
        <v>3432</v>
      </c>
      <c r="B979" t="s">
        <v>882</v>
      </c>
      <c r="C979" t="s">
        <v>48</v>
      </c>
      <c r="D979" t="s">
        <v>3433</v>
      </c>
      <c r="E979" t="s">
        <v>1440</v>
      </c>
      <c r="F979">
        <v>14</v>
      </c>
      <c r="G979">
        <v>75</v>
      </c>
      <c r="H979">
        <v>19</v>
      </c>
      <c r="I979" t="s">
        <v>3541</v>
      </c>
      <c r="J979" s="8">
        <v>45650</v>
      </c>
      <c r="K979" s="8">
        <v>45423</v>
      </c>
      <c r="L979" s="8">
        <v>45355</v>
      </c>
      <c r="M979" t="s">
        <v>3434</v>
      </c>
      <c r="N979">
        <v>100</v>
      </c>
      <c r="O979">
        <v>84</v>
      </c>
      <c r="P979" t="s">
        <v>39</v>
      </c>
    </row>
    <row r="980" spans="1:16" x14ac:dyDescent="0.35">
      <c r="A980" t="s">
        <v>3435</v>
      </c>
      <c r="B980" t="s">
        <v>604</v>
      </c>
      <c r="C980" t="s">
        <v>59</v>
      </c>
      <c r="D980" t="s">
        <v>3436</v>
      </c>
      <c r="E980" t="s">
        <v>841</v>
      </c>
      <c r="F980">
        <v>24</v>
      </c>
      <c r="G980">
        <v>89</v>
      </c>
      <c r="H980">
        <v>27</v>
      </c>
      <c r="I980" t="s">
        <v>3503</v>
      </c>
      <c r="J980" s="8">
        <v>45392</v>
      </c>
      <c r="K980" s="8">
        <v>45580</v>
      </c>
      <c r="L980" s="8">
        <v>45379</v>
      </c>
      <c r="M980" t="s">
        <v>3437</v>
      </c>
      <c r="N980">
        <v>99</v>
      </c>
      <c r="O980">
        <v>1</v>
      </c>
      <c r="P980" t="s">
        <v>27</v>
      </c>
    </row>
    <row r="981" spans="1:16" x14ac:dyDescent="0.35">
      <c r="A981" t="s">
        <v>3438</v>
      </c>
      <c r="B981" t="s">
        <v>509</v>
      </c>
      <c r="C981" t="s">
        <v>133</v>
      </c>
      <c r="D981" t="s">
        <v>3439</v>
      </c>
      <c r="E981" t="s">
        <v>1049</v>
      </c>
      <c r="F981">
        <v>100</v>
      </c>
      <c r="G981">
        <v>61</v>
      </c>
      <c r="H981">
        <v>21</v>
      </c>
      <c r="I981" t="s">
        <v>3485</v>
      </c>
      <c r="J981" s="8">
        <v>45556</v>
      </c>
      <c r="K981" s="8">
        <v>45651</v>
      </c>
      <c r="L981" s="8">
        <v>45430</v>
      </c>
      <c r="M981" t="s">
        <v>3440</v>
      </c>
      <c r="N981">
        <v>85</v>
      </c>
      <c r="O981">
        <v>79</v>
      </c>
      <c r="P981" t="s">
        <v>39</v>
      </c>
    </row>
    <row r="982" spans="1:16" x14ac:dyDescent="0.35">
      <c r="A982" t="s">
        <v>3441</v>
      </c>
      <c r="B982" t="s">
        <v>468</v>
      </c>
      <c r="C982" t="s">
        <v>23</v>
      </c>
      <c r="D982" t="s">
        <v>3442</v>
      </c>
      <c r="E982" t="s">
        <v>1353</v>
      </c>
      <c r="F982">
        <v>62</v>
      </c>
      <c r="G982">
        <v>36</v>
      </c>
      <c r="H982">
        <v>96</v>
      </c>
      <c r="I982" t="s">
        <v>3504</v>
      </c>
      <c r="J982" s="8">
        <v>45385</v>
      </c>
      <c r="K982" s="8">
        <v>45392</v>
      </c>
      <c r="L982" s="8">
        <v>45439</v>
      </c>
      <c r="M982" t="s">
        <v>3443</v>
      </c>
      <c r="N982">
        <v>31</v>
      </c>
      <c r="O982">
        <v>25</v>
      </c>
      <c r="P982" t="s">
        <v>27</v>
      </c>
    </row>
    <row r="983" spans="1:16" x14ac:dyDescent="0.35">
      <c r="A983" t="s">
        <v>3444</v>
      </c>
      <c r="B983" t="s">
        <v>829</v>
      </c>
      <c r="C983" t="s">
        <v>23</v>
      </c>
      <c r="D983" t="s">
        <v>3445</v>
      </c>
      <c r="E983" t="s">
        <v>280</v>
      </c>
      <c r="F983">
        <v>71</v>
      </c>
      <c r="G983">
        <v>60</v>
      </c>
      <c r="H983">
        <v>62</v>
      </c>
      <c r="I983" t="s">
        <v>3474</v>
      </c>
      <c r="J983" s="8">
        <v>45531</v>
      </c>
      <c r="K983" s="8">
        <v>45376</v>
      </c>
      <c r="L983" s="8">
        <v>45365</v>
      </c>
      <c r="M983" t="s">
        <v>3446</v>
      </c>
      <c r="N983">
        <v>60</v>
      </c>
      <c r="O983">
        <v>63</v>
      </c>
      <c r="P983" t="s">
        <v>27</v>
      </c>
    </row>
    <row r="984" spans="1:16" x14ac:dyDescent="0.35">
      <c r="A984" t="s">
        <v>3447</v>
      </c>
      <c r="B984" t="s">
        <v>148</v>
      </c>
      <c r="C984" t="s">
        <v>65</v>
      </c>
      <c r="D984" t="s">
        <v>3448</v>
      </c>
      <c r="E984" t="s">
        <v>986</v>
      </c>
      <c r="F984">
        <v>38</v>
      </c>
      <c r="G984">
        <v>67</v>
      </c>
      <c r="H984">
        <v>66</v>
      </c>
      <c r="I984" t="s">
        <v>3487</v>
      </c>
      <c r="J984" s="8">
        <v>45383</v>
      </c>
      <c r="K984" s="8">
        <v>45647</v>
      </c>
      <c r="L984" s="8">
        <v>45390</v>
      </c>
      <c r="M984" t="s">
        <v>3449</v>
      </c>
      <c r="N984">
        <v>35</v>
      </c>
      <c r="O984">
        <v>24</v>
      </c>
      <c r="P984" t="s">
        <v>27</v>
      </c>
    </row>
    <row r="985" spans="1:16" x14ac:dyDescent="0.35">
      <c r="A985" t="s">
        <v>3450</v>
      </c>
      <c r="B985" t="s">
        <v>688</v>
      </c>
      <c r="C985" t="s">
        <v>23</v>
      </c>
      <c r="D985" t="s">
        <v>3451</v>
      </c>
      <c r="E985" t="s">
        <v>652</v>
      </c>
      <c r="F985">
        <v>88</v>
      </c>
      <c r="G985">
        <v>34</v>
      </c>
      <c r="H985">
        <v>94</v>
      </c>
      <c r="I985" t="s">
        <v>3502</v>
      </c>
      <c r="J985" s="8">
        <v>45653</v>
      </c>
      <c r="K985" s="8">
        <v>45708</v>
      </c>
      <c r="L985" s="8">
        <v>45595</v>
      </c>
      <c r="M985" t="s">
        <v>3452</v>
      </c>
      <c r="N985">
        <v>95</v>
      </c>
      <c r="O985">
        <v>63</v>
      </c>
      <c r="P985" t="s">
        <v>45</v>
      </c>
    </row>
    <row r="986" spans="1:16" x14ac:dyDescent="0.35">
      <c r="A986" t="s">
        <v>3453</v>
      </c>
      <c r="B986" t="s">
        <v>266</v>
      </c>
      <c r="C986" t="s">
        <v>90</v>
      </c>
      <c r="D986" t="s">
        <v>3454</v>
      </c>
      <c r="E986" t="s">
        <v>1316</v>
      </c>
      <c r="F986">
        <v>40</v>
      </c>
      <c r="G986">
        <v>30</v>
      </c>
      <c r="H986">
        <v>65</v>
      </c>
      <c r="I986" t="s">
        <v>3474</v>
      </c>
      <c r="J986" s="8">
        <v>45475</v>
      </c>
      <c r="K986" s="8">
        <v>45370</v>
      </c>
      <c r="L986" s="8">
        <v>45426</v>
      </c>
      <c r="M986" t="s">
        <v>3455</v>
      </c>
      <c r="N986">
        <v>54</v>
      </c>
      <c r="O986">
        <v>29</v>
      </c>
      <c r="P986" t="s">
        <v>45</v>
      </c>
    </row>
    <row r="987" spans="1:16" x14ac:dyDescent="0.35">
      <c r="A987" t="s">
        <v>3456</v>
      </c>
      <c r="B987" t="s">
        <v>127</v>
      </c>
      <c r="C987" t="s">
        <v>48</v>
      </c>
      <c r="D987" t="s">
        <v>3457</v>
      </c>
      <c r="E987" t="s">
        <v>453</v>
      </c>
      <c r="F987">
        <v>88</v>
      </c>
      <c r="G987">
        <v>78</v>
      </c>
      <c r="H987">
        <v>17</v>
      </c>
      <c r="I987" t="s">
        <v>3480</v>
      </c>
      <c r="J987" s="8">
        <v>45541</v>
      </c>
      <c r="K987" s="8">
        <v>45654</v>
      </c>
      <c r="L987" s="8">
        <v>45600</v>
      </c>
      <c r="M987" t="s">
        <v>3458</v>
      </c>
      <c r="N987">
        <v>58</v>
      </c>
      <c r="O987">
        <v>21</v>
      </c>
      <c r="P987" t="s">
        <v>45</v>
      </c>
    </row>
    <row r="988" spans="1:16" x14ac:dyDescent="0.35">
      <c r="A988" t="s">
        <v>3459</v>
      </c>
      <c r="B988" t="s">
        <v>720</v>
      </c>
      <c r="C988" t="s">
        <v>65</v>
      </c>
      <c r="D988" t="s">
        <v>3460</v>
      </c>
      <c r="E988" t="s">
        <v>3461</v>
      </c>
      <c r="F988">
        <v>60</v>
      </c>
      <c r="G988">
        <v>9</v>
      </c>
      <c r="H988">
        <v>89</v>
      </c>
      <c r="I988" t="s">
        <v>3492</v>
      </c>
      <c r="J988" s="8">
        <v>45444</v>
      </c>
      <c r="K988" s="8">
        <v>45445</v>
      </c>
      <c r="L988" s="8">
        <v>45570</v>
      </c>
      <c r="M988" t="s">
        <v>3462</v>
      </c>
      <c r="N988">
        <v>95</v>
      </c>
      <c r="O988">
        <v>63</v>
      </c>
      <c r="P988" t="s">
        <v>45</v>
      </c>
    </row>
    <row r="989" spans="1:16" x14ac:dyDescent="0.35">
      <c r="A989" t="s">
        <v>3463</v>
      </c>
      <c r="B989" t="s">
        <v>143</v>
      </c>
      <c r="C989" t="s">
        <v>48</v>
      </c>
      <c r="D989" t="s">
        <v>3464</v>
      </c>
      <c r="E989" t="s">
        <v>2200</v>
      </c>
      <c r="F989">
        <v>94</v>
      </c>
      <c r="G989">
        <v>90</v>
      </c>
      <c r="H989">
        <v>12</v>
      </c>
      <c r="I989" t="s">
        <v>3554</v>
      </c>
      <c r="J989" s="8">
        <v>45568</v>
      </c>
      <c r="K989" s="8">
        <v>45589</v>
      </c>
      <c r="L989" s="8">
        <v>45597</v>
      </c>
      <c r="M989" t="s">
        <v>3465</v>
      </c>
      <c r="N989">
        <v>98</v>
      </c>
      <c r="O989">
        <v>71</v>
      </c>
      <c r="P989" t="s">
        <v>45</v>
      </c>
    </row>
    <row r="990" spans="1:16" x14ac:dyDescent="0.35">
      <c r="A990" t="s">
        <v>3466</v>
      </c>
      <c r="B990" t="s">
        <v>604</v>
      </c>
      <c r="C990" t="s">
        <v>59</v>
      </c>
      <c r="D990" t="s">
        <v>3467</v>
      </c>
      <c r="E990" t="s">
        <v>347</v>
      </c>
      <c r="F990">
        <v>30</v>
      </c>
      <c r="G990">
        <v>48</v>
      </c>
      <c r="H990">
        <v>52</v>
      </c>
      <c r="I990" t="s">
        <v>3503</v>
      </c>
      <c r="J990" s="8">
        <v>45454</v>
      </c>
      <c r="K990" s="8">
        <v>45633</v>
      </c>
      <c r="L990" s="8">
        <v>45412</v>
      </c>
      <c r="M990" t="s">
        <v>3468</v>
      </c>
      <c r="N990">
        <v>22</v>
      </c>
      <c r="O990">
        <v>78</v>
      </c>
      <c r="P990" t="s">
        <v>45</v>
      </c>
    </row>
    <row r="991" spans="1:16" x14ac:dyDescent="0.35">
      <c r="A991" t="s">
        <v>3469</v>
      </c>
      <c r="B991" t="s">
        <v>1206</v>
      </c>
      <c r="C991" t="s">
        <v>48</v>
      </c>
      <c r="D991" t="s">
        <v>3470</v>
      </c>
      <c r="E991" t="s">
        <v>2326</v>
      </c>
      <c r="F991">
        <v>19</v>
      </c>
      <c r="G991">
        <v>28</v>
      </c>
      <c r="H991">
        <v>83</v>
      </c>
      <c r="I991" t="s">
        <v>3474</v>
      </c>
      <c r="J991" s="8">
        <v>45622</v>
      </c>
      <c r="K991" s="8">
        <v>45352</v>
      </c>
      <c r="L991" s="8">
        <v>45531</v>
      </c>
      <c r="M991" t="s">
        <v>3471</v>
      </c>
      <c r="N991">
        <v>91</v>
      </c>
      <c r="O991">
        <v>73</v>
      </c>
      <c r="P99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1F76-391A-4C9F-B929-DAE195351E5E}">
  <dimension ref="A1:U991"/>
  <sheetViews>
    <sheetView tabSelected="1" zoomScale="82" workbookViewId="0">
      <selection activeCell="G12" sqref="G12"/>
    </sheetView>
  </sheetViews>
  <sheetFormatPr defaultRowHeight="14.5" x14ac:dyDescent="0.35"/>
  <cols>
    <col min="1" max="1" width="18.1796875" customWidth="1"/>
    <col min="2" max="2" width="23.26953125" customWidth="1"/>
    <col min="3" max="3" width="17.7265625" style="13" bestFit="1" customWidth="1"/>
    <col min="4" max="4" width="18.81640625" customWidth="1"/>
    <col min="5" max="5" width="23.90625" customWidth="1"/>
    <col min="6" max="6" width="24.08984375" customWidth="1"/>
    <col min="7" max="7" width="22.36328125" customWidth="1"/>
    <col min="8" max="8" width="27.1796875" customWidth="1"/>
    <col min="9" max="9" width="17.1796875" customWidth="1"/>
    <col min="10" max="10" width="26.6328125" customWidth="1"/>
    <col min="11" max="11" width="25.7265625" style="13" bestFit="1" customWidth="1"/>
    <col min="12" max="12" width="20.54296875" style="13" customWidth="1"/>
    <col min="13" max="13" width="23.36328125" customWidth="1"/>
    <col min="14" max="14" width="25.81640625" customWidth="1"/>
    <col min="15" max="15" width="24.81640625" customWidth="1"/>
    <col min="16" max="16" width="32.1796875" customWidth="1"/>
    <col min="17" max="17" width="22.26953125" style="13" customWidth="1"/>
    <col min="18" max="18" width="14.7265625" style="13" customWidth="1"/>
    <col min="19" max="19" width="37" style="13" customWidth="1"/>
    <col min="20" max="20" width="12.36328125" style="13" bestFit="1" customWidth="1"/>
    <col min="21" max="21" width="20.54296875" style="13" customWidth="1"/>
  </cols>
  <sheetData>
    <row r="1" spans="1:21" ht="23.5" x14ac:dyDescent="0.35">
      <c r="A1" s="23" t="s">
        <v>0</v>
      </c>
      <c r="B1" s="24" t="s">
        <v>1</v>
      </c>
      <c r="C1" s="24" t="s">
        <v>2</v>
      </c>
      <c r="D1" s="23" t="s">
        <v>3</v>
      </c>
      <c r="E1" s="24" t="s">
        <v>4</v>
      </c>
      <c r="F1" s="25" t="s">
        <v>5</v>
      </c>
      <c r="G1" s="25" t="s">
        <v>6</v>
      </c>
      <c r="H1" s="25" t="s">
        <v>7</v>
      </c>
      <c r="I1" s="26" t="s">
        <v>8</v>
      </c>
      <c r="J1" s="25" t="s">
        <v>9</v>
      </c>
      <c r="K1" s="25" t="s">
        <v>10</v>
      </c>
      <c r="L1" s="25" t="s">
        <v>11</v>
      </c>
      <c r="M1" s="27" t="s">
        <v>12</v>
      </c>
      <c r="N1" s="27" t="s">
        <v>13</v>
      </c>
      <c r="O1" s="27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</row>
    <row r="2" spans="1:21" ht="16" x14ac:dyDescent="0.4">
      <c r="A2" s="2" t="s">
        <v>21</v>
      </c>
      <c r="B2" s="3" t="s">
        <v>22</v>
      </c>
      <c r="C2" s="28" t="s">
        <v>23</v>
      </c>
      <c r="D2" s="2" t="s">
        <v>24</v>
      </c>
      <c r="E2" s="4" t="s">
        <v>25</v>
      </c>
      <c r="F2" s="5">
        <v>22</v>
      </c>
      <c r="G2" s="5">
        <v>72</v>
      </c>
      <c r="H2" s="5">
        <v>70</v>
      </c>
      <c r="I2" s="10">
        <v>4.5</v>
      </c>
      <c r="J2" s="11">
        <f>I2*F2</f>
        <v>99</v>
      </c>
      <c r="K2" s="12" t="str">
        <f t="shared" ref="K2:K65" si="0">IF(F2&lt;=G2,"Low Stock_Reorder Needed","Stock_Sufficient")</f>
        <v>Low Stock_Reorder Needed</v>
      </c>
      <c r="L2" s="12">
        <f t="shared" ref="L2:L65" si="1">H2*I2</f>
        <v>315</v>
      </c>
      <c r="M2" s="6">
        <v>45520</v>
      </c>
      <c r="N2" s="6">
        <v>45472</v>
      </c>
      <c r="O2" s="6">
        <v>45554</v>
      </c>
      <c r="P2" s="7" t="s">
        <v>26</v>
      </c>
      <c r="Q2" s="5">
        <v>32</v>
      </c>
      <c r="R2" s="10">
        <f t="shared" ref="R2:R65" si="2">Q2*I2</f>
        <v>144</v>
      </c>
      <c r="S2" s="5">
        <v>19</v>
      </c>
      <c r="T2" s="5" t="s">
        <v>27</v>
      </c>
      <c r="U2" s="11">
        <f>R2-J2</f>
        <v>45</v>
      </c>
    </row>
    <row r="3" spans="1:21" ht="16" x14ac:dyDescent="0.4">
      <c r="A3" s="2" t="s">
        <v>28</v>
      </c>
      <c r="B3" s="3" t="s">
        <v>29</v>
      </c>
      <c r="C3" s="28" t="s">
        <v>30</v>
      </c>
      <c r="D3" s="2" t="s">
        <v>31</v>
      </c>
      <c r="E3" s="4" t="s">
        <v>32</v>
      </c>
      <c r="F3" s="5">
        <v>45</v>
      </c>
      <c r="G3" s="5">
        <v>77</v>
      </c>
      <c r="H3" s="5">
        <v>2</v>
      </c>
      <c r="I3" s="10">
        <v>20</v>
      </c>
      <c r="J3" s="11">
        <f t="shared" ref="J3:J66" si="3">I3*F3</f>
        <v>900</v>
      </c>
      <c r="K3" s="12" t="str">
        <f t="shared" si="0"/>
        <v>Low Stock_Reorder Needed</v>
      </c>
      <c r="L3" s="12">
        <f t="shared" si="1"/>
        <v>40</v>
      </c>
      <c r="M3" s="6">
        <v>45597</v>
      </c>
      <c r="N3" s="6">
        <v>45441</v>
      </c>
      <c r="O3" s="6">
        <v>45420</v>
      </c>
      <c r="P3" s="7" t="s">
        <v>33</v>
      </c>
      <c r="Q3" s="5">
        <v>85</v>
      </c>
      <c r="R3" s="10">
        <f t="shared" si="2"/>
        <v>1700</v>
      </c>
      <c r="S3" s="5">
        <v>1</v>
      </c>
      <c r="T3" s="5" t="s">
        <v>27</v>
      </c>
      <c r="U3" s="11">
        <f t="shared" ref="U3:U66" si="4">R3-J3</f>
        <v>800</v>
      </c>
    </row>
    <row r="4" spans="1:21" ht="16" x14ac:dyDescent="0.4">
      <c r="A4" s="2" t="s">
        <v>34</v>
      </c>
      <c r="B4" s="3" t="s">
        <v>35</v>
      </c>
      <c r="C4" s="28" t="s">
        <v>23</v>
      </c>
      <c r="D4" s="2" t="s">
        <v>36</v>
      </c>
      <c r="E4" s="4" t="s">
        <v>37</v>
      </c>
      <c r="F4" s="5">
        <v>30</v>
      </c>
      <c r="G4" s="5">
        <v>38</v>
      </c>
      <c r="H4" s="5">
        <v>83</v>
      </c>
      <c r="I4" s="10">
        <v>6</v>
      </c>
      <c r="J4" s="11">
        <f t="shared" si="3"/>
        <v>180</v>
      </c>
      <c r="K4" s="12" t="str">
        <f t="shared" si="0"/>
        <v>Low Stock_Reorder Needed</v>
      </c>
      <c r="L4" s="12">
        <f t="shared" si="1"/>
        <v>498</v>
      </c>
      <c r="M4" s="6">
        <v>45507</v>
      </c>
      <c r="N4" s="6">
        <v>45453</v>
      </c>
      <c r="O4" s="6">
        <v>45557</v>
      </c>
      <c r="P4" s="7" t="s">
        <v>38</v>
      </c>
      <c r="Q4" s="5">
        <v>31</v>
      </c>
      <c r="R4" s="10">
        <f t="shared" si="2"/>
        <v>186</v>
      </c>
      <c r="S4" s="5">
        <v>34</v>
      </c>
      <c r="T4" s="5" t="s">
        <v>39</v>
      </c>
      <c r="U4" s="11">
        <f t="shared" si="4"/>
        <v>6</v>
      </c>
    </row>
    <row r="5" spans="1:21" ht="16" x14ac:dyDescent="0.4">
      <c r="A5" s="2" t="s">
        <v>40</v>
      </c>
      <c r="B5" s="3" t="s">
        <v>41</v>
      </c>
      <c r="C5" s="28" t="s">
        <v>23</v>
      </c>
      <c r="D5" s="2" t="s">
        <v>42</v>
      </c>
      <c r="E5" s="4" t="s">
        <v>43</v>
      </c>
      <c r="F5" s="5">
        <v>12</v>
      </c>
      <c r="G5" s="5">
        <v>59</v>
      </c>
      <c r="H5" s="5">
        <v>62</v>
      </c>
      <c r="I5" s="10">
        <v>1.5</v>
      </c>
      <c r="J5" s="11">
        <f t="shared" si="3"/>
        <v>18</v>
      </c>
      <c r="K5" s="12" t="str">
        <f t="shared" si="0"/>
        <v>Low Stock_Reorder Needed</v>
      </c>
      <c r="L5" s="12">
        <f t="shared" si="1"/>
        <v>93</v>
      </c>
      <c r="M5" s="6">
        <v>45634</v>
      </c>
      <c r="N5" s="6">
        <v>45707</v>
      </c>
      <c r="O5" s="6">
        <v>45399</v>
      </c>
      <c r="P5" s="7" t="s">
        <v>44</v>
      </c>
      <c r="Q5" s="5">
        <v>95</v>
      </c>
      <c r="R5" s="10">
        <f t="shared" si="2"/>
        <v>142.5</v>
      </c>
      <c r="S5" s="5">
        <v>99</v>
      </c>
      <c r="T5" s="5" t="s">
        <v>45</v>
      </c>
      <c r="U5" s="11">
        <f t="shared" si="4"/>
        <v>124.5</v>
      </c>
    </row>
    <row r="6" spans="1:21" ht="16" x14ac:dyDescent="0.4">
      <c r="A6" s="2" t="s">
        <v>46</v>
      </c>
      <c r="B6" s="3" t="s">
        <v>47</v>
      </c>
      <c r="C6" s="28" t="s">
        <v>48</v>
      </c>
      <c r="D6" s="2" t="s">
        <v>49</v>
      </c>
      <c r="E6" s="4" t="s">
        <v>50</v>
      </c>
      <c r="F6" s="5">
        <v>37</v>
      </c>
      <c r="G6" s="5">
        <v>30</v>
      </c>
      <c r="H6" s="5">
        <v>74</v>
      </c>
      <c r="I6" s="10">
        <v>4</v>
      </c>
      <c r="J6" s="11">
        <f t="shared" si="3"/>
        <v>148</v>
      </c>
      <c r="K6" s="12" t="str">
        <f t="shared" si="0"/>
        <v>Stock_Sufficient</v>
      </c>
      <c r="L6" s="12">
        <f t="shared" si="1"/>
        <v>296</v>
      </c>
      <c r="M6" s="6">
        <v>45476</v>
      </c>
      <c r="N6" s="6">
        <v>45576</v>
      </c>
      <c r="O6" s="6">
        <v>45570</v>
      </c>
      <c r="P6" s="7" t="s">
        <v>51</v>
      </c>
      <c r="Q6" s="5">
        <v>62</v>
      </c>
      <c r="R6" s="10">
        <f t="shared" si="2"/>
        <v>248</v>
      </c>
      <c r="S6" s="5">
        <v>25</v>
      </c>
      <c r="T6" s="5" t="s">
        <v>39</v>
      </c>
      <c r="U6" s="11">
        <f t="shared" si="4"/>
        <v>100</v>
      </c>
    </row>
    <row r="7" spans="1:21" ht="16" x14ac:dyDescent="0.4">
      <c r="A7" s="2" t="s">
        <v>52</v>
      </c>
      <c r="B7" s="3" t="s">
        <v>53</v>
      </c>
      <c r="C7" s="28" t="s">
        <v>23</v>
      </c>
      <c r="D7" s="2" t="s">
        <v>54</v>
      </c>
      <c r="E7" s="4" t="s">
        <v>55</v>
      </c>
      <c r="F7" s="5">
        <v>55</v>
      </c>
      <c r="G7" s="5">
        <v>33</v>
      </c>
      <c r="H7" s="5">
        <v>14</v>
      </c>
      <c r="I7" s="10">
        <v>1.75</v>
      </c>
      <c r="J7" s="11">
        <f t="shared" si="3"/>
        <v>96.25</v>
      </c>
      <c r="K7" s="12" t="str">
        <f t="shared" si="0"/>
        <v>Stock_Sufficient</v>
      </c>
      <c r="L7" s="12">
        <f t="shared" si="1"/>
        <v>24.5</v>
      </c>
      <c r="M7" s="6">
        <v>45629</v>
      </c>
      <c r="N7" s="6">
        <v>45438</v>
      </c>
      <c r="O7" s="6">
        <v>45540</v>
      </c>
      <c r="P7" s="7" t="s">
        <v>56</v>
      </c>
      <c r="Q7" s="5">
        <v>34</v>
      </c>
      <c r="R7" s="10">
        <f t="shared" si="2"/>
        <v>59.5</v>
      </c>
      <c r="S7" s="5">
        <v>62</v>
      </c>
      <c r="T7" s="5" t="s">
        <v>27</v>
      </c>
      <c r="U7" s="11">
        <f t="shared" si="4"/>
        <v>-36.75</v>
      </c>
    </row>
    <row r="8" spans="1:21" ht="16" x14ac:dyDescent="0.4">
      <c r="A8" s="2" t="s">
        <v>57</v>
      </c>
      <c r="B8" s="3" t="s">
        <v>58</v>
      </c>
      <c r="C8" s="28" t="s">
        <v>59</v>
      </c>
      <c r="D8" s="2" t="s">
        <v>60</v>
      </c>
      <c r="E8" s="4" t="s">
        <v>61</v>
      </c>
      <c r="F8" s="5">
        <v>96</v>
      </c>
      <c r="G8" s="5">
        <v>52</v>
      </c>
      <c r="H8" s="5">
        <v>16</v>
      </c>
      <c r="I8" s="10">
        <v>2.5</v>
      </c>
      <c r="J8" s="11">
        <f t="shared" si="3"/>
        <v>240</v>
      </c>
      <c r="K8" s="12" t="str">
        <f t="shared" si="0"/>
        <v>Stock_Sufficient</v>
      </c>
      <c r="L8" s="12">
        <f t="shared" si="1"/>
        <v>40</v>
      </c>
      <c r="M8" s="6">
        <v>45369</v>
      </c>
      <c r="N8" s="6">
        <v>45419</v>
      </c>
      <c r="O8" s="6">
        <v>45463</v>
      </c>
      <c r="P8" s="7" t="s">
        <v>62</v>
      </c>
      <c r="Q8" s="5">
        <v>67</v>
      </c>
      <c r="R8" s="10">
        <f t="shared" si="2"/>
        <v>167.5</v>
      </c>
      <c r="S8" s="5">
        <v>13</v>
      </c>
      <c r="T8" s="5" t="s">
        <v>45</v>
      </c>
      <c r="U8" s="11">
        <f t="shared" si="4"/>
        <v>-72.5</v>
      </c>
    </row>
    <row r="9" spans="1:21" ht="16" x14ac:dyDescent="0.4">
      <c r="A9" s="2" t="s">
        <v>63</v>
      </c>
      <c r="B9" s="3" t="s">
        <v>64</v>
      </c>
      <c r="C9" s="28" t="s">
        <v>65</v>
      </c>
      <c r="D9" s="2" t="s">
        <v>66</v>
      </c>
      <c r="E9" s="4" t="s">
        <v>67</v>
      </c>
      <c r="F9" s="5">
        <v>44</v>
      </c>
      <c r="G9" s="5">
        <v>90</v>
      </c>
      <c r="H9" s="5">
        <v>17</v>
      </c>
      <c r="I9" s="10">
        <v>2.5</v>
      </c>
      <c r="J9" s="11">
        <f t="shared" si="3"/>
        <v>110</v>
      </c>
      <c r="K9" s="12" t="str">
        <f t="shared" si="0"/>
        <v>Low Stock_Reorder Needed</v>
      </c>
      <c r="L9" s="12">
        <f t="shared" si="1"/>
        <v>42.5</v>
      </c>
      <c r="M9" s="6">
        <v>45691</v>
      </c>
      <c r="N9" s="6">
        <v>45391</v>
      </c>
      <c r="O9" s="6">
        <v>45693</v>
      </c>
      <c r="P9" s="7" t="s">
        <v>68</v>
      </c>
      <c r="Q9" s="5">
        <v>21</v>
      </c>
      <c r="R9" s="10">
        <f t="shared" si="2"/>
        <v>52.5</v>
      </c>
      <c r="S9" s="5">
        <v>91</v>
      </c>
      <c r="T9" s="5" t="s">
        <v>27</v>
      </c>
      <c r="U9" s="11">
        <f t="shared" si="4"/>
        <v>-57.5</v>
      </c>
    </row>
    <row r="10" spans="1:21" ht="16" x14ac:dyDescent="0.4">
      <c r="A10" s="2" t="s">
        <v>69</v>
      </c>
      <c r="B10" s="3" t="s">
        <v>70</v>
      </c>
      <c r="C10" s="28" t="s">
        <v>65</v>
      </c>
      <c r="D10" s="2" t="s">
        <v>71</v>
      </c>
      <c r="E10" s="4" t="s">
        <v>72</v>
      </c>
      <c r="F10" s="5">
        <v>91</v>
      </c>
      <c r="G10" s="5">
        <v>84</v>
      </c>
      <c r="H10" s="5">
        <v>11</v>
      </c>
      <c r="I10" s="10">
        <v>3</v>
      </c>
      <c r="J10" s="11">
        <f t="shared" si="3"/>
        <v>273</v>
      </c>
      <c r="K10" s="12" t="str">
        <f t="shared" si="0"/>
        <v>Stock_Sufficient</v>
      </c>
      <c r="L10" s="12">
        <f t="shared" si="1"/>
        <v>33</v>
      </c>
      <c r="M10" s="6">
        <v>45630</v>
      </c>
      <c r="N10" s="6">
        <v>45445</v>
      </c>
      <c r="O10" s="6">
        <v>45665</v>
      </c>
      <c r="P10" s="7" t="s">
        <v>73</v>
      </c>
      <c r="Q10" s="5">
        <v>56</v>
      </c>
      <c r="R10" s="10">
        <f t="shared" si="2"/>
        <v>168</v>
      </c>
      <c r="S10" s="5">
        <v>90</v>
      </c>
      <c r="T10" s="5" t="s">
        <v>45</v>
      </c>
      <c r="U10" s="11">
        <f t="shared" si="4"/>
        <v>-105</v>
      </c>
    </row>
    <row r="11" spans="1:21" ht="16" x14ac:dyDescent="0.4">
      <c r="A11" s="2" t="s">
        <v>74</v>
      </c>
      <c r="B11" s="3" t="s">
        <v>75</v>
      </c>
      <c r="C11" s="28" t="s">
        <v>65</v>
      </c>
      <c r="D11" s="2" t="s">
        <v>76</v>
      </c>
      <c r="E11" s="4" t="s">
        <v>77</v>
      </c>
      <c r="F11" s="5">
        <v>43</v>
      </c>
      <c r="G11" s="5">
        <v>10</v>
      </c>
      <c r="H11" s="5">
        <v>15</v>
      </c>
      <c r="I11" s="10">
        <v>1</v>
      </c>
      <c r="J11" s="11">
        <f t="shared" si="3"/>
        <v>43</v>
      </c>
      <c r="K11" s="12" t="str">
        <f t="shared" si="0"/>
        <v>Stock_Sufficient</v>
      </c>
      <c r="L11" s="12">
        <f t="shared" si="1"/>
        <v>15</v>
      </c>
      <c r="M11" s="6">
        <v>45614</v>
      </c>
      <c r="N11" s="6">
        <v>45610</v>
      </c>
      <c r="O11" s="6">
        <v>45481</v>
      </c>
      <c r="P11" s="7" t="s">
        <v>78</v>
      </c>
      <c r="Q11" s="5">
        <v>27</v>
      </c>
      <c r="R11" s="10">
        <f t="shared" si="2"/>
        <v>27</v>
      </c>
      <c r="S11" s="5">
        <v>69</v>
      </c>
      <c r="T11" s="5" t="s">
        <v>45</v>
      </c>
      <c r="U11" s="11">
        <f t="shared" si="4"/>
        <v>-16</v>
      </c>
    </row>
    <row r="12" spans="1:21" ht="16" x14ac:dyDescent="0.4">
      <c r="A12" s="2" t="s">
        <v>79</v>
      </c>
      <c r="B12" s="3" t="s">
        <v>41</v>
      </c>
      <c r="C12" s="28" t="s">
        <v>23</v>
      </c>
      <c r="D12" s="2" t="s">
        <v>80</v>
      </c>
      <c r="E12" s="4" t="s">
        <v>81</v>
      </c>
      <c r="F12" s="5">
        <v>62</v>
      </c>
      <c r="G12" s="5">
        <v>81</v>
      </c>
      <c r="H12" s="5">
        <v>91</v>
      </c>
      <c r="I12" s="10">
        <v>1.6</v>
      </c>
      <c r="J12" s="11">
        <f t="shared" si="3"/>
        <v>99.2</v>
      </c>
      <c r="K12" s="12" t="str">
        <f t="shared" si="0"/>
        <v>Low Stock_Reorder Needed</v>
      </c>
      <c r="L12" s="12">
        <f t="shared" si="1"/>
        <v>145.6</v>
      </c>
      <c r="M12" s="6">
        <v>45644</v>
      </c>
      <c r="N12" s="6">
        <v>45436</v>
      </c>
      <c r="O12" s="6">
        <v>45664</v>
      </c>
      <c r="P12" s="7" t="s">
        <v>82</v>
      </c>
      <c r="Q12" s="5">
        <v>100</v>
      </c>
      <c r="R12" s="10">
        <f t="shared" si="2"/>
        <v>160</v>
      </c>
      <c r="S12" s="5">
        <v>42</v>
      </c>
      <c r="T12" s="5" t="s">
        <v>27</v>
      </c>
      <c r="U12" s="11">
        <f t="shared" si="4"/>
        <v>60.8</v>
      </c>
    </row>
    <row r="13" spans="1:21" ht="16" x14ac:dyDescent="0.4">
      <c r="A13" s="2" t="s">
        <v>83</v>
      </c>
      <c r="B13" s="3" t="s">
        <v>84</v>
      </c>
      <c r="C13" s="28" t="s">
        <v>23</v>
      </c>
      <c r="D13" s="2" t="s">
        <v>85</v>
      </c>
      <c r="E13" s="4" t="s">
        <v>86</v>
      </c>
      <c r="F13" s="5">
        <v>91</v>
      </c>
      <c r="G13" s="5">
        <v>98</v>
      </c>
      <c r="H13" s="5">
        <v>6</v>
      </c>
      <c r="I13" s="10">
        <v>2</v>
      </c>
      <c r="J13" s="11">
        <f t="shared" si="3"/>
        <v>182</v>
      </c>
      <c r="K13" s="12" t="str">
        <f t="shared" si="0"/>
        <v>Low Stock_Reorder Needed</v>
      </c>
      <c r="L13" s="12">
        <f t="shared" si="1"/>
        <v>12</v>
      </c>
      <c r="M13" s="6">
        <v>45584</v>
      </c>
      <c r="N13" s="6">
        <v>45637</v>
      </c>
      <c r="O13" s="6">
        <v>45579</v>
      </c>
      <c r="P13" s="7" t="s">
        <v>87</v>
      </c>
      <c r="Q13" s="5">
        <v>100</v>
      </c>
      <c r="R13" s="10">
        <f t="shared" si="2"/>
        <v>200</v>
      </c>
      <c r="S13" s="5">
        <v>20</v>
      </c>
      <c r="T13" s="5" t="s">
        <v>39</v>
      </c>
      <c r="U13" s="11">
        <f t="shared" si="4"/>
        <v>18</v>
      </c>
    </row>
    <row r="14" spans="1:21" ht="16" x14ac:dyDescent="0.4">
      <c r="A14" s="2" t="s">
        <v>88</v>
      </c>
      <c r="B14" s="3" t="s">
        <v>89</v>
      </c>
      <c r="C14" s="28" t="s">
        <v>90</v>
      </c>
      <c r="D14" s="2" t="s">
        <v>91</v>
      </c>
      <c r="E14" s="4" t="s">
        <v>92</v>
      </c>
      <c r="F14" s="5">
        <v>26</v>
      </c>
      <c r="G14" s="5">
        <v>79</v>
      </c>
      <c r="H14" s="5">
        <v>31</v>
      </c>
      <c r="I14" s="10">
        <v>3</v>
      </c>
      <c r="J14" s="11">
        <f t="shared" si="3"/>
        <v>78</v>
      </c>
      <c r="K14" s="12" t="str">
        <f t="shared" si="0"/>
        <v>Low Stock_Reorder Needed</v>
      </c>
      <c r="L14" s="12">
        <f t="shared" si="1"/>
        <v>93</v>
      </c>
      <c r="M14" s="6">
        <v>45639</v>
      </c>
      <c r="N14" s="6">
        <v>45697</v>
      </c>
      <c r="O14" s="6">
        <v>45491</v>
      </c>
      <c r="P14" s="7" t="s">
        <v>93</v>
      </c>
      <c r="Q14" s="5">
        <v>47</v>
      </c>
      <c r="R14" s="10">
        <f t="shared" si="2"/>
        <v>141</v>
      </c>
      <c r="S14" s="5">
        <v>41</v>
      </c>
      <c r="T14" s="5" t="s">
        <v>27</v>
      </c>
      <c r="U14" s="11">
        <f t="shared" si="4"/>
        <v>63</v>
      </c>
    </row>
    <row r="15" spans="1:21" ht="16" x14ac:dyDescent="0.4">
      <c r="A15" s="2" t="s">
        <v>94</v>
      </c>
      <c r="B15" s="3" t="s">
        <v>47</v>
      </c>
      <c r="C15" s="28" t="s">
        <v>48</v>
      </c>
      <c r="D15" s="2" t="s">
        <v>95</v>
      </c>
      <c r="E15" s="4" t="s">
        <v>96</v>
      </c>
      <c r="F15" s="5">
        <v>95</v>
      </c>
      <c r="G15" s="5">
        <v>50</v>
      </c>
      <c r="H15" s="5">
        <v>76</v>
      </c>
      <c r="I15" s="10">
        <v>4</v>
      </c>
      <c r="J15" s="11">
        <f t="shared" si="3"/>
        <v>380</v>
      </c>
      <c r="K15" s="12" t="str">
        <f t="shared" si="0"/>
        <v>Stock_Sufficient</v>
      </c>
      <c r="L15" s="12">
        <f t="shared" si="1"/>
        <v>304</v>
      </c>
      <c r="M15" s="6">
        <v>45387</v>
      </c>
      <c r="N15" s="6">
        <v>45556</v>
      </c>
      <c r="O15" s="6">
        <v>45418</v>
      </c>
      <c r="P15" s="7" t="s">
        <v>97</v>
      </c>
      <c r="Q15" s="5">
        <v>69</v>
      </c>
      <c r="R15" s="10">
        <f t="shared" si="2"/>
        <v>276</v>
      </c>
      <c r="S15" s="5">
        <v>5</v>
      </c>
      <c r="T15" s="5" t="s">
        <v>45</v>
      </c>
      <c r="U15" s="11">
        <f t="shared" si="4"/>
        <v>-104</v>
      </c>
    </row>
    <row r="16" spans="1:21" ht="16" x14ac:dyDescent="0.4">
      <c r="A16" s="2" t="s">
        <v>98</v>
      </c>
      <c r="B16" s="3" t="s">
        <v>99</v>
      </c>
      <c r="C16" s="28" t="s">
        <v>48</v>
      </c>
      <c r="D16" s="2" t="s">
        <v>100</v>
      </c>
      <c r="E16" s="4" t="s">
        <v>101</v>
      </c>
      <c r="F16" s="5">
        <v>54</v>
      </c>
      <c r="G16" s="5">
        <v>26</v>
      </c>
      <c r="H16" s="5">
        <v>16</v>
      </c>
      <c r="I16" s="10">
        <v>6</v>
      </c>
      <c r="J16" s="11">
        <f t="shared" si="3"/>
        <v>324</v>
      </c>
      <c r="K16" s="12" t="str">
        <f t="shared" si="0"/>
        <v>Stock_Sufficient</v>
      </c>
      <c r="L16" s="12">
        <f t="shared" si="1"/>
        <v>96</v>
      </c>
      <c r="M16" s="6">
        <v>45362</v>
      </c>
      <c r="N16" s="6">
        <v>45473</v>
      </c>
      <c r="O16" s="6">
        <v>45457</v>
      </c>
      <c r="P16" s="7" t="s">
        <v>102</v>
      </c>
      <c r="Q16" s="5">
        <v>63</v>
      </c>
      <c r="R16" s="10">
        <f t="shared" si="2"/>
        <v>378</v>
      </c>
      <c r="S16" s="5">
        <v>97</v>
      </c>
      <c r="T16" s="5" t="s">
        <v>45</v>
      </c>
      <c r="U16" s="11">
        <f t="shared" si="4"/>
        <v>54</v>
      </c>
    </row>
    <row r="17" spans="1:21" ht="16" x14ac:dyDescent="0.4">
      <c r="A17" s="2" t="s">
        <v>103</v>
      </c>
      <c r="B17" s="3" t="s">
        <v>104</v>
      </c>
      <c r="C17" s="28" t="s">
        <v>65</v>
      </c>
      <c r="D17" s="2" t="s">
        <v>105</v>
      </c>
      <c r="E17" s="4" t="s">
        <v>106</v>
      </c>
      <c r="F17" s="5">
        <v>94</v>
      </c>
      <c r="G17" s="5">
        <v>13</v>
      </c>
      <c r="H17" s="5">
        <v>15</v>
      </c>
      <c r="I17" s="10">
        <v>7</v>
      </c>
      <c r="J17" s="11">
        <f t="shared" si="3"/>
        <v>658</v>
      </c>
      <c r="K17" s="12" t="str">
        <f t="shared" si="0"/>
        <v>Stock_Sufficient</v>
      </c>
      <c r="L17" s="12">
        <f t="shared" si="1"/>
        <v>105</v>
      </c>
      <c r="M17" s="6">
        <v>45349</v>
      </c>
      <c r="N17" s="6">
        <v>45384</v>
      </c>
      <c r="O17" s="6">
        <v>45570</v>
      </c>
      <c r="P17" s="7" t="s">
        <v>107</v>
      </c>
      <c r="Q17" s="5">
        <v>20</v>
      </c>
      <c r="R17" s="10">
        <f t="shared" si="2"/>
        <v>140</v>
      </c>
      <c r="S17" s="5">
        <v>24</v>
      </c>
      <c r="T17" s="5" t="s">
        <v>39</v>
      </c>
      <c r="U17" s="11">
        <f t="shared" si="4"/>
        <v>-518</v>
      </c>
    </row>
    <row r="18" spans="1:21" ht="16" x14ac:dyDescent="0.4">
      <c r="A18" s="2" t="s">
        <v>108</v>
      </c>
      <c r="B18" s="3" t="s">
        <v>109</v>
      </c>
      <c r="C18" s="28" t="s">
        <v>23</v>
      </c>
      <c r="D18" s="2" t="s">
        <v>110</v>
      </c>
      <c r="E18" s="4" t="s">
        <v>111</v>
      </c>
      <c r="F18" s="5">
        <v>27</v>
      </c>
      <c r="G18" s="5">
        <v>93</v>
      </c>
      <c r="H18" s="5">
        <v>88</v>
      </c>
      <c r="I18" s="10">
        <v>1.5</v>
      </c>
      <c r="J18" s="11">
        <f t="shared" si="3"/>
        <v>40.5</v>
      </c>
      <c r="K18" s="12" t="str">
        <f t="shared" si="0"/>
        <v>Low Stock_Reorder Needed</v>
      </c>
      <c r="L18" s="12">
        <f t="shared" si="1"/>
        <v>132</v>
      </c>
      <c r="M18" s="6">
        <v>45612</v>
      </c>
      <c r="N18" s="6">
        <v>45360</v>
      </c>
      <c r="O18" s="6">
        <v>45387</v>
      </c>
      <c r="P18" s="7" t="s">
        <v>112</v>
      </c>
      <c r="Q18" s="5">
        <v>66</v>
      </c>
      <c r="R18" s="10">
        <f t="shared" si="2"/>
        <v>99</v>
      </c>
      <c r="S18" s="5">
        <v>13</v>
      </c>
      <c r="T18" s="5" t="s">
        <v>45</v>
      </c>
      <c r="U18" s="11">
        <f t="shared" si="4"/>
        <v>58.5</v>
      </c>
    </row>
    <row r="19" spans="1:21" ht="16" x14ac:dyDescent="0.4">
      <c r="A19" s="2" t="s">
        <v>113</v>
      </c>
      <c r="B19" s="3" t="s">
        <v>114</v>
      </c>
      <c r="C19" s="28" t="s">
        <v>65</v>
      </c>
      <c r="D19" s="2" t="s">
        <v>115</v>
      </c>
      <c r="E19" s="4" t="s">
        <v>116</v>
      </c>
      <c r="F19" s="5">
        <v>49</v>
      </c>
      <c r="G19" s="5">
        <v>49</v>
      </c>
      <c r="H19" s="5">
        <v>26</v>
      </c>
      <c r="I19" s="10">
        <v>8</v>
      </c>
      <c r="J19" s="11">
        <f t="shared" si="3"/>
        <v>392</v>
      </c>
      <c r="K19" s="12" t="str">
        <f t="shared" si="0"/>
        <v>Low Stock_Reorder Needed</v>
      </c>
      <c r="L19" s="12">
        <f t="shared" si="1"/>
        <v>208</v>
      </c>
      <c r="M19" s="6">
        <v>45545</v>
      </c>
      <c r="N19" s="6">
        <v>45431</v>
      </c>
      <c r="O19" s="6">
        <v>45474</v>
      </c>
      <c r="P19" s="7" t="s">
        <v>117</v>
      </c>
      <c r="Q19" s="5">
        <v>78</v>
      </c>
      <c r="R19" s="10">
        <f t="shared" si="2"/>
        <v>624</v>
      </c>
      <c r="S19" s="5">
        <v>61</v>
      </c>
      <c r="T19" s="5" t="s">
        <v>27</v>
      </c>
      <c r="U19" s="11">
        <f t="shared" si="4"/>
        <v>232</v>
      </c>
    </row>
    <row r="20" spans="1:21" ht="16" x14ac:dyDescent="0.4">
      <c r="A20" s="2" t="s">
        <v>118</v>
      </c>
      <c r="B20" s="3" t="s">
        <v>29</v>
      </c>
      <c r="C20" s="28" t="s">
        <v>30</v>
      </c>
      <c r="D20" s="2" t="s">
        <v>119</v>
      </c>
      <c r="E20" s="4" t="s">
        <v>120</v>
      </c>
      <c r="F20" s="5">
        <v>55</v>
      </c>
      <c r="G20" s="5">
        <v>93</v>
      </c>
      <c r="H20" s="5">
        <v>84</v>
      </c>
      <c r="I20" s="10">
        <v>20</v>
      </c>
      <c r="J20" s="11">
        <f t="shared" si="3"/>
        <v>1100</v>
      </c>
      <c r="K20" s="12" t="str">
        <f t="shared" si="0"/>
        <v>Low Stock_Reorder Needed</v>
      </c>
      <c r="L20" s="12">
        <f t="shared" si="1"/>
        <v>1680</v>
      </c>
      <c r="M20" s="6">
        <v>45441</v>
      </c>
      <c r="N20" s="6">
        <v>45604</v>
      </c>
      <c r="O20" s="6">
        <v>45417</v>
      </c>
      <c r="P20" s="7" t="s">
        <v>121</v>
      </c>
      <c r="Q20" s="5">
        <v>46</v>
      </c>
      <c r="R20" s="10">
        <f t="shared" si="2"/>
        <v>920</v>
      </c>
      <c r="S20" s="5">
        <v>84</v>
      </c>
      <c r="T20" s="5" t="s">
        <v>45</v>
      </c>
      <c r="U20" s="11">
        <f t="shared" si="4"/>
        <v>-180</v>
      </c>
    </row>
    <row r="21" spans="1:21" ht="16" x14ac:dyDescent="0.4">
      <c r="A21" s="2" t="s">
        <v>122</v>
      </c>
      <c r="B21" s="3" t="s">
        <v>84</v>
      </c>
      <c r="C21" s="28" t="s">
        <v>23</v>
      </c>
      <c r="D21" s="2" t="s">
        <v>123</v>
      </c>
      <c r="E21" s="4" t="s">
        <v>124</v>
      </c>
      <c r="F21" s="5">
        <v>65</v>
      </c>
      <c r="G21" s="5">
        <v>61</v>
      </c>
      <c r="H21" s="5">
        <v>82</v>
      </c>
      <c r="I21" s="10">
        <v>2</v>
      </c>
      <c r="J21" s="11">
        <f t="shared" si="3"/>
        <v>130</v>
      </c>
      <c r="K21" s="12" t="str">
        <f t="shared" si="0"/>
        <v>Stock_Sufficient</v>
      </c>
      <c r="L21" s="12">
        <f t="shared" si="1"/>
        <v>164</v>
      </c>
      <c r="M21" s="6">
        <v>45443</v>
      </c>
      <c r="N21" s="6">
        <v>45696</v>
      </c>
      <c r="O21" s="6">
        <v>45654</v>
      </c>
      <c r="P21" s="7" t="s">
        <v>125</v>
      </c>
      <c r="Q21" s="5">
        <v>29</v>
      </c>
      <c r="R21" s="10">
        <f t="shared" si="2"/>
        <v>58</v>
      </c>
      <c r="S21" s="5">
        <v>11</v>
      </c>
      <c r="T21" s="5" t="s">
        <v>39</v>
      </c>
      <c r="U21" s="11">
        <f t="shared" si="4"/>
        <v>-72</v>
      </c>
    </row>
    <row r="22" spans="1:21" ht="16" x14ac:dyDescent="0.4">
      <c r="A22" s="2" t="s">
        <v>126</v>
      </c>
      <c r="B22" s="3" t="s">
        <v>127</v>
      </c>
      <c r="C22" s="28" t="s">
        <v>48</v>
      </c>
      <c r="D22" s="2" t="s">
        <v>128</v>
      </c>
      <c r="E22" s="4" t="s">
        <v>129</v>
      </c>
      <c r="F22" s="5">
        <v>72</v>
      </c>
      <c r="G22" s="5">
        <v>70</v>
      </c>
      <c r="H22" s="5">
        <v>99</v>
      </c>
      <c r="I22" s="10">
        <v>2.5</v>
      </c>
      <c r="J22" s="11">
        <f t="shared" si="3"/>
        <v>180</v>
      </c>
      <c r="K22" s="12" t="str">
        <f t="shared" si="0"/>
        <v>Stock_Sufficient</v>
      </c>
      <c r="L22" s="12">
        <f t="shared" si="1"/>
        <v>247.5</v>
      </c>
      <c r="M22" s="6">
        <v>45572</v>
      </c>
      <c r="N22" s="6">
        <v>45440</v>
      </c>
      <c r="O22" s="6">
        <v>45465</v>
      </c>
      <c r="P22" s="7" t="s">
        <v>130</v>
      </c>
      <c r="Q22" s="5">
        <v>82</v>
      </c>
      <c r="R22" s="10">
        <f t="shared" si="2"/>
        <v>205</v>
      </c>
      <c r="S22" s="5">
        <v>32</v>
      </c>
      <c r="T22" s="5" t="s">
        <v>27</v>
      </c>
      <c r="U22" s="11">
        <f t="shared" si="4"/>
        <v>25</v>
      </c>
    </row>
    <row r="23" spans="1:21" ht="16" x14ac:dyDescent="0.4">
      <c r="A23" s="2" t="s">
        <v>131</v>
      </c>
      <c r="B23" s="3" t="s">
        <v>132</v>
      </c>
      <c r="C23" s="28" t="s">
        <v>133</v>
      </c>
      <c r="D23" s="2" t="s">
        <v>134</v>
      </c>
      <c r="E23" s="4" t="s">
        <v>135</v>
      </c>
      <c r="F23" s="5">
        <v>49</v>
      </c>
      <c r="G23" s="5">
        <v>73</v>
      </c>
      <c r="H23" s="5">
        <v>48</v>
      </c>
      <c r="I23" s="10">
        <v>12</v>
      </c>
      <c r="J23" s="11">
        <f t="shared" si="3"/>
        <v>588</v>
      </c>
      <c r="K23" s="12" t="str">
        <f t="shared" si="0"/>
        <v>Low Stock_Reorder Needed</v>
      </c>
      <c r="L23" s="12">
        <f t="shared" si="1"/>
        <v>576</v>
      </c>
      <c r="M23" s="6">
        <v>45521</v>
      </c>
      <c r="N23" s="6">
        <v>45566</v>
      </c>
      <c r="O23" s="6">
        <v>45538</v>
      </c>
      <c r="P23" s="7" t="s">
        <v>136</v>
      </c>
      <c r="Q23" s="5">
        <v>52</v>
      </c>
      <c r="R23" s="10">
        <f t="shared" si="2"/>
        <v>624</v>
      </c>
      <c r="S23" s="5">
        <v>62</v>
      </c>
      <c r="T23" s="5" t="s">
        <v>45</v>
      </c>
      <c r="U23" s="11">
        <f t="shared" si="4"/>
        <v>36</v>
      </c>
    </row>
    <row r="24" spans="1:21" ht="16" x14ac:dyDescent="0.4">
      <c r="A24" s="2" t="s">
        <v>137</v>
      </c>
      <c r="B24" s="3" t="s">
        <v>138</v>
      </c>
      <c r="C24" s="28" t="s">
        <v>48</v>
      </c>
      <c r="D24" s="2" t="s">
        <v>139</v>
      </c>
      <c r="E24" s="4" t="s">
        <v>140</v>
      </c>
      <c r="F24" s="5">
        <v>81</v>
      </c>
      <c r="G24" s="5">
        <v>99</v>
      </c>
      <c r="H24" s="5">
        <v>28</v>
      </c>
      <c r="I24" s="10">
        <v>2</v>
      </c>
      <c r="J24" s="11">
        <f t="shared" si="3"/>
        <v>162</v>
      </c>
      <c r="K24" s="12" t="str">
        <f t="shared" si="0"/>
        <v>Low Stock_Reorder Needed</v>
      </c>
      <c r="L24" s="12">
        <f t="shared" si="1"/>
        <v>56</v>
      </c>
      <c r="M24" s="6">
        <v>45565</v>
      </c>
      <c r="N24" s="6">
        <v>45702</v>
      </c>
      <c r="O24" s="6">
        <v>45407</v>
      </c>
      <c r="P24" s="7" t="s">
        <v>141</v>
      </c>
      <c r="Q24" s="5">
        <v>20</v>
      </c>
      <c r="R24" s="10">
        <f t="shared" si="2"/>
        <v>40</v>
      </c>
      <c r="S24" s="5">
        <v>85</v>
      </c>
      <c r="T24" s="5" t="s">
        <v>27</v>
      </c>
      <c r="U24" s="11">
        <f t="shared" si="4"/>
        <v>-122</v>
      </c>
    </row>
    <row r="25" spans="1:21" ht="16" x14ac:dyDescent="0.4">
      <c r="A25" s="2" t="s">
        <v>142</v>
      </c>
      <c r="B25" s="3" t="s">
        <v>143</v>
      </c>
      <c r="C25" s="28" t="s">
        <v>48</v>
      </c>
      <c r="D25" s="2" t="s">
        <v>144</v>
      </c>
      <c r="E25" s="4" t="s">
        <v>145</v>
      </c>
      <c r="F25" s="5">
        <v>88</v>
      </c>
      <c r="G25" s="5">
        <v>46</v>
      </c>
      <c r="H25" s="5">
        <v>55</v>
      </c>
      <c r="I25" s="10">
        <v>1</v>
      </c>
      <c r="J25" s="11">
        <f t="shared" si="3"/>
        <v>88</v>
      </c>
      <c r="K25" s="12" t="str">
        <f t="shared" si="0"/>
        <v>Stock_Sufficient</v>
      </c>
      <c r="L25" s="12">
        <f t="shared" si="1"/>
        <v>55</v>
      </c>
      <c r="M25" s="6">
        <v>45391</v>
      </c>
      <c r="N25" s="6">
        <v>45357</v>
      </c>
      <c r="O25" s="6">
        <v>45516</v>
      </c>
      <c r="P25" s="7" t="s">
        <v>146</v>
      </c>
      <c r="Q25" s="5">
        <v>73</v>
      </c>
      <c r="R25" s="10">
        <f t="shared" si="2"/>
        <v>73</v>
      </c>
      <c r="S25" s="5">
        <v>63</v>
      </c>
      <c r="T25" s="5" t="s">
        <v>45</v>
      </c>
      <c r="U25" s="11">
        <f t="shared" si="4"/>
        <v>-15</v>
      </c>
    </row>
    <row r="26" spans="1:21" ht="16" x14ac:dyDescent="0.4">
      <c r="A26" s="2" t="s">
        <v>147</v>
      </c>
      <c r="B26" s="3" t="s">
        <v>148</v>
      </c>
      <c r="C26" s="28" t="s">
        <v>65</v>
      </c>
      <c r="D26" s="2" t="s">
        <v>149</v>
      </c>
      <c r="E26" s="4" t="s">
        <v>150</v>
      </c>
      <c r="F26" s="5">
        <v>63</v>
      </c>
      <c r="G26" s="5">
        <v>4</v>
      </c>
      <c r="H26" s="5">
        <v>85</v>
      </c>
      <c r="I26" s="10">
        <v>12</v>
      </c>
      <c r="J26" s="11">
        <f t="shared" si="3"/>
        <v>756</v>
      </c>
      <c r="K26" s="12" t="str">
        <f t="shared" si="0"/>
        <v>Stock_Sufficient</v>
      </c>
      <c r="L26" s="12">
        <f t="shared" si="1"/>
        <v>1020</v>
      </c>
      <c r="M26" s="6">
        <v>45647</v>
      </c>
      <c r="N26" s="6">
        <v>45670</v>
      </c>
      <c r="O26" s="6">
        <v>45565</v>
      </c>
      <c r="P26" s="7" t="s">
        <v>151</v>
      </c>
      <c r="Q26" s="5">
        <v>59</v>
      </c>
      <c r="R26" s="10">
        <f t="shared" si="2"/>
        <v>708</v>
      </c>
      <c r="S26" s="5">
        <v>71</v>
      </c>
      <c r="T26" s="5" t="s">
        <v>45</v>
      </c>
      <c r="U26" s="11">
        <f t="shared" si="4"/>
        <v>-48</v>
      </c>
    </row>
    <row r="27" spans="1:21" ht="16" x14ac:dyDescent="0.4">
      <c r="A27" s="2" t="s">
        <v>152</v>
      </c>
      <c r="B27" s="3" t="s">
        <v>153</v>
      </c>
      <c r="C27" s="28" t="s">
        <v>23</v>
      </c>
      <c r="D27" s="2" t="s">
        <v>154</v>
      </c>
      <c r="E27" s="4" t="s">
        <v>155</v>
      </c>
      <c r="F27" s="5">
        <v>31</v>
      </c>
      <c r="G27" s="5">
        <v>43</v>
      </c>
      <c r="H27" s="5">
        <v>80</v>
      </c>
      <c r="I27" s="10">
        <v>1.5</v>
      </c>
      <c r="J27" s="11">
        <f t="shared" si="3"/>
        <v>46.5</v>
      </c>
      <c r="K27" s="12" t="str">
        <f t="shared" si="0"/>
        <v>Low Stock_Reorder Needed</v>
      </c>
      <c r="L27" s="12">
        <f t="shared" si="1"/>
        <v>120</v>
      </c>
      <c r="M27" s="6">
        <v>45440</v>
      </c>
      <c r="N27" s="6">
        <v>45710</v>
      </c>
      <c r="O27" s="6">
        <v>45442</v>
      </c>
      <c r="P27" s="7" t="s">
        <v>156</v>
      </c>
      <c r="Q27" s="5">
        <v>46</v>
      </c>
      <c r="R27" s="10">
        <f t="shared" si="2"/>
        <v>69</v>
      </c>
      <c r="S27" s="5">
        <v>78</v>
      </c>
      <c r="T27" s="5" t="s">
        <v>39</v>
      </c>
      <c r="U27" s="11">
        <f t="shared" si="4"/>
        <v>22.5</v>
      </c>
    </row>
    <row r="28" spans="1:21" ht="16" x14ac:dyDescent="0.4">
      <c r="A28" s="2" t="s">
        <v>157</v>
      </c>
      <c r="B28" s="3" t="s">
        <v>158</v>
      </c>
      <c r="C28" s="28" t="s">
        <v>65</v>
      </c>
      <c r="D28" s="2" t="s">
        <v>159</v>
      </c>
      <c r="E28" s="4" t="s">
        <v>160</v>
      </c>
      <c r="F28" s="5">
        <v>97</v>
      </c>
      <c r="G28" s="5">
        <v>88</v>
      </c>
      <c r="H28" s="5">
        <v>81</v>
      </c>
      <c r="I28" s="10">
        <v>0.8</v>
      </c>
      <c r="J28" s="11">
        <f t="shared" si="3"/>
        <v>77.600000000000009</v>
      </c>
      <c r="K28" s="12" t="str">
        <f t="shared" si="0"/>
        <v>Stock_Sufficient</v>
      </c>
      <c r="L28" s="12">
        <f t="shared" si="1"/>
        <v>64.8</v>
      </c>
      <c r="M28" s="6">
        <v>45601</v>
      </c>
      <c r="N28" s="6">
        <v>45480</v>
      </c>
      <c r="O28" s="6">
        <v>45469</v>
      </c>
      <c r="P28" s="7" t="s">
        <v>161</v>
      </c>
      <c r="Q28" s="5">
        <v>97</v>
      </c>
      <c r="R28" s="10">
        <f t="shared" si="2"/>
        <v>77.600000000000009</v>
      </c>
      <c r="S28" s="5">
        <v>18</v>
      </c>
      <c r="T28" s="5" t="s">
        <v>27</v>
      </c>
      <c r="U28" s="11">
        <f t="shared" si="4"/>
        <v>0</v>
      </c>
    </row>
    <row r="29" spans="1:21" ht="16" x14ac:dyDescent="0.4">
      <c r="A29" s="2" t="s">
        <v>162</v>
      </c>
      <c r="B29" s="3" t="s">
        <v>163</v>
      </c>
      <c r="C29" s="28" t="s">
        <v>48</v>
      </c>
      <c r="D29" s="2" t="s">
        <v>164</v>
      </c>
      <c r="E29" s="4" t="s">
        <v>165</v>
      </c>
      <c r="F29" s="5">
        <v>72</v>
      </c>
      <c r="G29" s="5">
        <v>87</v>
      </c>
      <c r="H29" s="5">
        <v>39</v>
      </c>
      <c r="I29" s="10">
        <v>6</v>
      </c>
      <c r="J29" s="11">
        <f t="shared" si="3"/>
        <v>432</v>
      </c>
      <c r="K29" s="12" t="str">
        <f t="shared" si="0"/>
        <v>Low Stock_Reorder Needed</v>
      </c>
      <c r="L29" s="12">
        <f t="shared" si="1"/>
        <v>234</v>
      </c>
      <c r="M29" s="6">
        <v>45467</v>
      </c>
      <c r="N29" s="6">
        <v>45712</v>
      </c>
      <c r="O29" s="6">
        <v>45368</v>
      </c>
      <c r="P29" s="7" t="s">
        <v>166</v>
      </c>
      <c r="Q29" s="5">
        <v>94</v>
      </c>
      <c r="R29" s="10">
        <f t="shared" si="2"/>
        <v>564</v>
      </c>
      <c r="S29" s="5">
        <v>57</v>
      </c>
      <c r="T29" s="5" t="s">
        <v>45</v>
      </c>
      <c r="U29" s="11">
        <f t="shared" si="4"/>
        <v>132</v>
      </c>
    </row>
    <row r="30" spans="1:21" ht="16" x14ac:dyDescent="0.4">
      <c r="A30" s="2" t="s">
        <v>167</v>
      </c>
      <c r="B30" s="3" t="s">
        <v>168</v>
      </c>
      <c r="C30" s="28" t="s">
        <v>90</v>
      </c>
      <c r="D30" s="2" t="s">
        <v>169</v>
      </c>
      <c r="E30" s="4" t="s">
        <v>140</v>
      </c>
      <c r="F30" s="5">
        <v>16</v>
      </c>
      <c r="G30" s="5">
        <v>9</v>
      </c>
      <c r="H30" s="5">
        <v>32</v>
      </c>
      <c r="I30" s="10">
        <v>5</v>
      </c>
      <c r="J30" s="11">
        <f t="shared" si="3"/>
        <v>80</v>
      </c>
      <c r="K30" s="12" t="str">
        <f t="shared" si="0"/>
        <v>Stock_Sufficient</v>
      </c>
      <c r="L30" s="12">
        <f t="shared" si="1"/>
        <v>160</v>
      </c>
      <c r="M30" s="6">
        <v>45489</v>
      </c>
      <c r="N30" s="6">
        <v>45525</v>
      </c>
      <c r="O30" s="6">
        <v>45695</v>
      </c>
      <c r="P30" s="7" t="s">
        <v>170</v>
      </c>
      <c r="Q30" s="5">
        <v>50</v>
      </c>
      <c r="R30" s="10">
        <f t="shared" si="2"/>
        <v>250</v>
      </c>
      <c r="S30" s="5">
        <v>98</v>
      </c>
      <c r="T30" s="5" t="s">
        <v>39</v>
      </c>
      <c r="U30" s="11">
        <f t="shared" si="4"/>
        <v>170</v>
      </c>
    </row>
    <row r="31" spans="1:21" ht="16" x14ac:dyDescent="0.4">
      <c r="A31" s="2" t="s">
        <v>171</v>
      </c>
      <c r="B31" s="3" t="s">
        <v>172</v>
      </c>
      <c r="C31" s="28" t="s">
        <v>48</v>
      </c>
      <c r="D31" s="2" t="s">
        <v>173</v>
      </c>
      <c r="E31" s="4" t="s">
        <v>174</v>
      </c>
      <c r="F31" s="5">
        <v>77</v>
      </c>
      <c r="G31" s="5">
        <v>20</v>
      </c>
      <c r="H31" s="5">
        <v>5</v>
      </c>
      <c r="I31" s="10">
        <v>4.5</v>
      </c>
      <c r="J31" s="11">
        <f t="shared" si="3"/>
        <v>346.5</v>
      </c>
      <c r="K31" s="12" t="str">
        <f t="shared" si="0"/>
        <v>Stock_Sufficient</v>
      </c>
      <c r="L31" s="12">
        <f t="shared" si="1"/>
        <v>22.5</v>
      </c>
      <c r="M31" s="6">
        <v>45522</v>
      </c>
      <c r="N31" s="6">
        <v>45615</v>
      </c>
      <c r="O31" s="6">
        <v>45646</v>
      </c>
      <c r="P31" s="7" t="s">
        <v>175</v>
      </c>
      <c r="Q31" s="5">
        <v>61</v>
      </c>
      <c r="R31" s="10">
        <f t="shared" si="2"/>
        <v>274.5</v>
      </c>
      <c r="S31" s="5">
        <v>62</v>
      </c>
      <c r="T31" s="5" t="s">
        <v>27</v>
      </c>
      <c r="U31" s="11">
        <f t="shared" si="4"/>
        <v>-72</v>
      </c>
    </row>
    <row r="32" spans="1:21" ht="16" x14ac:dyDescent="0.4">
      <c r="A32" s="2" t="s">
        <v>176</v>
      </c>
      <c r="B32" s="3" t="s">
        <v>177</v>
      </c>
      <c r="C32" s="28" t="s">
        <v>48</v>
      </c>
      <c r="D32" s="2" t="s">
        <v>178</v>
      </c>
      <c r="E32" s="4" t="s">
        <v>179</v>
      </c>
      <c r="F32" s="5">
        <v>19</v>
      </c>
      <c r="G32" s="5">
        <v>36</v>
      </c>
      <c r="H32" s="5">
        <v>72</v>
      </c>
      <c r="I32" s="10">
        <v>1.75</v>
      </c>
      <c r="J32" s="11">
        <f t="shared" si="3"/>
        <v>33.25</v>
      </c>
      <c r="K32" s="12" t="str">
        <f t="shared" si="0"/>
        <v>Low Stock_Reorder Needed</v>
      </c>
      <c r="L32" s="12">
        <f t="shared" si="1"/>
        <v>126</v>
      </c>
      <c r="M32" s="6">
        <v>45415</v>
      </c>
      <c r="N32" s="6">
        <v>45379</v>
      </c>
      <c r="O32" s="6">
        <v>45357</v>
      </c>
      <c r="P32" s="7" t="s">
        <v>180</v>
      </c>
      <c r="Q32" s="5">
        <v>31</v>
      </c>
      <c r="R32" s="10">
        <f t="shared" si="2"/>
        <v>54.25</v>
      </c>
      <c r="S32" s="5">
        <v>81</v>
      </c>
      <c r="T32" s="5" t="s">
        <v>39</v>
      </c>
      <c r="U32" s="11">
        <f t="shared" si="4"/>
        <v>21</v>
      </c>
    </row>
    <row r="33" spans="1:21" ht="16" x14ac:dyDescent="0.4">
      <c r="A33" s="2" t="s">
        <v>181</v>
      </c>
      <c r="B33" s="3" t="s">
        <v>182</v>
      </c>
      <c r="C33" s="28" t="s">
        <v>48</v>
      </c>
      <c r="D33" s="2" t="s">
        <v>183</v>
      </c>
      <c r="E33" s="4" t="s">
        <v>184</v>
      </c>
      <c r="F33" s="5">
        <v>18</v>
      </c>
      <c r="G33" s="5">
        <v>52</v>
      </c>
      <c r="H33" s="5">
        <v>22</v>
      </c>
      <c r="I33" s="10">
        <v>3.5</v>
      </c>
      <c r="J33" s="11">
        <f t="shared" si="3"/>
        <v>63</v>
      </c>
      <c r="K33" s="12" t="str">
        <f t="shared" si="0"/>
        <v>Low Stock_Reorder Needed</v>
      </c>
      <c r="L33" s="12">
        <f t="shared" si="1"/>
        <v>77</v>
      </c>
      <c r="M33" s="6">
        <v>45527</v>
      </c>
      <c r="N33" s="6">
        <v>45578</v>
      </c>
      <c r="O33" s="6">
        <v>45563</v>
      </c>
      <c r="P33" s="7" t="s">
        <v>185</v>
      </c>
      <c r="Q33" s="5">
        <v>42</v>
      </c>
      <c r="R33" s="10">
        <f t="shared" si="2"/>
        <v>147</v>
      </c>
      <c r="S33" s="5">
        <v>32</v>
      </c>
      <c r="T33" s="5" t="s">
        <v>39</v>
      </c>
      <c r="U33" s="11">
        <f t="shared" si="4"/>
        <v>84</v>
      </c>
    </row>
    <row r="34" spans="1:21" ht="16" x14ac:dyDescent="0.4">
      <c r="A34" s="2" t="s">
        <v>186</v>
      </c>
      <c r="B34" s="3" t="s">
        <v>187</v>
      </c>
      <c r="C34" s="28" t="s">
        <v>59</v>
      </c>
      <c r="D34" s="2" t="s">
        <v>188</v>
      </c>
      <c r="E34" s="4" t="s">
        <v>189</v>
      </c>
      <c r="F34" s="5">
        <v>47</v>
      </c>
      <c r="G34" s="5">
        <v>48</v>
      </c>
      <c r="H34" s="5">
        <v>73</v>
      </c>
      <c r="I34" s="10">
        <v>6</v>
      </c>
      <c r="J34" s="11">
        <f t="shared" si="3"/>
        <v>282</v>
      </c>
      <c r="K34" s="12" t="str">
        <f t="shared" si="0"/>
        <v>Low Stock_Reorder Needed</v>
      </c>
      <c r="L34" s="12">
        <f t="shared" si="1"/>
        <v>438</v>
      </c>
      <c r="M34" s="6">
        <v>45517</v>
      </c>
      <c r="N34" s="6">
        <v>45471</v>
      </c>
      <c r="O34" s="6">
        <v>45356</v>
      </c>
      <c r="P34" s="7" t="s">
        <v>190</v>
      </c>
      <c r="Q34" s="5">
        <v>42</v>
      </c>
      <c r="R34" s="10">
        <f t="shared" si="2"/>
        <v>252</v>
      </c>
      <c r="S34" s="5">
        <v>51</v>
      </c>
      <c r="T34" s="5" t="s">
        <v>27</v>
      </c>
      <c r="U34" s="11">
        <f t="shared" si="4"/>
        <v>-30</v>
      </c>
    </row>
    <row r="35" spans="1:21" ht="16" x14ac:dyDescent="0.4">
      <c r="A35" s="2" t="s">
        <v>191</v>
      </c>
      <c r="B35" s="3" t="s">
        <v>192</v>
      </c>
      <c r="C35" s="28" t="s">
        <v>30</v>
      </c>
      <c r="D35" s="2" t="s">
        <v>193</v>
      </c>
      <c r="E35" s="4" t="s">
        <v>194</v>
      </c>
      <c r="F35" s="5">
        <v>77</v>
      </c>
      <c r="G35" s="5">
        <v>45</v>
      </c>
      <c r="H35" s="5">
        <v>75</v>
      </c>
      <c r="I35" s="10">
        <v>30</v>
      </c>
      <c r="J35" s="11">
        <f t="shared" si="3"/>
        <v>2310</v>
      </c>
      <c r="K35" s="12" t="str">
        <f t="shared" si="0"/>
        <v>Stock_Sufficient</v>
      </c>
      <c r="L35" s="12">
        <f t="shared" si="1"/>
        <v>2250</v>
      </c>
      <c r="M35" s="6">
        <v>45601</v>
      </c>
      <c r="N35" s="6">
        <v>45523</v>
      </c>
      <c r="O35" s="6">
        <v>45466</v>
      </c>
      <c r="P35" s="7" t="s">
        <v>195</v>
      </c>
      <c r="Q35" s="5">
        <v>25</v>
      </c>
      <c r="R35" s="10">
        <f t="shared" si="2"/>
        <v>750</v>
      </c>
      <c r="S35" s="5">
        <v>37</v>
      </c>
      <c r="T35" s="5" t="s">
        <v>27</v>
      </c>
      <c r="U35" s="11">
        <f t="shared" si="4"/>
        <v>-1560</v>
      </c>
    </row>
    <row r="36" spans="1:21" ht="16" x14ac:dyDescent="0.4">
      <c r="A36" s="2" t="s">
        <v>196</v>
      </c>
      <c r="B36" s="3" t="s">
        <v>197</v>
      </c>
      <c r="C36" s="28" t="s">
        <v>133</v>
      </c>
      <c r="D36" s="2" t="s">
        <v>198</v>
      </c>
      <c r="E36" s="4" t="s">
        <v>199</v>
      </c>
      <c r="F36" s="5">
        <v>46</v>
      </c>
      <c r="G36" s="5">
        <v>28</v>
      </c>
      <c r="H36" s="5">
        <v>73</v>
      </c>
      <c r="I36" s="10">
        <v>9</v>
      </c>
      <c r="J36" s="11">
        <f t="shared" si="3"/>
        <v>414</v>
      </c>
      <c r="K36" s="12" t="str">
        <f t="shared" si="0"/>
        <v>Stock_Sufficient</v>
      </c>
      <c r="L36" s="12">
        <f t="shared" si="1"/>
        <v>657</v>
      </c>
      <c r="M36" s="6">
        <v>45440</v>
      </c>
      <c r="N36" s="6">
        <v>45593</v>
      </c>
      <c r="O36" s="6">
        <v>45652</v>
      </c>
      <c r="P36" s="7" t="s">
        <v>200</v>
      </c>
      <c r="Q36" s="5">
        <v>65</v>
      </c>
      <c r="R36" s="10">
        <f t="shared" si="2"/>
        <v>585</v>
      </c>
      <c r="S36" s="5">
        <v>57</v>
      </c>
      <c r="T36" s="5" t="s">
        <v>27</v>
      </c>
      <c r="U36" s="11">
        <f t="shared" si="4"/>
        <v>171</v>
      </c>
    </row>
    <row r="37" spans="1:21" ht="16" x14ac:dyDescent="0.4">
      <c r="A37" s="2" t="s">
        <v>201</v>
      </c>
      <c r="B37" s="3" t="s">
        <v>202</v>
      </c>
      <c r="C37" s="28" t="s">
        <v>48</v>
      </c>
      <c r="D37" s="2" t="s">
        <v>203</v>
      </c>
      <c r="E37" s="4" t="s">
        <v>204</v>
      </c>
      <c r="F37" s="5">
        <v>39</v>
      </c>
      <c r="G37" s="5">
        <v>22</v>
      </c>
      <c r="H37" s="5">
        <v>73</v>
      </c>
      <c r="I37" s="10">
        <v>2</v>
      </c>
      <c r="J37" s="11">
        <f t="shared" si="3"/>
        <v>78</v>
      </c>
      <c r="K37" s="12" t="str">
        <f t="shared" si="0"/>
        <v>Stock_Sufficient</v>
      </c>
      <c r="L37" s="12">
        <f t="shared" si="1"/>
        <v>146</v>
      </c>
      <c r="M37" s="6">
        <v>45454</v>
      </c>
      <c r="N37" s="6">
        <v>45496</v>
      </c>
      <c r="O37" s="6">
        <v>45593</v>
      </c>
      <c r="P37" s="7" t="s">
        <v>205</v>
      </c>
      <c r="Q37" s="5">
        <v>60</v>
      </c>
      <c r="R37" s="10">
        <f t="shared" si="2"/>
        <v>120</v>
      </c>
      <c r="S37" s="5">
        <v>2</v>
      </c>
      <c r="T37" s="5" t="s">
        <v>45</v>
      </c>
      <c r="U37" s="11">
        <f t="shared" si="4"/>
        <v>42</v>
      </c>
    </row>
    <row r="38" spans="1:21" ht="16" x14ac:dyDescent="0.4">
      <c r="A38" s="2" t="s">
        <v>206</v>
      </c>
      <c r="B38" s="3" t="s">
        <v>22</v>
      </c>
      <c r="C38" s="28" t="s">
        <v>23</v>
      </c>
      <c r="D38" s="2" t="s">
        <v>207</v>
      </c>
      <c r="E38" s="4" t="s">
        <v>208</v>
      </c>
      <c r="F38" s="5">
        <v>75</v>
      </c>
      <c r="G38" s="5">
        <v>69</v>
      </c>
      <c r="H38" s="5">
        <v>100</v>
      </c>
      <c r="I38" s="10">
        <v>4.5</v>
      </c>
      <c r="J38" s="11">
        <f t="shared" si="3"/>
        <v>337.5</v>
      </c>
      <c r="K38" s="12" t="str">
        <f t="shared" si="0"/>
        <v>Stock_Sufficient</v>
      </c>
      <c r="L38" s="12">
        <f t="shared" si="1"/>
        <v>450</v>
      </c>
      <c r="M38" s="6">
        <v>45484</v>
      </c>
      <c r="N38" s="6">
        <v>45676</v>
      </c>
      <c r="O38" s="6">
        <v>45704</v>
      </c>
      <c r="P38" s="7" t="s">
        <v>209</v>
      </c>
      <c r="Q38" s="5">
        <v>43</v>
      </c>
      <c r="R38" s="10">
        <f t="shared" si="2"/>
        <v>193.5</v>
      </c>
      <c r="S38" s="5">
        <v>18</v>
      </c>
      <c r="T38" s="5" t="s">
        <v>39</v>
      </c>
      <c r="U38" s="11">
        <f t="shared" si="4"/>
        <v>-144</v>
      </c>
    </row>
    <row r="39" spans="1:21" ht="16" x14ac:dyDescent="0.4">
      <c r="A39" s="2" t="s">
        <v>210</v>
      </c>
      <c r="B39" s="3" t="s">
        <v>182</v>
      </c>
      <c r="C39" s="28" t="s">
        <v>48</v>
      </c>
      <c r="D39" s="2" t="s">
        <v>211</v>
      </c>
      <c r="E39" s="4" t="s">
        <v>212</v>
      </c>
      <c r="F39" s="5">
        <v>48</v>
      </c>
      <c r="G39" s="5">
        <v>48</v>
      </c>
      <c r="H39" s="5">
        <v>39</v>
      </c>
      <c r="I39" s="10">
        <v>3.45</v>
      </c>
      <c r="J39" s="11">
        <f t="shared" si="3"/>
        <v>165.60000000000002</v>
      </c>
      <c r="K39" s="12" t="str">
        <f t="shared" si="0"/>
        <v>Low Stock_Reorder Needed</v>
      </c>
      <c r="L39" s="12">
        <f t="shared" si="1"/>
        <v>134.55000000000001</v>
      </c>
      <c r="M39" s="6">
        <v>45368</v>
      </c>
      <c r="N39" s="6">
        <v>45682</v>
      </c>
      <c r="O39" s="6">
        <v>45595</v>
      </c>
      <c r="P39" s="7" t="s">
        <v>213</v>
      </c>
      <c r="Q39" s="5">
        <v>51</v>
      </c>
      <c r="R39" s="10">
        <f t="shared" si="2"/>
        <v>175.95000000000002</v>
      </c>
      <c r="S39" s="5">
        <v>50</v>
      </c>
      <c r="T39" s="5" t="s">
        <v>27</v>
      </c>
      <c r="U39" s="11">
        <f t="shared" si="4"/>
        <v>10.349999999999994</v>
      </c>
    </row>
    <row r="40" spans="1:21" ht="16" x14ac:dyDescent="0.4">
      <c r="A40" s="2" t="s">
        <v>214</v>
      </c>
      <c r="B40" s="3" t="s">
        <v>215</v>
      </c>
      <c r="C40" s="28" t="s">
        <v>48</v>
      </c>
      <c r="D40" s="2" t="s">
        <v>216</v>
      </c>
      <c r="E40" s="4" t="s">
        <v>217</v>
      </c>
      <c r="F40" s="5">
        <v>61</v>
      </c>
      <c r="G40" s="5">
        <v>90</v>
      </c>
      <c r="H40" s="5">
        <v>26</v>
      </c>
      <c r="I40" s="10">
        <v>2.5</v>
      </c>
      <c r="J40" s="11">
        <f t="shared" si="3"/>
        <v>152.5</v>
      </c>
      <c r="K40" s="12" t="str">
        <f t="shared" si="0"/>
        <v>Low Stock_Reorder Needed</v>
      </c>
      <c r="L40" s="12">
        <f t="shared" si="1"/>
        <v>65</v>
      </c>
      <c r="M40" s="6">
        <v>45648</v>
      </c>
      <c r="N40" s="6">
        <v>45542</v>
      </c>
      <c r="O40" s="6">
        <v>45554</v>
      </c>
      <c r="P40" s="7" t="s">
        <v>218</v>
      </c>
      <c r="Q40" s="5">
        <v>79</v>
      </c>
      <c r="R40" s="10">
        <f t="shared" si="2"/>
        <v>197.5</v>
      </c>
      <c r="S40" s="5">
        <v>84</v>
      </c>
      <c r="T40" s="5" t="s">
        <v>27</v>
      </c>
      <c r="U40" s="11">
        <f t="shared" si="4"/>
        <v>45</v>
      </c>
    </row>
    <row r="41" spans="1:21" ht="16" x14ac:dyDescent="0.4">
      <c r="A41" s="2" t="s">
        <v>219</v>
      </c>
      <c r="B41" s="3" t="s">
        <v>220</v>
      </c>
      <c r="C41" s="28" t="s">
        <v>23</v>
      </c>
      <c r="D41" s="2" t="s">
        <v>221</v>
      </c>
      <c r="E41" s="4" t="s">
        <v>222</v>
      </c>
      <c r="F41" s="5">
        <v>60</v>
      </c>
      <c r="G41" s="5">
        <v>90</v>
      </c>
      <c r="H41" s="5">
        <v>85</v>
      </c>
      <c r="I41" s="10">
        <v>3</v>
      </c>
      <c r="J41" s="11">
        <f t="shared" si="3"/>
        <v>180</v>
      </c>
      <c r="K41" s="12" t="str">
        <f t="shared" si="0"/>
        <v>Low Stock_Reorder Needed</v>
      </c>
      <c r="L41" s="12">
        <f t="shared" si="1"/>
        <v>255</v>
      </c>
      <c r="M41" s="6">
        <v>45678</v>
      </c>
      <c r="N41" s="6">
        <v>45371</v>
      </c>
      <c r="O41" s="6">
        <v>45528</v>
      </c>
      <c r="P41" s="7" t="s">
        <v>223</v>
      </c>
      <c r="Q41" s="5">
        <v>47</v>
      </c>
      <c r="R41" s="10">
        <f t="shared" si="2"/>
        <v>141</v>
      </c>
      <c r="S41" s="5">
        <v>9</v>
      </c>
      <c r="T41" s="5" t="s">
        <v>27</v>
      </c>
      <c r="U41" s="11">
        <f t="shared" si="4"/>
        <v>-39</v>
      </c>
    </row>
    <row r="42" spans="1:21" ht="16" x14ac:dyDescent="0.4">
      <c r="A42" s="2" t="s">
        <v>224</v>
      </c>
      <c r="B42" s="3" t="s">
        <v>225</v>
      </c>
      <c r="C42" s="28" t="s">
        <v>48</v>
      </c>
      <c r="D42" s="2" t="s">
        <v>226</v>
      </c>
      <c r="E42" s="4" t="s">
        <v>227</v>
      </c>
      <c r="F42" s="5">
        <v>24</v>
      </c>
      <c r="G42" s="5">
        <v>55</v>
      </c>
      <c r="H42" s="5">
        <v>51</v>
      </c>
      <c r="I42" s="10">
        <v>5</v>
      </c>
      <c r="J42" s="11">
        <f t="shared" si="3"/>
        <v>120</v>
      </c>
      <c r="K42" s="12" t="str">
        <f t="shared" si="0"/>
        <v>Low Stock_Reorder Needed</v>
      </c>
      <c r="L42" s="12">
        <f t="shared" si="1"/>
        <v>255</v>
      </c>
      <c r="M42" s="6">
        <v>45408</v>
      </c>
      <c r="N42" s="6">
        <v>45712</v>
      </c>
      <c r="O42" s="6">
        <v>45621</v>
      </c>
      <c r="P42" s="7" t="s">
        <v>228</v>
      </c>
      <c r="Q42" s="5">
        <v>39</v>
      </c>
      <c r="R42" s="10">
        <f t="shared" si="2"/>
        <v>195</v>
      </c>
      <c r="S42" s="5">
        <v>15</v>
      </c>
      <c r="T42" s="5" t="s">
        <v>27</v>
      </c>
      <c r="U42" s="11">
        <f t="shared" si="4"/>
        <v>75</v>
      </c>
    </row>
    <row r="43" spans="1:21" ht="16" x14ac:dyDescent="0.4">
      <c r="A43" s="2" t="s">
        <v>229</v>
      </c>
      <c r="B43" s="3" t="s">
        <v>230</v>
      </c>
      <c r="C43" s="28" t="s">
        <v>48</v>
      </c>
      <c r="D43" s="2" t="s">
        <v>231</v>
      </c>
      <c r="E43" s="4" t="s">
        <v>232</v>
      </c>
      <c r="F43" s="5">
        <v>12</v>
      </c>
      <c r="G43" s="5">
        <v>7</v>
      </c>
      <c r="H43" s="5">
        <v>48</v>
      </c>
      <c r="I43" s="10">
        <v>2.2999999999999998</v>
      </c>
      <c r="J43" s="11">
        <f t="shared" si="3"/>
        <v>27.599999999999998</v>
      </c>
      <c r="K43" s="12" t="str">
        <f t="shared" si="0"/>
        <v>Stock_Sufficient</v>
      </c>
      <c r="L43" s="12">
        <f t="shared" si="1"/>
        <v>110.39999999999999</v>
      </c>
      <c r="M43" s="6">
        <v>45467</v>
      </c>
      <c r="N43" s="6">
        <v>45651</v>
      </c>
      <c r="O43" s="6">
        <v>45448</v>
      </c>
      <c r="P43" s="7" t="s">
        <v>233</v>
      </c>
      <c r="Q43" s="5">
        <v>66</v>
      </c>
      <c r="R43" s="10">
        <f t="shared" si="2"/>
        <v>151.79999999999998</v>
      </c>
      <c r="S43" s="5">
        <v>4</v>
      </c>
      <c r="T43" s="5" t="s">
        <v>27</v>
      </c>
      <c r="U43" s="11">
        <f t="shared" si="4"/>
        <v>124.19999999999999</v>
      </c>
    </row>
    <row r="44" spans="1:21" ht="16" x14ac:dyDescent="0.4">
      <c r="A44" s="2" t="s">
        <v>234</v>
      </c>
      <c r="B44" s="3" t="s">
        <v>235</v>
      </c>
      <c r="C44" s="28" t="s">
        <v>30</v>
      </c>
      <c r="D44" s="2" t="s">
        <v>236</v>
      </c>
      <c r="E44" s="4" t="s">
        <v>160</v>
      </c>
      <c r="F44" s="5">
        <v>84</v>
      </c>
      <c r="G44" s="5">
        <v>13</v>
      </c>
      <c r="H44" s="5">
        <v>88</v>
      </c>
      <c r="I44" s="10">
        <v>15</v>
      </c>
      <c r="J44" s="11">
        <f t="shared" si="3"/>
        <v>1260</v>
      </c>
      <c r="K44" s="12" t="str">
        <f t="shared" si="0"/>
        <v>Stock_Sufficient</v>
      </c>
      <c r="L44" s="12">
        <f t="shared" si="1"/>
        <v>1320</v>
      </c>
      <c r="M44" s="6">
        <v>45683</v>
      </c>
      <c r="N44" s="6">
        <v>45630</v>
      </c>
      <c r="O44" s="6">
        <v>45495</v>
      </c>
      <c r="P44" s="7" t="s">
        <v>237</v>
      </c>
      <c r="Q44" s="5">
        <v>25</v>
      </c>
      <c r="R44" s="10">
        <f t="shared" si="2"/>
        <v>375</v>
      </c>
      <c r="S44" s="5">
        <v>34</v>
      </c>
      <c r="T44" s="5" t="s">
        <v>39</v>
      </c>
      <c r="U44" s="11">
        <f t="shared" si="4"/>
        <v>-885</v>
      </c>
    </row>
    <row r="45" spans="1:21" ht="16" x14ac:dyDescent="0.4">
      <c r="A45" s="2" t="s">
        <v>238</v>
      </c>
      <c r="B45" s="3" t="s">
        <v>239</v>
      </c>
      <c r="C45" s="28" t="s">
        <v>65</v>
      </c>
      <c r="D45" s="2" t="s">
        <v>240</v>
      </c>
      <c r="E45" s="4" t="s">
        <v>241</v>
      </c>
      <c r="F45" s="5">
        <v>51</v>
      </c>
      <c r="G45" s="5">
        <v>100</v>
      </c>
      <c r="H45" s="5">
        <v>70</v>
      </c>
      <c r="I45" s="10">
        <v>3</v>
      </c>
      <c r="J45" s="11">
        <f t="shared" si="3"/>
        <v>153</v>
      </c>
      <c r="K45" s="12" t="str">
        <f t="shared" si="0"/>
        <v>Low Stock_Reorder Needed</v>
      </c>
      <c r="L45" s="12">
        <f t="shared" si="1"/>
        <v>210</v>
      </c>
      <c r="M45" s="6">
        <v>45412</v>
      </c>
      <c r="N45" s="6">
        <v>45586</v>
      </c>
      <c r="O45" s="6">
        <v>45557</v>
      </c>
      <c r="P45" s="7" t="s">
        <v>242</v>
      </c>
      <c r="Q45" s="5">
        <v>40</v>
      </c>
      <c r="R45" s="10">
        <f t="shared" si="2"/>
        <v>120</v>
      </c>
      <c r="S45" s="5">
        <v>21</v>
      </c>
      <c r="T45" s="5" t="s">
        <v>27</v>
      </c>
      <c r="U45" s="11">
        <f t="shared" si="4"/>
        <v>-33</v>
      </c>
    </row>
    <row r="46" spans="1:21" ht="16" x14ac:dyDescent="0.4">
      <c r="A46" s="2" t="s">
        <v>243</v>
      </c>
      <c r="B46" s="3" t="s">
        <v>244</v>
      </c>
      <c r="C46" s="28" t="s">
        <v>90</v>
      </c>
      <c r="D46" s="2" t="s">
        <v>245</v>
      </c>
      <c r="E46" s="4" t="s">
        <v>246</v>
      </c>
      <c r="F46" s="5">
        <v>65</v>
      </c>
      <c r="G46" s="5">
        <v>36</v>
      </c>
      <c r="H46" s="5">
        <v>37</v>
      </c>
      <c r="I46" s="10">
        <v>3.5</v>
      </c>
      <c r="J46" s="11">
        <f t="shared" si="3"/>
        <v>227.5</v>
      </c>
      <c r="K46" s="12" t="str">
        <f t="shared" si="0"/>
        <v>Stock_Sufficient</v>
      </c>
      <c r="L46" s="12">
        <f t="shared" si="1"/>
        <v>129.5</v>
      </c>
      <c r="M46" s="6">
        <v>45403</v>
      </c>
      <c r="N46" s="6">
        <v>45455</v>
      </c>
      <c r="O46" s="6">
        <v>45681</v>
      </c>
      <c r="P46" s="7" t="s">
        <v>247</v>
      </c>
      <c r="Q46" s="5">
        <v>32</v>
      </c>
      <c r="R46" s="10">
        <f t="shared" si="2"/>
        <v>112</v>
      </c>
      <c r="S46" s="5">
        <v>70</v>
      </c>
      <c r="T46" s="5" t="s">
        <v>39</v>
      </c>
      <c r="U46" s="11">
        <f t="shared" si="4"/>
        <v>-115.5</v>
      </c>
    </row>
    <row r="47" spans="1:21" ht="16" x14ac:dyDescent="0.4">
      <c r="A47" s="2" t="s">
        <v>248</v>
      </c>
      <c r="B47" s="3" t="s">
        <v>41</v>
      </c>
      <c r="C47" s="28" t="s">
        <v>23</v>
      </c>
      <c r="D47" s="2" t="s">
        <v>249</v>
      </c>
      <c r="E47" s="4" t="s">
        <v>250</v>
      </c>
      <c r="F47" s="5">
        <v>67</v>
      </c>
      <c r="G47" s="5">
        <v>88</v>
      </c>
      <c r="H47" s="5">
        <v>32</v>
      </c>
      <c r="I47" s="10">
        <v>1.5</v>
      </c>
      <c r="J47" s="11">
        <f t="shared" si="3"/>
        <v>100.5</v>
      </c>
      <c r="K47" s="12" t="str">
        <f t="shared" si="0"/>
        <v>Low Stock_Reorder Needed</v>
      </c>
      <c r="L47" s="12">
        <f t="shared" si="1"/>
        <v>48</v>
      </c>
      <c r="M47" s="6">
        <v>45388</v>
      </c>
      <c r="N47" s="6">
        <v>45413</v>
      </c>
      <c r="O47" s="6">
        <v>45613</v>
      </c>
      <c r="P47" s="7" t="s">
        <v>251</v>
      </c>
      <c r="Q47" s="5">
        <v>66</v>
      </c>
      <c r="R47" s="10">
        <f t="shared" si="2"/>
        <v>99</v>
      </c>
      <c r="S47" s="5">
        <v>42</v>
      </c>
      <c r="T47" s="5" t="s">
        <v>27</v>
      </c>
      <c r="U47" s="11">
        <f t="shared" si="4"/>
        <v>-1.5</v>
      </c>
    </row>
    <row r="48" spans="1:21" ht="16" x14ac:dyDescent="0.4">
      <c r="A48" s="2" t="s">
        <v>252</v>
      </c>
      <c r="B48" s="3" t="s">
        <v>109</v>
      </c>
      <c r="C48" s="28" t="s">
        <v>23</v>
      </c>
      <c r="D48" s="2" t="s">
        <v>253</v>
      </c>
      <c r="E48" s="4" t="s">
        <v>254</v>
      </c>
      <c r="F48" s="5">
        <v>14</v>
      </c>
      <c r="G48" s="5">
        <v>74</v>
      </c>
      <c r="H48" s="5">
        <v>71</v>
      </c>
      <c r="I48" s="10">
        <v>1.5</v>
      </c>
      <c r="J48" s="11">
        <f t="shared" si="3"/>
        <v>21</v>
      </c>
      <c r="K48" s="12" t="str">
        <f t="shared" si="0"/>
        <v>Low Stock_Reorder Needed</v>
      </c>
      <c r="L48" s="12">
        <f t="shared" si="1"/>
        <v>106.5</v>
      </c>
      <c r="M48" s="6">
        <v>45522</v>
      </c>
      <c r="N48" s="6">
        <v>45618</v>
      </c>
      <c r="O48" s="6">
        <v>45428</v>
      </c>
      <c r="P48" s="7" t="s">
        <v>255</v>
      </c>
      <c r="Q48" s="5">
        <v>37</v>
      </c>
      <c r="R48" s="10">
        <f t="shared" si="2"/>
        <v>55.5</v>
      </c>
      <c r="S48" s="5">
        <v>22</v>
      </c>
      <c r="T48" s="5" t="s">
        <v>27</v>
      </c>
      <c r="U48" s="11">
        <f t="shared" si="4"/>
        <v>34.5</v>
      </c>
    </row>
    <row r="49" spans="1:21" ht="16" x14ac:dyDescent="0.4">
      <c r="A49" s="2" t="s">
        <v>256</v>
      </c>
      <c r="B49" s="3" t="s">
        <v>257</v>
      </c>
      <c r="C49" s="28" t="s">
        <v>48</v>
      </c>
      <c r="D49" s="2" t="s">
        <v>258</v>
      </c>
      <c r="E49" s="4" t="s">
        <v>259</v>
      </c>
      <c r="F49" s="5">
        <v>45</v>
      </c>
      <c r="G49" s="5">
        <v>24</v>
      </c>
      <c r="H49" s="5">
        <v>61</v>
      </c>
      <c r="I49" s="10">
        <v>6</v>
      </c>
      <c r="J49" s="11">
        <f t="shared" si="3"/>
        <v>270</v>
      </c>
      <c r="K49" s="12" t="str">
        <f t="shared" si="0"/>
        <v>Stock_Sufficient</v>
      </c>
      <c r="L49" s="12">
        <f t="shared" si="1"/>
        <v>366</v>
      </c>
      <c r="M49" s="6">
        <v>45678</v>
      </c>
      <c r="N49" s="6">
        <v>45695</v>
      </c>
      <c r="O49" s="6">
        <v>45703</v>
      </c>
      <c r="P49" s="7" t="s">
        <v>260</v>
      </c>
      <c r="Q49" s="5">
        <v>44</v>
      </c>
      <c r="R49" s="10">
        <f t="shared" si="2"/>
        <v>264</v>
      </c>
      <c r="S49" s="5">
        <v>34</v>
      </c>
      <c r="T49" s="5" t="s">
        <v>39</v>
      </c>
      <c r="U49" s="11">
        <f t="shared" si="4"/>
        <v>-6</v>
      </c>
    </row>
    <row r="50" spans="1:21" ht="16" x14ac:dyDescent="0.4">
      <c r="A50" s="2" t="s">
        <v>261</v>
      </c>
      <c r="B50" s="3" t="s">
        <v>225</v>
      </c>
      <c r="C50" s="28" t="s">
        <v>48</v>
      </c>
      <c r="D50" s="2" t="s">
        <v>262</v>
      </c>
      <c r="E50" s="4" t="s">
        <v>263</v>
      </c>
      <c r="F50" s="5">
        <v>92</v>
      </c>
      <c r="G50" s="5">
        <v>46</v>
      </c>
      <c r="H50" s="5">
        <v>13</v>
      </c>
      <c r="I50" s="10">
        <v>5</v>
      </c>
      <c r="J50" s="11">
        <f t="shared" si="3"/>
        <v>460</v>
      </c>
      <c r="K50" s="12" t="str">
        <f t="shared" si="0"/>
        <v>Stock_Sufficient</v>
      </c>
      <c r="L50" s="12">
        <f t="shared" si="1"/>
        <v>65</v>
      </c>
      <c r="M50" s="6">
        <v>45501</v>
      </c>
      <c r="N50" s="6">
        <v>45583</v>
      </c>
      <c r="O50" s="6">
        <v>45377</v>
      </c>
      <c r="P50" s="7" t="s">
        <v>264</v>
      </c>
      <c r="Q50" s="5">
        <v>24</v>
      </c>
      <c r="R50" s="10">
        <f t="shared" si="2"/>
        <v>120</v>
      </c>
      <c r="S50" s="5">
        <v>75</v>
      </c>
      <c r="T50" s="5" t="s">
        <v>27</v>
      </c>
      <c r="U50" s="11">
        <f t="shared" si="4"/>
        <v>-340</v>
      </c>
    </row>
    <row r="51" spans="1:21" ht="16" x14ac:dyDescent="0.4">
      <c r="A51" s="2" t="s">
        <v>265</v>
      </c>
      <c r="B51" s="3" t="s">
        <v>266</v>
      </c>
      <c r="C51" s="28" t="s">
        <v>90</v>
      </c>
      <c r="D51" s="2" t="s">
        <v>267</v>
      </c>
      <c r="E51" s="4" t="s">
        <v>268</v>
      </c>
      <c r="F51" s="5">
        <v>41</v>
      </c>
      <c r="G51" s="5">
        <v>84</v>
      </c>
      <c r="H51" s="5">
        <v>90</v>
      </c>
      <c r="I51" s="10">
        <v>4</v>
      </c>
      <c r="J51" s="11">
        <f t="shared" si="3"/>
        <v>164</v>
      </c>
      <c r="K51" s="12" t="str">
        <f t="shared" si="0"/>
        <v>Low Stock_Reorder Needed</v>
      </c>
      <c r="L51" s="12">
        <f t="shared" si="1"/>
        <v>360</v>
      </c>
      <c r="M51" s="6">
        <v>45685</v>
      </c>
      <c r="N51" s="6">
        <v>45624</v>
      </c>
      <c r="O51" s="6">
        <v>45608</v>
      </c>
      <c r="P51" s="7" t="s">
        <v>269</v>
      </c>
      <c r="Q51" s="5">
        <v>42</v>
      </c>
      <c r="R51" s="10">
        <f t="shared" si="2"/>
        <v>168</v>
      </c>
      <c r="S51" s="5">
        <v>65</v>
      </c>
      <c r="T51" s="5" t="s">
        <v>45</v>
      </c>
      <c r="U51" s="11">
        <f t="shared" si="4"/>
        <v>4</v>
      </c>
    </row>
    <row r="52" spans="1:21" ht="16" x14ac:dyDescent="0.4">
      <c r="A52" s="2" t="s">
        <v>270</v>
      </c>
      <c r="B52" s="3" t="s">
        <v>220</v>
      </c>
      <c r="C52" s="28" t="s">
        <v>23</v>
      </c>
      <c r="D52" s="2" t="s">
        <v>271</v>
      </c>
      <c r="E52" s="4" t="s">
        <v>272</v>
      </c>
      <c r="F52" s="5">
        <v>41</v>
      </c>
      <c r="G52" s="5">
        <v>36</v>
      </c>
      <c r="H52" s="5">
        <v>78</v>
      </c>
      <c r="I52" s="10">
        <v>4.5</v>
      </c>
      <c r="J52" s="11">
        <f t="shared" si="3"/>
        <v>184.5</v>
      </c>
      <c r="K52" s="12" t="str">
        <f t="shared" si="0"/>
        <v>Stock_Sufficient</v>
      </c>
      <c r="L52" s="12">
        <f t="shared" si="1"/>
        <v>351</v>
      </c>
      <c r="M52" s="6">
        <v>45477</v>
      </c>
      <c r="N52" s="6">
        <v>45569</v>
      </c>
      <c r="O52" s="6">
        <v>45427</v>
      </c>
      <c r="P52" s="7" t="s">
        <v>273</v>
      </c>
      <c r="Q52" s="5">
        <v>38</v>
      </c>
      <c r="R52" s="10">
        <f t="shared" si="2"/>
        <v>171</v>
      </c>
      <c r="S52" s="5">
        <v>75</v>
      </c>
      <c r="T52" s="5" t="s">
        <v>39</v>
      </c>
      <c r="U52" s="11">
        <f t="shared" si="4"/>
        <v>-13.5</v>
      </c>
    </row>
    <row r="53" spans="1:21" ht="16" x14ac:dyDescent="0.4">
      <c r="A53" s="2" t="s">
        <v>274</v>
      </c>
      <c r="B53" s="3" t="s">
        <v>275</v>
      </c>
      <c r="C53" s="28" t="s">
        <v>48</v>
      </c>
      <c r="D53" s="2" t="s">
        <v>276</v>
      </c>
      <c r="E53" s="4" t="s">
        <v>129</v>
      </c>
      <c r="F53" s="5">
        <v>85</v>
      </c>
      <c r="G53" s="5">
        <v>45</v>
      </c>
      <c r="H53" s="5">
        <v>71</v>
      </c>
      <c r="I53" s="10">
        <v>3</v>
      </c>
      <c r="J53" s="11">
        <f t="shared" si="3"/>
        <v>255</v>
      </c>
      <c r="K53" s="12" t="str">
        <f t="shared" si="0"/>
        <v>Stock_Sufficient</v>
      </c>
      <c r="L53" s="12">
        <f t="shared" si="1"/>
        <v>213</v>
      </c>
      <c r="M53" s="6">
        <v>45371</v>
      </c>
      <c r="N53" s="6">
        <v>45654</v>
      </c>
      <c r="O53" s="6">
        <v>45690</v>
      </c>
      <c r="P53" s="7" t="s">
        <v>277</v>
      </c>
      <c r="Q53" s="5">
        <v>95</v>
      </c>
      <c r="R53" s="10">
        <f t="shared" si="2"/>
        <v>285</v>
      </c>
      <c r="S53" s="5">
        <v>72</v>
      </c>
      <c r="T53" s="5" t="s">
        <v>27</v>
      </c>
      <c r="U53" s="11">
        <f t="shared" si="4"/>
        <v>30</v>
      </c>
    </row>
    <row r="54" spans="1:21" ht="16" x14ac:dyDescent="0.4">
      <c r="A54" s="2" t="s">
        <v>278</v>
      </c>
      <c r="B54" s="3" t="s">
        <v>182</v>
      </c>
      <c r="C54" s="28" t="s">
        <v>48</v>
      </c>
      <c r="D54" s="2" t="s">
        <v>279</v>
      </c>
      <c r="E54" s="4" t="s">
        <v>280</v>
      </c>
      <c r="F54" s="5">
        <v>44</v>
      </c>
      <c r="G54" s="5">
        <v>80</v>
      </c>
      <c r="H54" s="5">
        <v>84</v>
      </c>
      <c r="I54" s="10">
        <v>3.4</v>
      </c>
      <c r="J54" s="11">
        <f t="shared" si="3"/>
        <v>149.6</v>
      </c>
      <c r="K54" s="12" t="str">
        <f t="shared" si="0"/>
        <v>Low Stock_Reorder Needed</v>
      </c>
      <c r="L54" s="12">
        <f t="shared" si="1"/>
        <v>285.59999999999997</v>
      </c>
      <c r="M54" s="6">
        <v>45534</v>
      </c>
      <c r="N54" s="6">
        <v>45582</v>
      </c>
      <c r="O54" s="6">
        <v>45356</v>
      </c>
      <c r="P54" s="7" t="s">
        <v>281</v>
      </c>
      <c r="Q54" s="5">
        <v>96</v>
      </c>
      <c r="R54" s="10">
        <f t="shared" si="2"/>
        <v>326.39999999999998</v>
      </c>
      <c r="S54" s="5">
        <v>68</v>
      </c>
      <c r="T54" s="5" t="s">
        <v>27</v>
      </c>
      <c r="U54" s="11">
        <f t="shared" si="4"/>
        <v>176.79999999999998</v>
      </c>
    </row>
    <row r="55" spans="1:21" ht="16" x14ac:dyDescent="0.4">
      <c r="A55" s="2" t="s">
        <v>282</v>
      </c>
      <c r="B55" s="3" t="s">
        <v>283</v>
      </c>
      <c r="C55" s="28" t="s">
        <v>90</v>
      </c>
      <c r="D55" s="2" t="s">
        <v>284</v>
      </c>
      <c r="E55" s="4" t="s">
        <v>204</v>
      </c>
      <c r="F55" s="5">
        <v>92</v>
      </c>
      <c r="G55" s="5">
        <v>87</v>
      </c>
      <c r="H55" s="5">
        <v>84</v>
      </c>
      <c r="I55" s="10">
        <v>2.5</v>
      </c>
      <c r="J55" s="11">
        <f t="shared" si="3"/>
        <v>230</v>
      </c>
      <c r="K55" s="12" t="str">
        <f t="shared" si="0"/>
        <v>Stock_Sufficient</v>
      </c>
      <c r="L55" s="12">
        <f t="shared" si="1"/>
        <v>210</v>
      </c>
      <c r="M55" s="6">
        <v>45584</v>
      </c>
      <c r="N55" s="6">
        <v>45457</v>
      </c>
      <c r="O55" s="6">
        <v>45434</v>
      </c>
      <c r="P55" s="7" t="s">
        <v>285</v>
      </c>
      <c r="Q55" s="5">
        <v>61</v>
      </c>
      <c r="R55" s="10">
        <f t="shared" si="2"/>
        <v>152.5</v>
      </c>
      <c r="S55" s="5">
        <v>31</v>
      </c>
      <c r="T55" s="5" t="s">
        <v>39</v>
      </c>
      <c r="U55" s="11">
        <f t="shared" si="4"/>
        <v>-77.5</v>
      </c>
    </row>
    <row r="56" spans="1:21" ht="16" x14ac:dyDescent="0.4">
      <c r="A56" s="2" t="s">
        <v>286</v>
      </c>
      <c r="B56" s="3" t="s">
        <v>287</v>
      </c>
      <c r="C56" s="28" t="s">
        <v>30</v>
      </c>
      <c r="D56" s="2" t="s">
        <v>288</v>
      </c>
      <c r="E56" s="4" t="s">
        <v>289</v>
      </c>
      <c r="F56" s="5">
        <v>62</v>
      </c>
      <c r="G56" s="5">
        <v>89</v>
      </c>
      <c r="H56" s="5">
        <v>18</v>
      </c>
      <c r="I56" s="10">
        <v>12</v>
      </c>
      <c r="J56" s="11">
        <f t="shared" si="3"/>
        <v>744</v>
      </c>
      <c r="K56" s="12" t="str">
        <f t="shared" si="0"/>
        <v>Low Stock_Reorder Needed</v>
      </c>
      <c r="L56" s="12">
        <f t="shared" si="1"/>
        <v>216</v>
      </c>
      <c r="M56" s="6">
        <v>45363</v>
      </c>
      <c r="N56" s="6">
        <v>45700</v>
      </c>
      <c r="O56" s="6">
        <v>45624</v>
      </c>
      <c r="P56" s="7" t="s">
        <v>290</v>
      </c>
      <c r="Q56" s="5">
        <v>35</v>
      </c>
      <c r="R56" s="10">
        <f t="shared" si="2"/>
        <v>420</v>
      </c>
      <c r="S56" s="5">
        <v>36</v>
      </c>
      <c r="T56" s="5" t="s">
        <v>45</v>
      </c>
      <c r="U56" s="11">
        <f t="shared" si="4"/>
        <v>-324</v>
      </c>
    </row>
    <row r="57" spans="1:21" ht="16" x14ac:dyDescent="0.4">
      <c r="A57" s="2" t="s">
        <v>291</v>
      </c>
      <c r="B57" s="3" t="s">
        <v>215</v>
      </c>
      <c r="C57" s="28" t="s">
        <v>48</v>
      </c>
      <c r="D57" s="2" t="s">
        <v>292</v>
      </c>
      <c r="E57" s="4" t="s">
        <v>179</v>
      </c>
      <c r="F57" s="5">
        <v>26</v>
      </c>
      <c r="G57" s="5">
        <v>18</v>
      </c>
      <c r="H57" s="5">
        <v>62</v>
      </c>
      <c r="I57" s="10">
        <v>2.5</v>
      </c>
      <c r="J57" s="11">
        <f t="shared" si="3"/>
        <v>65</v>
      </c>
      <c r="K57" s="12" t="str">
        <f t="shared" si="0"/>
        <v>Stock_Sufficient</v>
      </c>
      <c r="L57" s="12">
        <f t="shared" si="1"/>
        <v>155</v>
      </c>
      <c r="M57" s="6">
        <v>45501</v>
      </c>
      <c r="N57" s="6">
        <v>45494</v>
      </c>
      <c r="O57" s="6">
        <v>45690</v>
      </c>
      <c r="P57" s="7" t="s">
        <v>293</v>
      </c>
      <c r="Q57" s="5">
        <v>57</v>
      </c>
      <c r="R57" s="10">
        <f t="shared" si="2"/>
        <v>142.5</v>
      </c>
      <c r="S57" s="5">
        <v>86</v>
      </c>
      <c r="T57" s="5" t="s">
        <v>27</v>
      </c>
      <c r="U57" s="11">
        <f t="shared" si="4"/>
        <v>77.5</v>
      </c>
    </row>
    <row r="58" spans="1:21" ht="16" x14ac:dyDescent="0.4">
      <c r="A58" s="2" t="s">
        <v>294</v>
      </c>
      <c r="B58" s="3" t="s">
        <v>266</v>
      </c>
      <c r="C58" s="28" t="s">
        <v>90</v>
      </c>
      <c r="D58" s="2" t="s">
        <v>295</v>
      </c>
      <c r="E58" s="4" t="s">
        <v>296</v>
      </c>
      <c r="F58" s="5">
        <v>59</v>
      </c>
      <c r="G58" s="5">
        <v>78</v>
      </c>
      <c r="H58" s="5">
        <v>6</v>
      </c>
      <c r="I58" s="10">
        <v>4.5</v>
      </c>
      <c r="J58" s="11">
        <f t="shared" si="3"/>
        <v>265.5</v>
      </c>
      <c r="K58" s="12" t="str">
        <f t="shared" si="0"/>
        <v>Low Stock_Reorder Needed</v>
      </c>
      <c r="L58" s="12">
        <f t="shared" si="1"/>
        <v>27</v>
      </c>
      <c r="M58" s="6">
        <v>45599</v>
      </c>
      <c r="N58" s="6">
        <v>45453</v>
      </c>
      <c r="O58" s="6">
        <v>45622</v>
      </c>
      <c r="P58" s="7" t="s">
        <v>297</v>
      </c>
      <c r="Q58" s="5">
        <v>32</v>
      </c>
      <c r="R58" s="10">
        <f t="shared" si="2"/>
        <v>144</v>
      </c>
      <c r="S58" s="5">
        <v>3</v>
      </c>
      <c r="T58" s="5" t="s">
        <v>45</v>
      </c>
      <c r="U58" s="11">
        <f t="shared" si="4"/>
        <v>-121.5</v>
      </c>
    </row>
    <row r="59" spans="1:21" ht="16" x14ac:dyDescent="0.4">
      <c r="A59" s="2" t="s">
        <v>298</v>
      </c>
      <c r="B59" s="3" t="s">
        <v>275</v>
      </c>
      <c r="C59" s="28" t="s">
        <v>48</v>
      </c>
      <c r="D59" s="2" t="s">
        <v>299</v>
      </c>
      <c r="E59" s="4" t="s">
        <v>300</v>
      </c>
      <c r="F59" s="5">
        <v>88</v>
      </c>
      <c r="G59" s="5">
        <v>37</v>
      </c>
      <c r="H59" s="5">
        <v>61</v>
      </c>
      <c r="I59" s="10">
        <v>2.9</v>
      </c>
      <c r="J59" s="11">
        <f t="shared" si="3"/>
        <v>255.2</v>
      </c>
      <c r="K59" s="12" t="str">
        <f t="shared" si="0"/>
        <v>Stock_Sufficient</v>
      </c>
      <c r="L59" s="12">
        <f t="shared" si="1"/>
        <v>176.9</v>
      </c>
      <c r="M59" s="6">
        <v>45691</v>
      </c>
      <c r="N59" s="6">
        <v>45609</v>
      </c>
      <c r="O59" s="6">
        <v>45370</v>
      </c>
      <c r="P59" s="7" t="s">
        <v>301</v>
      </c>
      <c r="Q59" s="5">
        <v>63</v>
      </c>
      <c r="R59" s="10">
        <f t="shared" si="2"/>
        <v>182.7</v>
      </c>
      <c r="S59" s="5">
        <v>35</v>
      </c>
      <c r="T59" s="5" t="s">
        <v>27</v>
      </c>
      <c r="U59" s="11">
        <f t="shared" si="4"/>
        <v>-72.5</v>
      </c>
    </row>
    <row r="60" spans="1:21" ht="16" x14ac:dyDescent="0.4">
      <c r="A60" s="2" t="s">
        <v>302</v>
      </c>
      <c r="B60" s="3" t="s">
        <v>303</v>
      </c>
      <c r="C60" s="28" t="s">
        <v>133</v>
      </c>
      <c r="D60" s="2" t="s">
        <v>304</v>
      </c>
      <c r="E60" s="4" t="s">
        <v>305</v>
      </c>
      <c r="F60" s="5">
        <v>91</v>
      </c>
      <c r="G60" s="5">
        <v>59</v>
      </c>
      <c r="H60" s="5">
        <v>49</v>
      </c>
      <c r="I60" s="10">
        <v>6</v>
      </c>
      <c r="J60" s="11">
        <f t="shared" si="3"/>
        <v>546</v>
      </c>
      <c r="K60" s="12" t="str">
        <f t="shared" si="0"/>
        <v>Stock_Sufficient</v>
      </c>
      <c r="L60" s="12">
        <f t="shared" si="1"/>
        <v>294</v>
      </c>
      <c r="M60" s="6">
        <v>45588</v>
      </c>
      <c r="N60" s="6">
        <v>45387</v>
      </c>
      <c r="O60" s="6">
        <v>45469</v>
      </c>
      <c r="P60" s="7" t="s">
        <v>306</v>
      </c>
      <c r="Q60" s="5">
        <v>30</v>
      </c>
      <c r="R60" s="10">
        <f t="shared" si="2"/>
        <v>180</v>
      </c>
      <c r="S60" s="5">
        <v>63</v>
      </c>
      <c r="T60" s="5" t="s">
        <v>45</v>
      </c>
      <c r="U60" s="11">
        <f t="shared" si="4"/>
        <v>-366</v>
      </c>
    </row>
    <row r="61" spans="1:21" ht="16" x14ac:dyDescent="0.4">
      <c r="A61" s="2" t="s">
        <v>307</v>
      </c>
      <c r="B61" s="3" t="s">
        <v>187</v>
      </c>
      <c r="C61" s="28" t="s">
        <v>59</v>
      </c>
      <c r="D61" s="2" t="s">
        <v>308</v>
      </c>
      <c r="E61" s="4" t="s">
        <v>309</v>
      </c>
      <c r="F61" s="5">
        <v>28</v>
      </c>
      <c r="G61" s="5">
        <v>17</v>
      </c>
      <c r="H61" s="5">
        <v>28</v>
      </c>
      <c r="I61" s="10">
        <v>6</v>
      </c>
      <c r="J61" s="11">
        <f t="shared" si="3"/>
        <v>168</v>
      </c>
      <c r="K61" s="12" t="str">
        <f t="shared" si="0"/>
        <v>Stock_Sufficient</v>
      </c>
      <c r="L61" s="12">
        <f t="shared" si="1"/>
        <v>168</v>
      </c>
      <c r="M61" s="6">
        <v>45589</v>
      </c>
      <c r="N61" s="6">
        <v>45524</v>
      </c>
      <c r="O61" s="6">
        <v>45531</v>
      </c>
      <c r="P61" s="7" t="s">
        <v>310</v>
      </c>
      <c r="Q61" s="5">
        <v>38</v>
      </c>
      <c r="R61" s="10">
        <f t="shared" si="2"/>
        <v>228</v>
      </c>
      <c r="S61" s="5">
        <v>25</v>
      </c>
      <c r="T61" s="5" t="s">
        <v>45</v>
      </c>
      <c r="U61" s="11">
        <f t="shared" si="4"/>
        <v>60</v>
      </c>
    </row>
    <row r="62" spans="1:21" ht="16" x14ac:dyDescent="0.4">
      <c r="A62" s="2" t="s">
        <v>311</v>
      </c>
      <c r="B62" s="3" t="s">
        <v>312</v>
      </c>
      <c r="C62" s="28" t="s">
        <v>48</v>
      </c>
      <c r="D62" s="2" t="s">
        <v>313</v>
      </c>
      <c r="E62" s="4" t="s">
        <v>314</v>
      </c>
      <c r="F62" s="5">
        <v>51</v>
      </c>
      <c r="G62" s="5">
        <v>60</v>
      </c>
      <c r="H62" s="5">
        <v>98</v>
      </c>
      <c r="I62" s="10">
        <v>1.5</v>
      </c>
      <c r="J62" s="11">
        <f t="shared" si="3"/>
        <v>76.5</v>
      </c>
      <c r="K62" s="12" t="str">
        <f t="shared" si="0"/>
        <v>Low Stock_Reorder Needed</v>
      </c>
      <c r="L62" s="12">
        <f t="shared" si="1"/>
        <v>147</v>
      </c>
      <c r="M62" s="6">
        <v>45413</v>
      </c>
      <c r="N62" s="6">
        <v>45638</v>
      </c>
      <c r="O62" s="6">
        <v>45561</v>
      </c>
      <c r="P62" s="7" t="s">
        <v>315</v>
      </c>
      <c r="Q62" s="5">
        <v>44</v>
      </c>
      <c r="R62" s="10">
        <f t="shared" si="2"/>
        <v>66</v>
      </c>
      <c r="S62" s="5">
        <v>95</v>
      </c>
      <c r="T62" s="5" t="s">
        <v>27</v>
      </c>
      <c r="U62" s="11">
        <f t="shared" si="4"/>
        <v>-10.5</v>
      </c>
    </row>
    <row r="63" spans="1:21" ht="16" x14ac:dyDescent="0.4">
      <c r="A63" s="2" t="s">
        <v>316</v>
      </c>
      <c r="B63" s="3" t="s">
        <v>317</v>
      </c>
      <c r="C63" s="28" t="s">
        <v>30</v>
      </c>
      <c r="D63" s="2" t="s">
        <v>318</v>
      </c>
      <c r="E63" s="4" t="s">
        <v>319</v>
      </c>
      <c r="F63" s="5">
        <v>46</v>
      </c>
      <c r="G63" s="5">
        <v>27</v>
      </c>
      <c r="H63" s="5">
        <v>76</v>
      </c>
      <c r="I63" s="10">
        <v>5</v>
      </c>
      <c r="J63" s="11">
        <f t="shared" si="3"/>
        <v>230</v>
      </c>
      <c r="K63" s="12" t="str">
        <f t="shared" si="0"/>
        <v>Stock_Sufficient</v>
      </c>
      <c r="L63" s="12">
        <f t="shared" si="1"/>
        <v>380</v>
      </c>
      <c r="M63" s="6">
        <v>45550</v>
      </c>
      <c r="N63" s="6">
        <v>45558</v>
      </c>
      <c r="O63" s="6">
        <v>45670</v>
      </c>
      <c r="P63" s="7" t="s">
        <v>320</v>
      </c>
      <c r="Q63" s="5">
        <v>64</v>
      </c>
      <c r="R63" s="10">
        <f t="shared" si="2"/>
        <v>320</v>
      </c>
      <c r="S63" s="5">
        <v>96</v>
      </c>
      <c r="T63" s="5" t="s">
        <v>45</v>
      </c>
      <c r="U63" s="11">
        <f t="shared" si="4"/>
        <v>90</v>
      </c>
    </row>
    <row r="64" spans="1:21" ht="16" x14ac:dyDescent="0.4">
      <c r="A64" s="2" t="s">
        <v>321</v>
      </c>
      <c r="B64" s="3" t="s">
        <v>172</v>
      </c>
      <c r="C64" s="28" t="s">
        <v>48</v>
      </c>
      <c r="D64" s="2" t="s">
        <v>322</v>
      </c>
      <c r="E64" s="4" t="s">
        <v>323</v>
      </c>
      <c r="F64" s="5">
        <v>82</v>
      </c>
      <c r="G64" s="5">
        <v>65</v>
      </c>
      <c r="H64" s="5">
        <v>69</v>
      </c>
      <c r="I64" s="10">
        <v>4.45</v>
      </c>
      <c r="J64" s="11">
        <f t="shared" si="3"/>
        <v>364.90000000000003</v>
      </c>
      <c r="K64" s="12" t="str">
        <f t="shared" si="0"/>
        <v>Stock_Sufficient</v>
      </c>
      <c r="L64" s="12">
        <f t="shared" si="1"/>
        <v>307.05</v>
      </c>
      <c r="M64" s="6">
        <v>45393</v>
      </c>
      <c r="N64" s="6">
        <v>45608</v>
      </c>
      <c r="O64" s="6">
        <v>45512</v>
      </c>
      <c r="P64" s="7" t="s">
        <v>324</v>
      </c>
      <c r="Q64" s="5">
        <v>30</v>
      </c>
      <c r="R64" s="10">
        <f t="shared" si="2"/>
        <v>133.5</v>
      </c>
      <c r="S64" s="5">
        <v>78</v>
      </c>
      <c r="T64" s="5" t="s">
        <v>39</v>
      </c>
      <c r="U64" s="11">
        <f t="shared" si="4"/>
        <v>-231.40000000000003</v>
      </c>
    </row>
    <row r="65" spans="1:21" ht="16" x14ac:dyDescent="0.4">
      <c r="A65" s="2" t="s">
        <v>325</v>
      </c>
      <c r="B65" s="3" t="s">
        <v>187</v>
      </c>
      <c r="C65" s="28" t="s">
        <v>59</v>
      </c>
      <c r="D65" s="2" t="s">
        <v>326</v>
      </c>
      <c r="E65" s="4" t="s">
        <v>199</v>
      </c>
      <c r="F65" s="5">
        <v>100</v>
      </c>
      <c r="G65" s="5">
        <v>92</v>
      </c>
      <c r="H65" s="5">
        <v>26</v>
      </c>
      <c r="I65" s="10">
        <v>6</v>
      </c>
      <c r="J65" s="11">
        <f t="shared" si="3"/>
        <v>600</v>
      </c>
      <c r="K65" s="12" t="str">
        <f t="shared" si="0"/>
        <v>Stock_Sufficient</v>
      </c>
      <c r="L65" s="12">
        <f t="shared" si="1"/>
        <v>156</v>
      </c>
      <c r="M65" s="6">
        <v>45417</v>
      </c>
      <c r="N65" s="6">
        <v>45680</v>
      </c>
      <c r="O65" s="6">
        <v>45704</v>
      </c>
      <c r="P65" s="7" t="s">
        <v>327</v>
      </c>
      <c r="Q65" s="5">
        <v>84</v>
      </c>
      <c r="R65" s="10">
        <f t="shared" si="2"/>
        <v>504</v>
      </c>
      <c r="S65" s="5">
        <v>9</v>
      </c>
      <c r="T65" s="5" t="s">
        <v>45</v>
      </c>
      <c r="U65" s="11">
        <f t="shared" si="4"/>
        <v>-96</v>
      </c>
    </row>
    <row r="66" spans="1:21" ht="16" x14ac:dyDescent="0.4">
      <c r="A66" s="2" t="s">
        <v>328</v>
      </c>
      <c r="B66" s="3" t="s">
        <v>329</v>
      </c>
      <c r="C66" s="28" t="s">
        <v>65</v>
      </c>
      <c r="D66" s="2" t="s">
        <v>330</v>
      </c>
      <c r="E66" s="4" t="s">
        <v>331</v>
      </c>
      <c r="F66" s="5">
        <v>51</v>
      </c>
      <c r="G66" s="5">
        <v>53</v>
      </c>
      <c r="H66" s="5">
        <v>88</v>
      </c>
      <c r="I66" s="10">
        <v>6</v>
      </c>
      <c r="J66" s="11">
        <f t="shared" si="3"/>
        <v>306</v>
      </c>
      <c r="K66" s="12" t="str">
        <f t="shared" ref="K66:K129" si="5">IF(F66&lt;=G66,"Low Stock_Reorder Needed","Stock_Sufficient")</f>
        <v>Low Stock_Reorder Needed</v>
      </c>
      <c r="L66" s="12">
        <f t="shared" ref="L66:L129" si="6">H66*I66</f>
        <v>528</v>
      </c>
      <c r="M66" s="6">
        <v>45688</v>
      </c>
      <c r="N66" s="6">
        <v>45473</v>
      </c>
      <c r="O66" s="6">
        <v>45559</v>
      </c>
      <c r="P66" s="7" t="s">
        <v>332</v>
      </c>
      <c r="Q66" s="5">
        <v>54</v>
      </c>
      <c r="R66" s="10">
        <f t="shared" ref="R66:R129" si="7">Q66*I66</f>
        <v>324</v>
      </c>
      <c r="S66" s="5">
        <v>59</v>
      </c>
      <c r="T66" s="5" t="s">
        <v>27</v>
      </c>
      <c r="U66" s="11">
        <f t="shared" si="4"/>
        <v>18</v>
      </c>
    </row>
    <row r="67" spans="1:21" ht="16" x14ac:dyDescent="0.4">
      <c r="A67" s="2" t="s">
        <v>333</v>
      </c>
      <c r="B67" s="3" t="s">
        <v>235</v>
      </c>
      <c r="C67" s="28" t="s">
        <v>30</v>
      </c>
      <c r="D67" s="2" t="s">
        <v>334</v>
      </c>
      <c r="E67" s="4" t="s">
        <v>212</v>
      </c>
      <c r="F67" s="5">
        <v>61</v>
      </c>
      <c r="G67" s="5">
        <v>43</v>
      </c>
      <c r="H67" s="5">
        <v>29</v>
      </c>
      <c r="I67" s="10">
        <v>15</v>
      </c>
      <c r="J67" s="11">
        <f t="shared" ref="J67:J130" si="8">I67*F67</f>
        <v>915</v>
      </c>
      <c r="K67" s="12" t="str">
        <f t="shared" si="5"/>
        <v>Stock_Sufficient</v>
      </c>
      <c r="L67" s="12">
        <f t="shared" si="6"/>
        <v>435</v>
      </c>
      <c r="M67" s="6">
        <v>45691</v>
      </c>
      <c r="N67" s="6">
        <v>45590</v>
      </c>
      <c r="O67" s="6">
        <v>45354</v>
      </c>
      <c r="P67" s="7" t="s">
        <v>335</v>
      </c>
      <c r="Q67" s="5">
        <v>67</v>
      </c>
      <c r="R67" s="10">
        <f t="shared" si="7"/>
        <v>1005</v>
      </c>
      <c r="S67" s="5">
        <v>6</v>
      </c>
      <c r="T67" s="5" t="s">
        <v>27</v>
      </c>
      <c r="U67" s="11">
        <f t="shared" ref="U67:U130" si="9">R67-J67</f>
        <v>90</v>
      </c>
    </row>
    <row r="68" spans="1:21" ht="16" x14ac:dyDescent="0.4">
      <c r="A68" s="2" t="s">
        <v>336</v>
      </c>
      <c r="B68" s="3" t="s">
        <v>337</v>
      </c>
      <c r="C68" s="28" t="s">
        <v>30</v>
      </c>
      <c r="D68" s="2" t="s">
        <v>338</v>
      </c>
      <c r="E68" s="4" t="s">
        <v>339</v>
      </c>
      <c r="F68" s="5">
        <v>99</v>
      </c>
      <c r="G68" s="5">
        <v>87</v>
      </c>
      <c r="H68" s="5">
        <v>10</v>
      </c>
      <c r="I68" s="10">
        <v>25</v>
      </c>
      <c r="J68" s="11">
        <f t="shared" si="8"/>
        <v>2475</v>
      </c>
      <c r="K68" s="12" t="str">
        <f t="shared" si="5"/>
        <v>Stock_Sufficient</v>
      </c>
      <c r="L68" s="12">
        <f t="shared" si="6"/>
        <v>250</v>
      </c>
      <c r="M68" s="6">
        <v>45634</v>
      </c>
      <c r="N68" s="6">
        <v>45351</v>
      </c>
      <c r="O68" s="6">
        <v>45368</v>
      </c>
      <c r="P68" s="7" t="s">
        <v>340</v>
      </c>
      <c r="Q68" s="5">
        <v>93</v>
      </c>
      <c r="R68" s="10">
        <f t="shared" si="7"/>
        <v>2325</v>
      </c>
      <c r="S68" s="5">
        <v>70</v>
      </c>
      <c r="T68" s="5" t="s">
        <v>45</v>
      </c>
      <c r="U68" s="11">
        <f t="shared" si="9"/>
        <v>-150</v>
      </c>
    </row>
    <row r="69" spans="1:21" ht="16" x14ac:dyDescent="0.4">
      <c r="A69" s="2" t="s">
        <v>341</v>
      </c>
      <c r="B69" s="3" t="s">
        <v>177</v>
      </c>
      <c r="C69" s="28" t="s">
        <v>48</v>
      </c>
      <c r="D69" s="2" t="s">
        <v>342</v>
      </c>
      <c r="E69" s="4" t="s">
        <v>140</v>
      </c>
      <c r="F69" s="5">
        <v>13</v>
      </c>
      <c r="G69" s="5">
        <v>60</v>
      </c>
      <c r="H69" s="5">
        <v>100</v>
      </c>
      <c r="I69" s="10">
        <v>1.8</v>
      </c>
      <c r="J69" s="11">
        <f t="shared" si="8"/>
        <v>23.400000000000002</v>
      </c>
      <c r="K69" s="12" t="str">
        <f t="shared" si="5"/>
        <v>Low Stock_Reorder Needed</v>
      </c>
      <c r="L69" s="12">
        <f t="shared" si="6"/>
        <v>180</v>
      </c>
      <c r="M69" s="6">
        <v>45491</v>
      </c>
      <c r="N69" s="6">
        <v>45673</v>
      </c>
      <c r="O69" s="6">
        <v>45467</v>
      </c>
      <c r="P69" s="7" t="s">
        <v>343</v>
      </c>
      <c r="Q69" s="5">
        <v>44</v>
      </c>
      <c r="R69" s="10">
        <f t="shared" si="7"/>
        <v>79.2</v>
      </c>
      <c r="S69" s="5">
        <v>32</v>
      </c>
      <c r="T69" s="5" t="s">
        <v>39</v>
      </c>
      <c r="U69" s="11">
        <f t="shared" si="9"/>
        <v>55.8</v>
      </c>
    </row>
    <row r="70" spans="1:21" ht="16" x14ac:dyDescent="0.4">
      <c r="A70" s="2" t="s">
        <v>344</v>
      </c>
      <c r="B70" s="3" t="s">
        <v>345</v>
      </c>
      <c r="C70" s="28" t="s">
        <v>65</v>
      </c>
      <c r="D70" s="2" t="s">
        <v>346</v>
      </c>
      <c r="E70" s="4" t="s">
        <v>347</v>
      </c>
      <c r="F70" s="5">
        <v>45</v>
      </c>
      <c r="G70" s="5">
        <v>63</v>
      </c>
      <c r="H70" s="5">
        <v>75</v>
      </c>
      <c r="I70" s="10">
        <v>7</v>
      </c>
      <c r="J70" s="11">
        <f t="shared" si="8"/>
        <v>315</v>
      </c>
      <c r="K70" s="12" t="str">
        <f t="shared" si="5"/>
        <v>Low Stock_Reorder Needed</v>
      </c>
      <c r="L70" s="12">
        <f t="shared" si="6"/>
        <v>525</v>
      </c>
      <c r="M70" s="6">
        <v>45685</v>
      </c>
      <c r="N70" s="6">
        <v>45616</v>
      </c>
      <c r="O70" s="6">
        <v>45697</v>
      </c>
      <c r="P70" s="7" t="s">
        <v>348</v>
      </c>
      <c r="Q70" s="5">
        <v>83</v>
      </c>
      <c r="R70" s="10">
        <f t="shared" si="7"/>
        <v>581</v>
      </c>
      <c r="S70" s="5">
        <v>5</v>
      </c>
      <c r="T70" s="5" t="s">
        <v>27</v>
      </c>
      <c r="U70" s="11">
        <f t="shared" si="9"/>
        <v>266</v>
      </c>
    </row>
    <row r="71" spans="1:21" ht="16" x14ac:dyDescent="0.4">
      <c r="A71" s="2" t="s">
        <v>349</v>
      </c>
      <c r="B71" s="3" t="s">
        <v>350</v>
      </c>
      <c r="C71" s="28" t="s">
        <v>48</v>
      </c>
      <c r="D71" s="2" t="s">
        <v>351</v>
      </c>
      <c r="E71" s="4" t="s">
        <v>352</v>
      </c>
      <c r="F71" s="5">
        <v>73</v>
      </c>
      <c r="G71" s="5">
        <v>87</v>
      </c>
      <c r="H71" s="5">
        <v>46</v>
      </c>
      <c r="I71" s="10">
        <v>4</v>
      </c>
      <c r="J71" s="11">
        <f t="shared" si="8"/>
        <v>292</v>
      </c>
      <c r="K71" s="12" t="str">
        <f t="shared" si="5"/>
        <v>Low Stock_Reorder Needed</v>
      </c>
      <c r="L71" s="12">
        <f t="shared" si="6"/>
        <v>184</v>
      </c>
      <c r="M71" s="6">
        <v>45559</v>
      </c>
      <c r="N71" s="6">
        <v>45672</v>
      </c>
      <c r="O71" s="6">
        <v>45423</v>
      </c>
      <c r="P71" s="7" t="s">
        <v>353</v>
      </c>
      <c r="Q71" s="5">
        <v>47</v>
      </c>
      <c r="R71" s="10">
        <f t="shared" si="7"/>
        <v>188</v>
      </c>
      <c r="S71" s="5">
        <v>67</v>
      </c>
      <c r="T71" s="5" t="s">
        <v>27</v>
      </c>
      <c r="U71" s="11">
        <f t="shared" si="9"/>
        <v>-104</v>
      </c>
    </row>
    <row r="72" spans="1:21" ht="16" x14ac:dyDescent="0.4">
      <c r="A72" s="2" t="s">
        <v>354</v>
      </c>
      <c r="B72" s="3" t="s">
        <v>355</v>
      </c>
      <c r="C72" s="28" t="s">
        <v>48</v>
      </c>
      <c r="D72" s="2" t="s">
        <v>356</v>
      </c>
      <c r="E72" s="4" t="s">
        <v>357</v>
      </c>
      <c r="F72" s="5">
        <v>39</v>
      </c>
      <c r="G72" s="5">
        <v>21</v>
      </c>
      <c r="H72" s="5">
        <v>5</v>
      </c>
      <c r="I72" s="10">
        <v>3</v>
      </c>
      <c r="J72" s="11">
        <f t="shared" si="8"/>
        <v>117</v>
      </c>
      <c r="K72" s="12" t="str">
        <f t="shared" si="5"/>
        <v>Stock_Sufficient</v>
      </c>
      <c r="L72" s="12">
        <f t="shared" si="6"/>
        <v>15</v>
      </c>
      <c r="M72" s="6">
        <v>45620</v>
      </c>
      <c r="N72" s="6">
        <v>45413</v>
      </c>
      <c r="O72" s="6">
        <v>45665</v>
      </c>
      <c r="P72" s="7" t="s">
        <v>358</v>
      </c>
      <c r="Q72" s="5">
        <v>51</v>
      </c>
      <c r="R72" s="10">
        <f t="shared" si="7"/>
        <v>153</v>
      </c>
      <c r="S72" s="5">
        <v>98</v>
      </c>
      <c r="T72" s="5" t="s">
        <v>39</v>
      </c>
      <c r="U72" s="11">
        <f t="shared" si="9"/>
        <v>36</v>
      </c>
    </row>
    <row r="73" spans="1:21" ht="16" x14ac:dyDescent="0.4">
      <c r="A73" s="2" t="s">
        <v>359</v>
      </c>
      <c r="B73" s="3" t="s">
        <v>132</v>
      </c>
      <c r="C73" s="28" t="s">
        <v>133</v>
      </c>
      <c r="D73" s="2" t="s">
        <v>360</v>
      </c>
      <c r="E73" s="4" t="s">
        <v>361</v>
      </c>
      <c r="F73" s="5">
        <v>29</v>
      </c>
      <c r="G73" s="5">
        <v>72</v>
      </c>
      <c r="H73" s="5">
        <v>96</v>
      </c>
      <c r="I73" s="10">
        <v>12</v>
      </c>
      <c r="J73" s="11">
        <f t="shared" si="8"/>
        <v>348</v>
      </c>
      <c r="K73" s="12" t="str">
        <f t="shared" si="5"/>
        <v>Low Stock_Reorder Needed</v>
      </c>
      <c r="L73" s="12">
        <f t="shared" si="6"/>
        <v>1152</v>
      </c>
      <c r="M73" s="6">
        <v>45415</v>
      </c>
      <c r="N73" s="6">
        <v>45622</v>
      </c>
      <c r="O73" s="6">
        <v>45666</v>
      </c>
      <c r="P73" s="7" t="s">
        <v>362</v>
      </c>
      <c r="Q73" s="5">
        <v>85</v>
      </c>
      <c r="R73" s="10">
        <f t="shared" si="7"/>
        <v>1020</v>
      </c>
      <c r="S73" s="5">
        <v>52</v>
      </c>
      <c r="T73" s="5" t="s">
        <v>45</v>
      </c>
      <c r="U73" s="11">
        <f t="shared" si="9"/>
        <v>672</v>
      </c>
    </row>
    <row r="74" spans="1:21" ht="16" x14ac:dyDescent="0.4">
      <c r="A74" s="2" t="s">
        <v>363</v>
      </c>
      <c r="B74" s="3" t="s">
        <v>364</v>
      </c>
      <c r="C74" s="28" t="s">
        <v>65</v>
      </c>
      <c r="D74" s="2" t="s">
        <v>365</v>
      </c>
      <c r="E74" s="4" t="s">
        <v>366</v>
      </c>
      <c r="F74" s="5">
        <v>12</v>
      </c>
      <c r="G74" s="5">
        <v>60</v>
      </c>
      <c r="H74" s="5">
        <v>73</v>
      </c>
      <c r="I74" s="10">
        <v>4</v>
      </c>
      <c r="J74" s="11">
        <f t="shared" si="8"/>
        <v>48</v>
      </c>
      <c r="K74" s="12" t="str">
        <f t="shared" si="5"/>
        <v>Low Stock_Reorder Needed</v>
      </c>
      <c r="L74" s="12">
        <f t="shared" si="6"/>
        <v>292</v>
      </c>
      <c r="M74" s="6">
        <v>45691</v>
      </c>
      <c r="N74" s="6">
        <v>45367</v>
      </c>
      <c r="O74" s="6">
        <v>45536</v>
      </c>
      <c r="P74" s="7" t="s">
        <v>367</v>
      </c>
      <c r="Q74" s="5">
        <v>20</v>
      </c>
      <c r="R74" s="10">
        <f t="shared" si="7"/>
        <v>80</v>
      </c>
      <c r="S74" s="5">
        <v>35</v>
      </c>
      <c r="T74" s="5" t="s">
        <v>27</v>
      </c>
      <c r="U74" s="11">
        <f t="shared" si="9"/>
        <v>32</v>
      </c>
    </row>
    <row r="75" spans="1:21" ht="16" x14ac:dyDescent="0.4">
      <c r="A75" s="2" t="s">
        <v>368</v>
      </c>
      <c r="B75" s="3" t="s">
        <v>369</v>
      </c>
      <c r="C75" s="28" t="s">
        <v>48</v>
      </c>
      <c r="D75" s="2" t="s">
        <v>370</v>
      </c>
      <c r="E75" s="4" t="s">
        <v>371</v>
      </c>
      <c r="F75" s="5">
        <v>96</v>
      </c>
      <c r="G75" s="5">
        <v>33</v>
      </c>
      <c r="H75" s="5">
        <v>72</v>
      </c>
      <c r="I75" s="10">
        <v>4.45</v>
      </c>
      <c r="J75" s="11">
        <f t="shared" si="8"/>
        <v>427.20000000000005</v>
      </c>
      <c r="K75" s="12" t="str">
        <f t="shared" si="5"/>
        <v>Stock_Sufficient</v>
      </c>
      <c r="L75" s="12">
        <f t="shared" si="6"/>
        <v>320.40000000000003</v>
      </c>
      <c r="M75" s="6">
        <v>45361</v>
      </c>
      <c r="N75" s="6">
        <v>45428</v>
      </c>
      <c r="O75" s="6">
        <v>45485</v>
      </c>
      <c r="P75" s="7" t="s">
        <v>372</v>
      </c>
      <c r="Q75" s="5">
        <v>74</v>
      </c>
      <c r="R75" s="10">
        <f t="shared" si="7"/>
        <v>329.3</v>
      </c>
      <c r="S75" s="5">
        <v>100</v>
      </c>
      <c r="T75" s="5" t="s">
        <v>45</v>
      </c>
      <c r="U75" s="11">
        <f t="shared" si="9"/>
        <v>-97.900000000000034</v>
      </c>
    </row>
    <row r="76" spans="1:21" ht="16" x14ac:dyDescent="0.4">
      <c r="A76" s="2" t="s">
        <v>373</v>
      </c>
      <c r="B76" s="3" t="s">
        <v>202</v>
      </c>
      <c r="C76" s="28" t="s">
        <v>48</v>
      </c>
      <c r="D76" s="2" t="s">
        <v>374</v>
      </c>
      <c r="E76" s="4" t="s">
        <v>375</v>
      </c>
      <c r="F76" s="5">
        <v>35</v>
      </c>
      <c r="G76" s="5">
        <v>92</v>
      </c>
      <c r="H76" s="5">
        <v>74</v>
      </c>
      <c r="I76" s="10">
        <v>2</v>
      </c>
      <c r="J76" s="11">
        <f t="shared" si="8"/>
        <v>70</v>
      </c>
      <c r="K76" s="12" t="str">
        <f t="shared" si="5"/>
        <v>Low Stock_Reorder Needed</v>
      </c>
      <c r="L76" s="12">
        <f t="shared" si="6"/>
        <v>148</v>
      </c>
      <c r="M76" s="6">
        <v>45621</v>
      </c>
      <c r="N76" s="6">
        <v>45691</v>
      </c>
      <c r="O76" s="6">
        <v>45610</v>
      </c>
      <c r="P76" s="7" t="s">
        <v>376</v>
      </c>
      <c r="Q76" s="5">
        <v>76</v>
      </c>
      <c r="R76" s="10">
        <f t="shared" si="7"/>
        <v>152</v>
      </c>
      <c r="S76" s="5">
        <v>32</v>
      </c>
      <c r="T76" s="5" t="s">
        <v>45</v>
      </c>
      <c r="U76" s="11">
        <f t="shared" si="9"/>
        <v>82</v>
      </c>
    </row>
    <row r="77" spans="1:21" ht="16" x14ac:dyDescent="0.4">
      <c r="A77" s="2" t="s">
        <v>377</v>
      </c>
      <c r="B77" s="3" t="s">
        <v>303</v>
      </c>
      <c r="C77" s="28" t="s">
        <v>133</v>
      </c>
      <c r="D77" s="2" t="s">
        <v>378</v>
      </c>
      <c r="E77" s="4" t="s">
        <v>379</v>
      </c>
      <c r="F77" s="5">
        <v>89</v>
      </c>
      <c r="G77" s="5">
        <v>34</v>
      </c>
      <c r="H77" s="5">
        <v>15</v>
      </c>
      <c r="I77" s="10">
        <v>6</v>
      </c>
      <c r="J77" s="11">
        <f t="shared" si="8"/>
        <v>534</v>
      </c>
      <c r="K77" s="12" t="str">
        <f t="shared" si="5"/>
        <v>Stock_Sufficient</v>
      </c>
      <c r="L77" s="12">
        <f t="shared" si="6"/>
        <v>90</v>
      </c>
      <c r="M77" s="6">
        <v>45657</v>
      </c>
      <c r="N77" s="6">
        <v>45359</v>
      </c>
      <c r="O77" s="6">
        <v>45528</v>
      </c>
      <c r="P77" s="7" t="s">
        <v>380</v>
      </c>
      <c r="Q77" s="5">
        <v>60</v>
      </c>
      <c r="R77" s="10">
        <f t="shared" si="7"/>
        <v>360</v>
      </c>
      <c r="S77" s="5">
        <v>2</v>
      </c>
      <c r="T77" s="5" t="s">
        <v>27</v>
      </c>
      <c r="U77" s="11">
        <f t="shared" si="9"/>
        <v>-174</v>
      </c>
    </row>
    <row r="78" spans="1:21" ht="16" x14ac:dyDescent="0.4">
      <c r="A78" s="2" t="s">
        <v>381</v>
      </c>
      <c r="B78" s="3" t="s">
        <v>225</v>
      </c>
      <c r="C78" s="28" t="s">
        <v>48</v>
      </c>
      <c r="D78" s="2" t="s">
        <v>382</v>
      </c>
      <c r="E78" s="4" t="s">
        <v>383</v>
      </c>
      <c r="F78" s="5">
        <v>60</v>
      </c>
      <c r="G78" s="5">
        <v>36</v>
      </c>
      <c r="H78" s="5">
        <v>28</v>
      </c>
      <c r="I78" s="10">
        <v>4.5</v>
      </c>
      <c r="J78" s="11">
        <f t="shared" si="8"/>
        <v>270</v>
      </c>
      <c r="K78" s="12" t="str">
        <f t="shared" si="5"/>
        <v>Stock_Sufficient</v>
      </c>
      <c r="L78" s="12">
        <f t="shared" si="6"/>
        <v>126</v>
      </c>
      <c r="M78" s="6">
        <v>45473</v>
      </c>
      <c r="N78" s="6">
        <v>45553</v>
      </c>
      <c r="O78" s="6">
        <v>45646</v>
      </c>
      <c r="P78" s="7" t="s">
        <v>384</v>
      </c>
      <c r="Q78" s="5">
        <v>26</v>
      </c>
      <c r="R78" s="10">
        <f t="shared" si="7"/>
        <v>117</v>
      </c>
      <c r="S78" s="5">
        <v>29</v>
      </c>
      <c r="T78" s="5" t="s">
        <v>45</v>
      </c>
      <c r="U78" s="11">
        <f t="shared" si="9"/>
        <v>-153</v>
      </c>
    </row>
    <row r="79" spans="1:21" ht="16" x14ac:dyDescent="0.4">
      <c r="A79" s="2" t="s">
        <v>385</v>
      </c>
      <c r="B79" s="3" t="s">
        <v>386</v>
      </c>
      <c r="C79" s="28" t="s">
        <v>23</v>
      </c>
      <c r="D79" s="2" t="s">
        <v>387</v>
      </c>
      <c r="E79" s="4" t="s">
        <v>32</v>
      </c>
      <c r="F79" s="5">
        <v>20</v>
      </c>
      <c r="G79" s="5">
        <v>34</v>
      </c>
      <c r="H79" s="5">
        <v>74</v>
      </c>
      <c r="I79" s="10">
        <v>4.5</v>
      </c>
      <c r="J79" s="11">
        <f t="shared" si="8"/>
        <v>90</v>
      </c>
      <c r="K79" s="12" t="str">
        <f t="shared" si="5"/>
        <v>Low Stock_Reorder Needed</v>
      </c>
      <c r="L79" s="12">
        <f t="shared" si="6"/>
        <v>333</v>
      </c>
      <c r="M79" s="6">
        <v>45556</v>
      </c>
      <c r="N79" s="6">
        <v>45589</v>
      </c>
      <c r="O79" s="6">
        <v>45703</v>
      </c>
      <c r="P79" s="7" t="s">
        <v>388</v>
      </c>
      <c r="Q79" s="5">
        <v>50</v>
      </c>
      <c r="R79" s="10">
        <f t="shared" si="7"/>
        <v>225</v>
      </c>
      <c r="S79" s="5">
        <v>83</v>
      </c>
      <c r="T79" s="5" t="s">
        <v>27</v>
      </c>
      <c r="U79" s="11">
        <f t="shared" si="9"/>
        <v>135</v>
      </c>
    </row>
    <row r="80" spans="1:21" ht="16" x14ac:dyDescent="0.4">
      <c r="A80" s="2" t="s">
        <v>389</v>
      </c>
      <c r="B80" s="3" t="s">
        <v>390</v>
      </c>
      <c r="C80" s="28" t="s">
        <v>48</v>
      </c>
      <c r="D80" s="2" t="s">
        <v>391</v>
      </c>
      <c r="E80" s="4" t="s">
        <v>371</v>
      </c>
      <c r="F80" s="5">
        <v>28</v>
      </c>
      <c r="G80" s="5">
        <v>40</v>
      </c>
      <c r="H80" s="5">
        <v>27</v>
      </c>
      <c r="I80" s="10">
        <v>1.2</v>
      </c>
      <c r="J80" s="11">
        <f t="shared" si="8"/>
        <v>33.6</v>
      </c>
      <c r="K80" s="12" t="str">
        <f t="shared" si="5"/>
        <v>Low Stock_Reorder Needed</v>
      </c>
      <c r="L80" s="12">
        <f t="shared" si="6"/>
        <v>32.4</v>
      </c>
      <c r="M80" s="6">
        <v>45640</v>
      </c>
      <c r="N80" s="6">
        <v>45502</v>
      </c>
      <c r="O80" s="6">
        <v>45592</v>
      </c>
      <c r="P80" s="7" t="s">
        <v>392</v>
      </c>
      <c r="Q80" s="5">
        <v>30</v>
      </c>
      <c r="R80" s="10">
        <f t="shared" si="7"/>
        <v>36</v>
      </c>
      <c r="S80" s="5">
        <v>56</v>
      </c>
      <c r="T80" s="5" t="s">
        <v>45</v>
      </c>
      <c r="U80" s="11">
        <f t="shared" si="9"/>
        <v>2.3999999999999986</v>
      </c>
    </row>
    <row r="81" spans="1:21" ht="16" x14ac:dyDescent="0.4">
      <c r="A81" s="2" t="s">
        <v>393</v>
      </c>
      <c r="B81" s="3" t="s">
        <v>58</v>
      </c>
      <c r="C81" s="28" t="s">
        <v>59</v>
      </c>
      <c r="D81" s="2" t="s">
        <v>394</v>
      </c>
      <c r="E81" s="4" t="s">
        <v>395</v>
      </c>
      <c r="F81" s="5">
        <v>20</v>
      </c>
      <c r="G81" s="5">
        <v>55</v>
      </c>
      <c r="H81" s="5">
        <v>15</v>
      </c>
      <c r="I81" s="10">
        <v>2.5</v>
      </c>
      <c r="J81" s="11">
        <f t="shared" si="8"/>
        <v>50</v>
      </c>
      <c r="K81" s="12" t="str">
        <f t="shared" si="5"/>
        <v>Low Stock_Reorder Needed</v>
      </c>
      <c r="L81" s="12">
        <f t="shared" si="6"/>
        <v>37.5</v>
      </c>
      <c r="M81" s="6">
        <v>45635</v>
      </c>
      <c r="N81" s="6">
        <v>45394</v>
      </c>
      <c r="O81" s="6">
        <v>45544</v>
      </c>
      <c r="P81" s="7" t="s">
        <v>396</v>
      </c>
      <c r="Q81" s="5">
        <v>86</v>
      </c>
      <c r="R81" s="10">
        <f t="shared" si="7"/>
        <v>215</v>
      </c>
      <c r="S81" s="5">
        <v>61</v>
      </c>
      <c r="T81" s="5" t="s">
        <v>39</v>
      </c>
      <c r="U81" s="11">
        <f t="shared" si="9"/>
        <v>165</v>
      </c>
    </row>
    <row r="82" spans="1:21" ht="16" x14ac:dyDescent="0.4">
      <c r="A82" s="2" t="s">
        <v>397</v>
      </c>
      <c r="B82" s="3" t="s">
        <v>398</v>
      </c>
      <c r="C82" s="28" t="s">
        <v>90</v>
      </c>
      <c r="D82" s="2" t="s">
        <v>399</v>
      </c>
      <c r="E82" s="4" t="s">
        <v>400</v>
      </c>
      <c r="F82" s="5">
        <v>38</v>
      </c>
      <c r="G82" s="5">
        <v>93</v>
      </c>
      <c r="H82" s="5">
        <v>61</v>
      </c>
      <c r="I82" s="10">
        <v>6</v>
      </c>
      <c r="J82" s="11">
        <f t="shared" si="8"/>
        <v>228</v>
      </c>
      <c r="K82" s="12" t="str">
        <f t="shared" si="5"/>
        <v>Low Stock_Reorder Needed</v>
      </c>
      <c r="L82" s="12">
        <f t="shared" si="6"/>
        <v>366</v>
      </c>
      <c r="M82" s="6">
        <v>45636</v>
      </c>
      <c r="N82" s="6">
        <v>45488</v>
      </c>
      <c r="O82" s="6">
        <v>45534</v>
      </c>
      <c r="P82" s="7" t="s">
        <v>401</v>
      </c>
      <c r="Q82" s="5">
        <v>67</v>
      </c>
      <c r="R82" s="10">
        <f t="shared" si="7"/>
        <v>402</v>
      </c>
      <c r="S82" s="5">
        <v>100</v>
      </c>
      <c r="T82" s="5" t="s">
        <v>45</v>
      </c>
      <c r="U82" s="11">
        <f t="shared" si="9"/>
        <v>174</v>
      </c>
    </row>
    <row r="83" spans="1:21" ht="16" x14ac:dyDescent="0.4">
      <c r="A83" s="2" t="s">
        <v>402</v>
      </c>
      <c r="B83" s="3" t="s">
        <v>403</v>
      </c>
      <c r="C83" s="28" t="s">
        <v>48</v>
      </c>
      <c r="D83" s="2" t="s">
        <v>404</v>
      </c>
      <c r="E83" s="4" t="s">
        <v>405</v>
      </c>
      <c r="F83" s="5">
        <v>99</v>
      </c>
      <c r="G83" s="5">
        <v>1</v>
      </c>
      <c r="H83" s="5">
        <v>4</v>
      </c>
      <c r="I83" s="10">
        <v>3</v>
      </c>
      <c r="J83" s="11">
        <f t="shared" si="8"/>
        <v>297</v>
      </c>
      <c r="K83" s="12" t="str">
        <f t="shared" si="5"/>
        <v>Stock_Sufficient</v>
      </c>
      <c r="L83" s="12">
        <f t="shared" si="6"/>
        <v>12</v>
      </c>
      <c r="M83" s="6">
        <v>45639</v>
      </c>
      <c r="N83" s="6">
        <v>45684</v>
      </c>
      <c r="O83" s="6">
        <v>45523</v>
      </c>
      <c r="P83" s="7" t="s">
        <v>406</v>
      </c>
      <c r="Q83" s="5">
        <v>50</v>
      </c>
      <c r="R83" s="10">
        <f t="shared" si="7"/>
        <v>150</v>
      </c>
      <c r="S83" s="5">
        <v>53</v>
      </c>
      <c r="T83" s="5" t="s">
        <v>39</v>
      </c>
      <c r="U83" s="11">
        <f t="shared" si="9"/>
        <v>-147</v>
      </c>
    </row>
    <row r="84" spans="1:21" ht="16" x14ac:dyDescent="0.4">
      <c r="A84" s="2" t="s">
        <v>407</v>
      </c>
      <c r="B84" s="3" t="s">
        <v>408</v>
      </c>
      <c r="C84" s="28" t="s">
        <v>65</v>
      </c>
      <c r="D84" s="2" t="s">
        <v>409</v>
      </c>
      <c r="E84" s="4" t="s">
        <v>410</v>
      </c>
      <c r="F84" s="5">
        <v>92</v>
      </c>
      <c r="G84" s="5">
        <v>52</v>
      </c>
      <c r="H84" s="5">
        <v>80</v>
      </c>
      <c r="I84" s="10">
        <v>2.5</v>
      </c>
      <c r="J84" s="11">
        <f t="shared" si="8"/>
        <v>230</v>
      </c>
      <c r="K84" s="12" t="str">
        <f t="shared" si="5"/>
        <v>Stock_Sufficient</v>
      </c>
      <c r="L84" s="12">
        <f t="shared" si="6"/>
        <v>200</v>
      </c>
      <c r="M84" s="6">
        <v>45446</v>
      </c>
      <c r="N84" s="6">
        <v>45587</v>
      </c>
      <c r="O84" s="6">
        <v>45372</v>
      </c>
      <c r="P84" s="7" t="s">
        <v>411</v>
      </c>
      <c r="Q84" s="5">
        <v>72</v>
      </c>
      <c r="R84" s="10">
        <f t="shared" si="7"/>
        <v>180</v>
      </c>
      <c r="S84" s="5">
        <v>96</v>
      </c>
      <c r="T84" s="5" t="s">
        <v>27</v>
      </c>
      <c r="U84" s="11">
        <f t="shared" si="9"/>
        <v>-50</v>
      </c>
    </row>
    <row r="85" spans="1:21" ht="16" x14ac:dyDescent="0.4">
      <c r="A85" s="2" t="s">
        <v>412</v>
      </c>
      <c r="B85" s="3" t="s">
        <v>127</v>
      </c>
      <c r="C85" s="28" t="s">
        <v>48</v>
      </c>
      <c r="D85" s="2" t="s">
        <v>413</v>
      </c>
      <c r="E85" s="4" t="s">
        <v>414</v>
      </c>
      <c r="F85" s="5">
        <v>41</v>
      </c>
      <c r="G85" s="5">
        <v>29</v>
      </c>
      <c r="H85" s="5">
        <v>76</v>
      </c>
      <c r="I85" s="10">
        <v>2.4</v>
      </c>
      <c r="J85" s="11">
        <f t="shared" si="8"/>
        <v>98.399999999999991</v>
      </c>
      <c r="K85" s="12" t="str">
        <f t="shared" si="5"/>
        <v>Stock_Sufficient</v>
      </c>
      <c r="L85" s="12">
        <f t="shared" si="6"/>
        <v>182.4</v>
      </c>
      <c r="M85" s="6">
        <v>45348</v>
      </c>
      <c r="N85" s="6">
        <v>45548</v>
      </c>
      <c r="O85" s="6">
        <v>45566</v>
      </c>
      <c r="P85" s="7" t="s">
        <v>415</v>
      </c>
      <c r="Q85" s="5">
        <v>59</v>
      </c>
      <c r="R85" s="10">
        <f t="shared" si="7"/>
        <v>141.6</v>
      </c>
      <c r="S85" s="5">
        <v>4</v>
      </c>
      <c r="T85" s="5" t="s">
        <v>27</v>
      </c>
      <c r="U85" s="11">
        <f t="shared" si="9"/>
        <v>43.2</v>
      </c>
    </row>
    <row r="86" spans="1:21" ht="16" x14ac:dyDescent="0.4">
      <c r="A86" s="2" t="s">
        <v>416</v>
      </c>
      <c r="B86" s="3" t="s">
        <v>303</v>
      </c>
      <c r="C86" s="28" t="s">
        <v>133</v>
      </c>
      <c r="D86" s="2" t="s">
        <v>417</v>
      </c>
      <c r="E86" s="4" t="s">
        <v>418</v>
      </c>
      <c r="F86" s="5">
        <v>44</v>
      </c>
      <c r="G86" s="5">
        <v>67</v>
      </c>
      <c r="H86" s="5">
        <v>48</v>
      </c>
      <c r="I86" s="10">
        <v>6</v>
      </c>
      <c r="J86" s="11">
        <f t="shared" si="8"/>
        <v>264</v>
      </c>
      <c r="K86" s="12" t="str">
        <f t="shared" si="5"/>
        <v>Low Stock_Reorder Needed</v>
      </c>
      <c r="L86" s="12">
        <f t="shared" si="6"/>
        <v>288</v>
      </c>
      <c r="M86" s="6">
        <v>45540</v>
      </c>
      <c r="N86" s="6">
        <v>45556</v>
      </c>
      <c r="O86" s="6">
        <v>45375</v>
      </c>
      <c r="P86" s="7" t="s">
        <v>419</v>
      </c>
      <c r="Q86" s="5">
        <v>90</v>
      </c>
      <c r="R86" s="10">
        <f t="shared" si="7"/>
        <v>540</v>
      </c>
      <c r="S86" s="5">
        <v>11</v>
      </c>
      <c r="T86" s="5" t="s">
        <v>45</v>
      </c>
      <c r="U86" s="11">
        <f t="shared" si="9"/>
        <v>276</v>
      </c>
    </row>
    <row r="87" spans="1:21" ht="16" x14ac:dyDescent="0.4">
      <c r="A87" s="2" t="s">
        <v>420</v>
      </c>
      <c r="B87" s="3" t="s">
        <v>84</v>
      </c>
      <c r="C87" s="28" t="s">
        <v>23</v>
      </c>
      <c r="D87" s="2" t="s">
        <v>421</v>
      </c>
      <c r="E87" s="4" t="s">
        <v>422</v>
      </c>
      <c r="F87" s="5">
        <v>47</v>
      </c>
      <c r="G87" s="5">
        <v>7</v>
      </c>
      <c r="H87" s="5">
        <v>63</v>
      </c>
      <c r="I87" s="10">
        <v>2</v>
      </c>
      <c r="J87" s="11">
        <f t="shared" si="8"/>
        <v>94</v>
      </c>
      <c r="K87" s="12" t="str">
        <f t="shared" si="5"/>
        <v>Stock_Sufficient</v>
      </c>
      <c r="L87" s="12">
        <f t="shared" si="6"/>
        <v>126</v>
      </c>
      <c r="M87" s="6">
        <v>45430</v>
      </c>
      <c r="N87" s="6">
        <v>45555</v>
      </c>
      <c r="O87" s="6">
        <v>45412</v>
      </c>
      <c r="P87" s="7" t="s">
        <v>423</v>
      </c>
      <c r="Q87" s="5">
        <v>29</v>
      </c>
      <c r="R87" s="10">
        <f t="shared" si="7"/>
        <v>58</v>
      </c>
      <c r="S87" s="5">
        <v>20</v>
      </c>
      <c r="T87" s="5" t="s">
        <v>39</v>
      </c>
      <c r="U87" s="11">
        <f t="shared" si="9"/>
        <v>-36</v>
      </c>
    </row>
    <row r="88" spans="1:21" ht="16" x14ac:dyDescent="0.4">
      <c r="A88" s="2" t="s">
        <v>424</v>
      </c>
      <c r="B88" s="3" t="s">
        <v>109</v>
      </c>
      <c r="C88" s="28" t="s">
        <v>23</v>
      </c>
      <c r="D88" s="2" t="s">
        <v>425</v>
      </c>
      <c r="E88" s="4" t="s">
        <v>124</v>
      </c>
      <c r="F88" s="5">
        <v>21</v>
      </c>
      <c r="G88" s="5">
        <v>63</v>
      </c>
      <c r="H88" s="5">
        <v>65</v>
      </c>
      <c r="I88" s="10">
        <v>1.5</v>
      </c>
      <c r="J88" s="11">
        <f t="shared" si="8"/>
        <v>31.5</v>
      </c>
      <c r="K88" s="12" t="str">
        <f t="shared" si="5"/>
        <v>Low Stock_Reorder Needed</v>
      </c>
      <c r="L88" s="12">
        <f t="shared" si="6"/>
        <v>97.5</v>
      </c>
      <c r="M88" s="6">
        <v>45573</v>
      </c>
      <c r="N88" s="6">
        <v>45606</v>
      </c>
      <c r="O88" s="6">
        <v>45710</v>
      </c>
      <c r="P88" s="7" t="s">
        <v>426</v>
      </c>
      <c r="Q88" s="5">
        <v>38</v>
      </c>
      <c r="R88" s="10">
        <f t="shared" si="7"/>
        <v>57</v>
      </c>
      <c r="S88" s="5">
        <v>73</v>
      </c>
      <c r="T88" s="5" t="s">
        <v>27</v>
      </c>
      <c r="U88" s="11">
        <f t="shared" si="9"/>
        <v>25.5</v>
      </c>
    </row>
    <row r="89" spans="1:21" ht="16" x14ac:dyDescent="0.4">
      <c r="A89" s="2" t="s">
        <v>427</v>
      </c>
      <c r="B89" s="3" t="s">
        <v>177</v>
      </c>
      <c r="C89" s="28" t="s">
        <v>48</v>
      </c>
      <c r="D89" s="2" t="s">
        <v>428</v>
      </c>
      <c r="E89" s="4" t="s">
        <v>429</v>
      </c>
      <c r="F89" s="5">
        <v>85</v>
      </c>
      <c r="G89" s="5">
        <v>33</v>
      </c>
      <c r="H89" s="5">
        <v>50</v>
      </c>
      <c r="I89" s="10">
        <v>1.8</v>
      </c>
      <c r="J89" s="11">
        <f t="shared" si="8"/>
        <v>153</v>
      </c>
      <c r="K89" s="12" t="str">
        <f t="shared" si="5"/>
        <v>Stock_Sufficient</v>
      </c>
      <c r="L89" s="12">
        <f t="shared" si="6"/>
        <v>90</v>
      </c>
      <c r="M89" s="6">
        <v>45357</v>
      </c>
      <c r="N89" s="6">
        <v>45488</v>
      </c>
      <c r="O89" s="6">
        <v>45678</v>
      </c>
      <c r="P89" s="7" t="s">
        <v>430</v>
      </c>
      <c r="Q89" s="5">
        <v>64</v>
      </c>
      <c r="R89" s="10">
        <f t="shared" si="7"/>
        <v>115.2</v>
      </c>
      <c r="S89" s="5">
        <v>38</v>
      </c>
      <c r="T89" s="5" t="s">
        <v>27</v>
      </c>
      <c r="U89" s="11">
        <f t="shared" si="9"/>
        <v>-37.799999999999997</v>
      </c>
    </row>
    <row r="90" spans="1:21" ht="16" x14ac:dyDescent="0.4">
      <c r="A90" s="2" t="s">
        <v>431</v>
      </c>
      <c r="B90" s="3" t="s">
        <v>114</v>
      </c>
      <c r="C90" s="28" t="s">
        <v>65</v>
      </c>
      <c r="D90" s="2" t="s">
        <v>432</v>
      </c>
      <c r="E90" s="4" t="s">
        <v>433</v>
      </c>
      <c r="F90" s="5">
        <v>29</v>
      </c>
      <c r="G90" s="5">
        <v>4</v>
      </c>
      <c r="H90" s="5">
        <v>17</v>
      </c>
      <c r="I90" s="10">
        <v>8</v>
      </c>
      <c r="J90" s="11">
        <f t="shared" si="8"/>
        <v>232</v>
      </c>
      <c r="K90" s="12" t="str">
        <f t="shared" si="5"/>
        <v>Stock_Sufficient</v>
      </c>
      <c r="L90" s="12">
        <f t="shared" si="6"/>
        <v>136</v>
      </c>
      <c r="M90" s="6">
        <v>45676</v>
      </c>
      <c r="N90" s="6">
        <v>45609</v>
      </c>
      <c r="O90" s="6">
        <v>45460</v>
      </c>
      <c r="P90" s="7" t="s">
        <v>434</v>
      </c>
      <c r="Q90" s="5">
        <v>59</v>
      </c>
      <c r="R90" s="10">
        <f t="shared" si="7"/>
        <v>472</v>
      </c>
      <c r="S90" s="5">
        <v>52</v>
      </c>
      <c r="T90" s="5" t="s">
        <v>45</v>
      </c>
      <c r="U90" s="11">
        <f t="shared" si="9"/>
        <v>240</v>
      </c>
    </row>
    <row r="91" spans="1:21" ht="16" x14ac:dyDescent="0.4">
      <c r="A91" s="2" t="s">
        <v>435</v>
      </c>
      <c r="B91" s="3" t="s">
        <v>436</v>
      </c>
      <c r="C91" s="28" t="s">
        <v>59</v>
      </c>
      <c r="D91" s="2" t="s">
        <v>437</v>
      </c>
      <c r="E91" s="4" t="s">
        <v>438</v>
      </c>
      <c r="F91" s="5">
        <v>64</v>
      </c>
      <c r="G91" s="5">
        <v>21</v>
      </c>
      <c r="H91" s="5">
        <v>13</v>
      </c>
      <c r="I91" s="10">
        <v>4</v>
      </c>
      <c r="J91" s="11">
        <f t="shared" si="8"/>
        <v>256</v>
      </c>
      <c r="K91" s="12" t="str">
        <f t="shared" si="5"/>
        <v>Stock_Sufficient</v>
      </c>
      <c r="L91" s="12">
        <f t="shared" si="6"/>
        <v>52</v>
      </c>
      <c r="M91" s="6">
        <v>45687</v>
      </c>
      <c r="N91" s="6">
        <v>45576</v>
      </c>
      <c r="O91" s="6">
        <v>45612</v>
      </c>
      <c r="P91" s="7" t="s">
        <v>439</v>
      </c>
      <c r="Q91" s="5">
        <v>51</v>
      </c>
      <c r="R91" s="10">
        <f t="shared" si="7"/>
        <v>204</v>
      </c>
      <c r="S91" s="5">
        <v>26</v>
      </c>
      <c r="T91" s="5" t="s">
        <v>39</v>
      </c>
      <c r="U91" s="11">
        <f t="shared" si="9"/>
        <v>-52</v>
      </c>
    </row>
    <row r="92" spans="1:21" ht="16" x14ac:dyDescent="0.4">
      <c r="A92" s="2" t="s">
        <v>440</v>
      </c>
      <c r="B92" s="3" t="s">
        <v>441</v>
      </c>
      <c r="C92" s="28" t="s">
        <v>48</v>
      </c>
      <c r="D92" s="2" t="s">
        <v>442</v>
      </c>
      <c r="E92" s="4" t="s">
        <v>443</v>
      </c>
      <c r="F92" s="5">
        <v>66</v>
      </c>
      <c r="G92" s="5">
        <v>40</v>
      </c>
      <c r="H92" s="5">
        <v>96</v>
      </c>
      <c r="I92" s="10">
        <v>10</v>
      </c>
      <c r="J92" s="11">
        <f t="shared" si="8"/>
        <v>660</v>
      </c>
      <c r="K92" s="12" t="str">
        <f t="shared" si="5"/>
        <v>Stock_Sufficient</v>
      </c>
      <c r="L92" s="12">
        <f t="shared" si="6"/>
        <v>960</v>
      </c>
      <c r="M92" s="6">
        <v>45350</v>
      </c>
      <c r="N92" s="6">
        <v>45465</v>
      </c>
      <c r="O92" s="6">
        <v>45694</v>
      </c>
      <c r="P92" s="7" t="s">
        <v>444</v>
      </c>
      <c r="Q92" s="5">
        <v>24</v>
      </c>
      <c r="R92" s="10">
        <f t="shared" si="7"/>
        <v>240</v>
      </c>
      <c r="S92" s="5">
        <v>61</v>
      </c>
      <c r="T92" s="5" t="s">
        <v>45</v>
      </c>
      <c r="U92" s="11">
        <f t="shared" si="9"/>
        <v>-420</v>
      </c>
    </row>
    <row r="93" spans="1:21" ht="16" x14ac:dyDescent="0.4">
      <c r="A93" s="2" t="s">
        <v>445</v>
      </c>
      <c r="B93" s="3" t="s">
        <v>446</v>
      </c>
      <c r="C93" s="28" t="s">
        <v>90</v>
      </c>
      <c r="D93" s="2" t="s">
        <v>447</v>
      </c>
      <c r="E93" s="4" t="s">
        <v>448</v>
      </c>
      <c r="F93" s="5">
        <v>75</v>
      </c>
      <c r="G93" s="5">
        <v>81</v>
      </c>
      <c r="H93" s="5">
        <v>17</v>
      </c>
      <c r="I93" s="10">
        <v>5</v>
      </c>
      <c r="J93" s="11">
        <f t="shared" si="8"/>
        <v>375</v>
      </c>
      <c r="K93" s="12" t="str">
        <f t="shared" si="5"/>
        <v>Low Stock_Reorder Needed</v>
      </c>
      <c r="L93" s="12">
        <f t="shared" si="6"/>
        <v>85</v>
      </c>
      <c r="M93" s="6">
        <v>45482</v>
      </c>
      <c r="N93" s="6">
        <v>45705</v>
      </c>
      <c r="O93" s="6">
        <v>45708</v>
      </c>
      <c r="P93" s="7" t="s">
        <v>449</v>
      </c>
      <c r="Q93" s="5">
        <v>69</v>
      </c>
      <c r="R93" s="10">
        <f t="shared" si="7"/>
        <v>345</v>
      </c>
      <c r="S93" s="5">
        <v>38</v>
      </c>
      <c r="T93" s="5" t="s">
        <v>45</v>
      </c>
      <c r="U93" s="11">
        <f t="shared" si="9"/>
        <v>-30</v>
      </c>
    </row>
    <row r="94" spans="1:21" ht="16" x14ac:dyDescent="0.4">
      <c r="A94" s="2" t="s">
        <v>450</v>
      </c>
      <c r="B94" s="3" t="s">
        <v>451</v>
      </c>
      <c r="C94" s="28" t="s">
        <v>65</v>
      </c>
      <c r="D94" s="2" t="s">
        <v>452</v>
      </c>
      <c r="E94" s="4" t="s">
        <v>453</v>
      </c>
      <c r="F94" s="5">
        <v>53</v>
      </c>
      <c r="G94" s="5">
        <v>63</v>
      </c>
      <c r="H94" s="5">
        <v>2</v>
      </c>
      <c r="I94" s="10">
        <v>9</v>
      </c>
      <c r="J94" s="11">
        <f t="shared" si="8"/>
        <v>477</v>
      </c>
      <c r="K94" s="12" t="str">
        <f t="shared" si="5"/>
        <v>Low Stock_Reorder Needed</v>
      </c>
      <c r="L94" s="12">
        <f t="shared" si="6"/>
        <v>18</v>
      </c>
      <c r="M94" s="6">
        <v>45506</v>
      </c>
      <c r="N94" s="6">
        <v>45577</v>
      </c>
      <c r="O94" s="6">
        <v>45371</v>
      </c>
      <c r="P94" s="7" t="s">
        <v>454</v>
      </c>
      <c r="Q94" s="5">
        <v>56</v>
      </c>
      <c r="R94" s="10">
        <f t="shared" si="7"/>
        <v>504</v>
      </c>
      <c r="S94" s="5">
        <v>95</v>
      </c>
      <c r="T94" s="5" t="s">
        <v>45</v>
      </c>
      <c r="U94" s="11">
        <f t="shared" si="9"/>
        <v>27</v>
      </c>
    </row>
    <row r="95" spans="1:21" ht="16" x14ac:dyDescent="0.4">
      <c r="A95" s="2" t="s">
        <v>455</v>
      </c>
      <c r="B95" s="3" t="s">
        <v>456</v>
      </c>
      <c r="C95" s="28" t="s">
        <v>59</v>
      </c>
      <c r="D95" s="2" t="s">
        <v>457</v>
      </c>
      <c r="E95" s="4" t="s">
        <v>86</v>
      </c>
      <c r="F95" s="5">
        <v>43</v>
      </c>
      <c r="G95" s="5">
        <v>63</v>
      </c>
      <c r="H95" s="5">
        <v>80</v>
      </c>
      <c r="I95" s="10">
        <v>1.8</v>
      </c>
      <c r="J95" s="11">
        <f t="shared" si="8"/>
        <v>77.400000000000006</v>
      </c>
      <c r="K95" s="12" t="str">
        <f t="shared" si="5"/>
        <v>Low Stock_Reorder Needed</v>
      </c>
      <c r="L95" s="12">
        <f t="shared" si="6"/>
        <v>144</v>
      </c>
      <c r="M95" s="6">
        <v>45466</v>
      </c>
      <c r="N95" s="6">
        <v>45504</v>
      </c>
      <c r="O95" s="6">
        <v>45699</v>
      </c>
      <c r="P95" s="7" t="s">
        <v>458</v>
      </c>
      <c r="Q95" s="5">
        <v>33</v>
      </c>
      <c r="R95" s="10">
        <f t="shared" si="7"/>
        <v>59.4</v>
      </c>
      <c r="S95" s="5">
        <v>96</v>
      </c>
      <c r="T95" s="5" t="s">
        <v>27</v>
      </c>
      <c r="U95" s="11">
        <f t="shared" si="9"/>
        <v>-18.000000000000007</v>
      </c>
    </row>
    <row r="96" spans="1:21" ht="16" x14ac:dyDescent="0.4">
      <c r="A96" s="2" t="s">
        <v>459</v>
      </c>
      <c r="B96" s="3" t="s">
        <v>355</v>
      </c>
      <c r="C96" s="28" t="s">
        <v>48</v>
      </c>
      <c r="D96" s="2" t="s">
        <v>460</v>
      </c>
      <c r="E96" s="4" t="s">
        <v>461</v>
      </c>
      <c r="F96" s="5">
        <v>74</v>
      </c>
      <c r="G96" s="5">
        <v>30</v>
      </c>
      <c r="H96" s="5">
        <v>24</v>
      </c>
      <c r="I96" s="10">
        <v>3</v>
      </c>
      <c r="J96" s="11">
        <f t="shared" si="8"/>
        <v>222</v>
      </c>
      <c r="K96" s="12" t="str">
        <f t="shared" si="5"/>
        <v>Stock_Sufficient</v>
      </c>
      <c r="L96" s="12">
        <f t="shared" si="6"/>
        <v>72</v>
      </c>
      <c r="M96" s="6">
        <v>45513</v>
      </c>
      <c r="N96" s="6">
        <v>45578</v>
      </c>
      <c r="O96" s="6">
        <v>45504</v>
      </c>
      <c r="P96" s="7" t="s">
        <v>462</v>
      </c>
      <c r="Q96" s="5">
        <v>82</v>
      </c>
      <c r="R96" s="10">
        <f t="shared" si="7"/>
        <v>246</v>
      </c>
      <c r="S96" s="5">
        <v>12</v>
      </c>
      <c r="T96" s="5" t="s">
        <v>45</v>
      </c>
      <c r="U96" s="11">
        <f t="shared" si="9"/>
        <v>24</v>
      </c>
    </row>
    <row r="97" spans="1:21" ht="16" x14ac:dyDescent="0.4">
      <c r="A97" s="2" t="s">
        <v>463</v>
      </c>
      <c r="B97" s="3" t="s">
        <v>464</v>
      </c>
      <c r="C97" s="28" t="s">
        <v>48</v>
      </c>
      <c r="D97" s="2" t="s">
        <v>465</v>
      </c>
      <c r="E97" s="4" t="s">
        <v>272</v>
      </c>
      <c r="F97" s="5">
        <v>27</v>
      </c>
      <c r="G97" s="5">
        <v>22</v>
      </c>
      <c r="H97" s="5">
        <v>89</v>
      </c>
      <c r="I97" s="10">
        <v>7</v>
      </c>
      <c r="J97" s="11">
        <f t="shared" si="8"/>
        <v>189</v>
      </c>
      <c r="K97" s="12" t="str">
        <f t="shared" si="5"/>
        <v>Stock_Sufficient</v>
      </c>
      <c r="L97" s="12">
        <f t="shared" si="6"/>
        <v>623</v>
      </c>
      <c r="M97" s="6">
        <v>45413</v>
      </c>
      <c r="N97" s="6">
        <v>45501</v>
      </c>
      <c r="O97" s="6">
        <v>45432</v>
      </c>
      <c r="P97" s="7" t="s">
        <v>466</v>
      </c>
      <c r="Q97" s="5">
        <v>91</v>
      </c>
      <c r="R97" s="10">
        <f t="shared" si="7"/>
        <v>637</v>
      </c>
      <c r="S97" s="5">
        <v>77</v>
      </c>
      <c r="T97" s="5" t="s">
        <v>27</v>
      </c>
      <c r="U97" s="11">
        <f t="shared" si="9"/>
        <v>448</v>
      </c>
    </row>
    <row r="98" spans="1:21" ht="16" x14ac:dyDescent="0.4">
      <c r="A98" s="2" t="s">
        <v>467</v>
      </c>
      <c r="B98" s="3" t="s">
        <v>468</v>
      </c>
      <c r="C98" s="28" t="s">
        <v>23</v>
      </c>
      <c r="D98" s="2" t="s">
        <v>469</v>
      </c>
      <c r="E98" s="4" t="s">
        <v>470</v>
      </c>
      <c r="F98" s="5">
        <v>91</v>
      </c>
      <c r="G98" s="5">
        <v>73</v>
      </c>
      <c r="H98" s="5">
        <v>77</v>
      </c>
      <c r="I98" s="10">
        <v>4.75</v>
      </c>
      <c r="J98" s="11">
        <f t="shared" si="8"/>
        <v>432.25</v>
      </c>
      <c r="K98" s="12" t="str">
        <f t="shared" si="5"/>
        <v>Stock_Sufficient</v>
      </c>
      <c r="L98" s="12">
        <f t="shared" si="6"/>
        <v>365.75</v>
      </c>
      <c r="M98" s="6">
        <v>45689</v>
      </c>
      <c r="N98" s="6">
        <v>45528</v>
      </c>
      <c r="O98" s="6">
        <v>45633</v>
      </c>
      <c r="P98" s="7" t="s">
        <v>471</v>
      </c>
      <c r="Q98" s="5">
        <v>51</v>
      </c>
      <c r="R98" s="10">
        <f t="shared" si="7"/>
        <v>242.25</v>
      </c>
      <c r="S98" s="5">
        <v>49</v>
      </c>
      <c r="T98" s="5" t="s">
        <v>27</v>
      </c>
      <c r="U98" s="11">
        <f t="shared" si="9"/>
        <v>-190</v>
      </c>
    </row>
    <row r="99" spans="1:21" ht="16" x14ac:dyDescent="0.4">
      <c r="A99" s="2" t="s">
        <v>472</v>
      </c>
      <c r="B99" s="3" t="s">
        <v>473</v>
      </c>
      <c r="C99" s="28" t="s">
        <v>23</v>
      </c>
      <c r="D99" s="2" t="s">
        <v>474</v>
      </c>
      <c r="E99" s="4" t="s">
        <v>111</v>
      </c>
      <c r="F99" s="5">
        <v>52</v>
      </c>
      <c r="G99" s="5">
        <v>81</v>
      </c>
      <c r="H99" s="5">
        <v>53</v>
      </c>
      <c r="I99" s="10">
        <v>2</v>
      </c>
      <c r="J99" s="11">
        <f t="shared" si="8"/>
        <v>104</v>
      </c>
      <c r="K99" s="12" t="str">
        <f t="shared" si="5"/>
        <v>Low Stock_Reorder Needed</v>
      </c>
      <c r="L99" s="12">
        <f t="shared" si="6"/>
        <v>106</v>
      </c>
      <c r="M99" s="6">
        <v>45532</v>
      </c>
      <c r="N99" s="6">
        <v>45623</v>
      </c>
      <c r="O99" s="6">
        <v>45712</v>
      </c>
      <c r="P99" s="7" t="s">
        <v>475</v>
      </c>
      <c r="Q99" s="5">
        <v>95</v>
      </c>
      <c r="R99" s="10">
        <f t="shared" si="7"/>
        <v>190</v>
      </c>
      <c r="S99" s="5">
        <v>88</v>
      </c>
      <c r="T99" s="5" t="s">
        <v>39</v>
      </c>
      <c r="U99" s="11">
        <f t="shared" si="9"/>
        <v>86</v>
      </c>
    </row>
    <row r="100" spans="1:21" ht="16" x14ac:dyDescent="0.4">
      <c r="A100" s="2" t="s">
        <v>476</v>
      </c>
      <c r="B100" s="3" t="s">
        <v>215</v>
      </c>
      <c r="C100" s="28" t="s">
        <v>48</v>
      </c>
      <c r="D100" s="2" t="s">
        <v>477</v>
      </c>
      <c r="E100" s="4" t="s">
        <v>478</v>
      </c>
      <c r="F100" s="5">
        <v>43</v>
      </c>
      <c r="G100" s="5">
        <v>66</v>
      </c>
      <c r="H100" s="5">
        <v>85</v>
      </c>
      <c r="I100" s="10">
        <v>2.5</v>
      </c>
      <c r="J100" s="11">
        <f t="shared" si="8"/>
        <v>107.5</v>
      </c>
      <c r="K100" s="12" t="str">
        <f t="shared" si="5"/>
        <v>Low Stock_Reorder Needed</v>
      </c>
      <c r="L100" s="12">
        <f t="shared" si="6"/>
        <v>212.5</v>
      </c>
      <c r="M100" s="6">
        <v>45402</v>
      </c>
      <c r="N100" s="6">
        <v>45549</v>
      </c>
      <c r="O100" s="6">
        <v>45401</v>
      </c>
      <c r="P100" s="7" t="s">
        <v>479</v>
      </c>
      <c r="Q100" s="5">
        <v>66</v>
      </c>
      <c r="R100" s="10">
        <f t="shared" si="7"/>
        <v>165</v>
      </c>
      <c r="S100" s="5">
        <v>65</v>
      </c>
      <c r="T100" s="5" t="s">
        <v>27</v>
      </c>
      <c r="U100" s="11">
        <f t="shared" si="9"/>
        <v>57.5</v>
      </c>
    </row>
    <row r="101" spans="1:21" ht="16" x14ac:dyDescent="0.4">
      <c r="A101" s="2" t="s">
        <v>480</v>
      </c>
      <c r="B101" s="3" t="s">
        <v>244</v>
      </c>
      <c r="C101" s="28" t="s">
        <v>90</v>
      </c>
      <c r="D101" s="2" t="s">
        <v>481</v>
      </c>
      <c r="E101" s="4" t="s">
        <v>482</v>
      </c>
      <c r="F101" s="5">
        <v>56</v>
      </c>
      <c r="G101" s="5">
        <v>86</v>
      </c>
      <c r="H101" s="5">
        <v>23</v>
      </c>
      <c r="I101" s="10">
        <v>3.2</v>
      </c>
      <c r="J101" s="11">
        <f t="shared" si="8"/>
        <v>179.20000000000002</v>
      </c>
      <c r="K101" s="12" t="str">
        <f t="shared" si="5"/>
        <v>Low Stock_Reorder Needed</v>
      </c>
      <c r="L101" s="12">
        <f t="shared" si="6"/>
        <v>73.600000000000009</v>
      </c>
      <c r="M101" s="6">
        <v>45397</v>
      </c>
      <c r="N101" s="6">
        <v>45411</v>
      </c>
      <c r="O101" s="6">
        <v>45391</v>
      </c>
      <c r="P101" s="7" t="s">
        <v>483</v>
      </c>
      <c r="Q101" s="5">
        <v>67</v>
      </c>
      <c r="R101" s="10">
        <f t="shared" si="7"/>
        <v>214.4</v>
      </c>
      <c r="S101" s="5">
        <v>56</v>
      </c>
      <c r="T101" s="5" t="s">
        <v>39</v>
      </c>
      <c r="U101" s="11">
        <f t="shared" si="9"/>
        <v>35.199999999999989</v>
      </c>
    </row>
    <row r="102" spans="1:21" ht="16" x14ac:dyDescent="0.4">
      <c r="A102" s="2" t="s">
        <v>484</v>
      </c>
      <c r="B102" s="3" t="s">
        <v>329</v>
      </c>
      <c r="C102" s="28" t="s">
        <v>65</v>
      </c>
      <c r="D102" s="2" t="s">
        <v>485</v>
      </c>
      <c r="E102" s="4" t="s">
        <v>486</v>
      </c>
      <c r="F102" s="5">
        <v>66</v>
      </c>
      <c r="G102" s="5">
        <v>40</v>
      </c>
      <c r="H102" s="5">
        <v>8</v>
      </c>
      <c r="I102" s="10">
        <v>6</v>
      </c>
      <c r="J102" s="11">
        <f t="shared" si="8"/>
        <v>396</v>
      </c>
      <c r="K102" s="12" t="str">
        <f t="shared" si="5"/>
        <v>Stock_Sufficient</v>
      </c>
      <c r="L102" s="12">
        <f t="shared" si="6"/>
        <v>48</v>
      </c>
      <c r="M102" s="6">
        <v>45623</v>
      </c>
      <c r="N102" s="6">
        <v>45675</v>
      </c>
      <c r="O102" s="6">
        <v>45663</v>
      </c>
      <c r="P102" s="7" t="s">
        <v>487</v>
      </c>
      <c r="Q102" s="5">
        <v>43</v>
      </c>
      <c r="R102" s="10">
        <f t="shared" si="7"/>
        <v>258</v>
      </c>
      <c r="S102" s="5">
        <v>49</v>
      </c>
      <c r="T102" s="5" t="s">
        <v>45</v>
      </c>
      <c r="U102" s="11">
        <f t="shared" si="9"/>
        <v>-138</v>
      </c>
    </row>
    <row r="103" spans="1:21" ht="16" x14ac:dyDescent="0.4">
      <c r="A103" s="2" t="s">
        <v>488</v>
      </c>
      <c r="B103" s="3" t="s">
        <v>109</v>
      </c>
      <c r="C103" s="28" t="s">
        <v>23</v>
      </c>
      <c r="D103" s="2" t="s">
        <v>489</v>
      </c>
      <c r="E103" s="4" t="s">
        <v>490</v>
      </c>
      <c r="F103" s="5">
        <v>84</v>
      </c>
      <c r="G103" s="5">
        <v>92</v>
      </c>
      <c r="H103" s="5">
        <v>18</v>
      </c>
      <c r="I103" s="10">
        <v>1.5</v>
      </c>
      <c r="J103" s="11">
        <f t="shared" si="8"/>
        <v>126</v>
      </c>
      <c r="K103" s="12" t="str">
        <f t="shared" si="5"/>
        <v>Low Stock_Reorder Needed</v>
      </c>
      <c r="L103" s="12">
        <f t="shared" si="6"/>
        <v>27</v>
      </c>
      <c r="M103" s="6">
        <v>45594</v>
      </c>
      <c r="N103" s="6">
        <v>45655</v>
      </c>
      <c r="O103" s="6">
        <v>45347</v>
      </c>
      <c r="P103" s="7" t="s">
        <v>491</v>
      </c>
      <c r="Q103" s="5">
        <v>92</v>
      </c>
      <c r="R103" s="10">
        <f t="shared" si="7"/>
        <v>138</v>
      </c>
      <c r="S103" s="5">
        <v>69</v>
      </c>
      <c r="T103" s="5" t="s">
        <v>45</v>
      </c>
      <c r="U103" s="11">
        <f t="shared" si="9"/>
        <v>12</v>
      </c>
    </row>
    <row r="104" spans="1:21" ht="16" x14ac:dyDescent="0.4">
      <c r="A104" s="2" t="s">
        <v>492</v>
      </c>
      <c r="B104" s="3" t="s">
        <v>493</v>
      </c>
      <c r="C104" s="28" t="s">
        <v>65</v>
      </c>
      <c r="D104" s="2" t="s">
        <v>494</v>
      </c>
      <c r="E104" s="4" t="s">
        <v>199</v>
      </c>
      <c r="F104" s="5">
        <v>37</v>
      </c>
      <c r="G104" s="5">
        <v>5</v>
      </c>
      <c r="H104" s="5">
        <v>1</v>
      </c>
      <c r="I104" s="10">
        <v>5</v>
      </c>
      <c r="J104" s="11">
        <f t="shared" si="8"/>
        <v>185</v>
      </c>
      <c r="K104" s="12" t="str">
        <f t="shared" si="5"/>
        <v>Stock_Sufficient</v>
      </c>
      <c r="L104" s="12">
        <f t="shared" si="6"/>
        <v>5</v>
      </c>
      <c r="M104" s="6">
        <v>45659</v>
      </c>
      <c r="N104" s="6">
        <v>45348</v>
      </c>
      <c r="O104" s="6">
        <v>45624</v>
      </c>
      <c r="P104" s="7" t="s">
        <v>495</v>
      </c>
      <c r="Q104" s="5">
        <v>68</v>
      </c>
      <c r="R104" s="10">
        <f t="shared" si="7"/>
        <v>340</v>
      </c>
      <c r="S104" s="5">
        <v>99</v>
      </c>
      <c r="T104" s="5" t="s">
        <v>45</v>
      </c>
      <c r="U104" s="11">
        <f t="shared" si="9"/>
        <v>155</v>
      </c>
    </row>
    <row r="105" spans="1:21" ht="16" x14ac:dyDescent="0.4">
      <c r="A105" s="2" t="s">
        <v>496</v>
      </c>
      <c r="B105" s="3" t="s">
        <v>497</v>
      </c>
      <c r="C105" s="28" t="s">
        <v>65</v>
      </c>
      <c r="D105" s="2" t="s">
        <v>498</v>
      </c>
      <c r="E105" s="4" t="s">
        <v>499</v>
      </c>
      <c r="F105" s="5">
        <v>29</v>
      </c>
      <c r="G105" s="5">
        <v>36</v>
      </c>
      <c r="H105" s="5">
        <v>40</v>
      </c>
      <c r="I105" s="10">
        <v>4</v>
      </c>
      <c r="J105" s="11">
        <f t="shared" si="8"/>
        <v>116</v>
      </c>
      <c r="K105" s="12" t="str">
        <f t="shared" si="5"/>
        <v>Low Stock_Reorder Needed</v>
      </c>
      <c r="L105" s="12">
        <f t="shared" si="6"/>
        <v>160</v>
      </c>
      <c r="M105" s="6">
        <v>45604</v>
      </c>
      <c r="N105" s="6">
        <v>45381</v>
      </c>
      <c r="O105" s="6">
        <v>45542</v>
      </c>
      <c r="P105" s="7" t="s">
        <v>500</v>
      </c>
      <c r="Q105" s="5">
        <v>60</v>
      </c>
      <c r="R105" s="10">
        <f t="shared" si="7"/>
        <v>240</v>
      </c>
      <c r="S105" s="5">
        <v>96</v>
      </c>
      <c r="T105" s="5" t="s">
        <v>39</v>
      </c>
      <c r="U105" s="11">
        <f t="shared" si="9"/>
        <v>124</v>
      </c>
    </row>
    <row r="106" spans="1:21" ht="16" x14ac:dyDescent="0.4">
      <c r="A106" s="2" t="s">
        <v>501</v>
      </c>
      <c r="B106" s="3" t="s">
        <v>502</v>
      </c>
      <c r="C106" s="28" t="s">
        <v>23</v>
      </c>
      <c r="D106" s="2" t="s">
        <v>503</v>
      </c>
      <c r="E106" s="4" t="s">
        <v>179</v>
      </c>
      <c r="F106" s="5">
        <v>13</v>
      </c>
      <c r="G106" s="5">
        <v>88</v>
      </c>
      <c r="H106" s="5">
        <v>7</v>
      </c>
      <c r="I106" s="10">
        <v>9.5</v>
      </c>
      <c r="J106" s="11">
        <f t="shared" si="8"/>
        <v>123.5</v>
      </c>
      <c r="K106" s="12" t="str">
        <f t="shared" si="5"/>
        <v>Low Stock_Reorder Needed</v>
      </c>
      <c r="L106" s="12">
        <f t="shared" si="6"/>
        <v>66.5</v>
      </c>
      <c r="M106" s="6">
        <v>45501</v>
      </c>
      <c r="N106" s="6">
        <v>45427</v>
      </c>
      <c r="O106" s="6">
        <v>45476</v>
      </c>
      <c r="P106" s="7" t="s">
        <v>504</v>
      </c>
      <c r="Q106" s="5">
        <v>24</v>
      </c>
      <c r="R106" s="10">
        <f t="shared" si="7"/>
        <v>228</v>
      </c>
      <c r="S106" s="5">
        <v>21</v>
      </c>
      <c r="T106" s="5" t="s">
        <v>39</v>
      </c>
      <c r="U106" s="11">
        <f t="shared" si="9"/>
        <v>104.5</v>
      </c>
    </row>
    <row r="107" spans="1:21" ht="16" x14ac:dyDescent="0.4">
      <c r="A107" s="2" t="s">
        <v>505</v>
      </c>
      <c r="B107" s="3" t="s">
        <v>230</v>
      </c>
      <c r="C107" s="28" t="s">
        <v>48</v>
      </c>
      <c r="D107" s="2" t="s">
        <v>506</v>
      </c>
      <c r="E107" s="4" t="s">
        <v>155</v>
      </c>
      <c r="F107" s="5">
        <v>63</v>
      </c>
      <c r="G107" s="5">
        <v>81</v>
      </c>
      <c r="H107" s="5">
        <v>94</v>
      </c>
      <c r="I107" s="10">
        <v>2.5</v>
      </c>
      <c r="J107" s="11">
        <f t="shared" si="8"/>
        <v>157.5</v>
      </c>
      <c r="K107" s="12" t="str">
        <f t="shared" si="5"/>
        <v>Low Stock_Reorder Needed</v>
      </c>
      <c r="L107" s="12">
        <f t="shared" si="6"/>
        <v>235</v>
      </c>
      <c r="M107" s="6">
        <v>45447</v>
      </c>
      <c r="N107" s="6">
        <v>45402</v>
      </c>
      <c r="O107" s="6">
        <v>45615</v>
      </c>
      <c r="P107" s="7" t="s">
        <v>507</v>
      </c>
      <c r="Q107" s="5">
        <v>56</v>
      </c>
      <c r="R107" s="10">
        <f t="shared" si="7"/>
        <v>140</v>
      </c>
      <c r="S107" s="5">
        <v>2</v>
      </c>
      <c r="T107" s="5" t="s">
        <v>45</v>
      </c>
      <c r="U107" s="11">
        <f t="shared" si="9"/>
        <v>-17.5</v>
      </c>
    </row>
    <row r="108" spans="1:21" ht="16" x14ac:dyDescent="0.4">
      <c r="A108" s="2" t="s">
        <v>508</v>
      </c>
      <c r="B108" s="3" t="s">
        <v>509</v>
      </c>
      <c r="C108" s="28" t="s">
        <v>133</v>
      </c>
      <c r="D108" s="2" t="s">
        <v>510</v>
      </c>
      <c r="E108" s="4" t="s">
        <v>259</v>
      </c>
      <c r="F108" s="5">
        <v>95</v>
      </c>
      <c r="G108" s="5">
        <v>63</v>
      </c>
      <c r="H108" s="5">
        <v>73</v>
      </c>
      <c r="I108" s="10">
        <v>7</v>
      </c>
      <c r="J108" s="11">
        <f t="shared" si="8"/>
        <v>665</v>
      </c>
      <c r="K108" s="12" t="str">
        <f t="shared" si="5"/>
        <v>Stock_Sufficient</v>
      </c>
      <c r="L108" s="12">
        <f t="shared" si="6"/>
        <v>511</v>
      </c>
      <c r="M108" s="6">
        <v>45613</v>
      </c>
      <c r="N108" s="6">
        <v>45448</v>
      </c>
      <c r="O108" s="6">
        <v>45359</v>
      </c>
      <c r="P108" s="7" t="s">
        <v>511</v>
      </c>
      <c r="Q108" s="5">
        <v>61</v>
      </c>
      <c r="R108" s="10">
        <f t="shared" si="7"/>
        <v>427</v>
      </c>
      <c r="S108" s="5">
        <v>38</v>
      </c>
      <c r="T108" s="5" t="s">
        <v>39</v>
      </c>
      <c r="U108" s="11">
        <f t="shared" si="9"/>
        <v>-238</v>
      </c>
    </row>
    <row r="109" spans="1:21" ht="16" x14ac:dyDescent="0.4">
      <c r="A109" s="2" t="s">
        <v>512</v>
      </c>
      <c r="B109" s="3" t="s">
        <v>513</v>
      </c>
      <c r="C109" s="28" t="s">
        <v>48</v>
      </c>
      <c r="D109" s="2" t="s">
        <v>514</v>
      </c>
      <c r="E109" s="4" t="s">
        <v>515</v>
      </c>
      <c r="F109" s="5">
        <v>58</v>
      </c>
      <c r="G109" s="5">
        <v>5</v>
      </c>
      <c r="H109" s="5">
        <v>1</v>
      </c>
      <c r="I109" s="10">
        <v>2</v>
      </c>
      <c r="J109" s="11">
        <f t="shared" si="8"/>
        <v>116</v>
      </c>
      <c r="K109" s="12" t="str">
        <f t="shared" si="5"/>
        <v>Stock_Sufficient</v>
      </c>
      <c r="L109" s="12">
        <f t="shared" si="6"/>
        <v>2</v>
      </c>
      <c r="M109" s="6">
        <v>45567</v>
      </c>
      <c r="N109" s="6">
        <v>45579</v>
      </c>
      <c r="O109" s="6">
        <v>45388</v>
      </c>
      <c r="P109" s="7" t="s">
        <v>516</v>
      </c>
      <c r="Q109" s="5">
        <v>53</v>
      </c>
      <c r="R109" s="10">
        <f t="shared" si="7"/>
        <v>106</v>
      </c>
      <c r="S109" s="5">
        <v>80</v>
      </c>
      <c r="T109" s="5" t="s">
        <v>45</v>
      </c>
      <c r="U109" s="11">
        <f t="shared" si="9"/>
        <v>-10</v>
      </c>
    </row>
    <row r="110" spans="1:21" ht="16" x14ac:dyDescent="0.4">
      <c r="A110" s="2" t="s">
        <v>517</v>
      </c>
      <c r="B110" s="3" t="s">
        <v>436</v>
      </c>
      <c r="C110" s="28" t="s">
        <v>59</v>
      </c>
      <c r="D110" s="2" t="s">
        <v>518</v>
      </c>
      <c r="E110" s="4" t="s">
        <v>519</v>
      </c>
      <c r="F110" s="5">
        <v>57</v>
      </c>
      <c r="G110" s="5">
        <v>36</v>
      </c>
      <c r="H110" s="5">
        <v>53</v>
      </c>
      <c r="I110" s="10">
        <v>4</v>
      </c>
      <c r="J110" s="11">
        <f t="shared" si="8"/>
        <v>228</v>
      </c>
      <c r="K110" s="12" t="str">
        <f t="shared" si="5"/>
        <v>Stock_Sufficient</v>
      </c>
      <c r="L110" s="12">
        <f t="shared" si="6"/>
        <v>212</v>
      </c>
      <c r="M110" s="6">
        <v>45447</v>
      </c>
      <c r="N110" s="6">
        <v>45459</v>
      </c>
      <c r="O110" s="6">
        <v>45379</v>
      </c>
      <c r="P110" s="7" t="s">
        <v>520</v>
      </c>
      <c r="Q110" s="5">
        <v>56</v>
      </c>
      <c r="R110" s="10">
        <f t="shared" si="7"/>
        <v>224</v>
      </c>
      <c r="S110" s="5">
        <v>32</v>
      </c>
      <c r="T110" s="5" t="s">
        <v>39</v>
      </c>
      <c r="U110" s="11">
        <f t="shared" si="9"/>
        <v>-4</v>
      </c>
    </row>
    <row r="111" spans="1:21" ht="16" x14ac:dyDescent="0.4">
      <c r="A111" s="2" t="s">
        <v>521</v>
      </c>
      <c r="B111" s="3" t="s">
        <v>303</v>
      </c>
      <c r="C111" s="28" t="s">
        <v>133</v>
      </c>
      <c r="D111" s="2" t="s">
        <v>522</v>
      </c>
      <c r="E111" s="4" t="s">
        <v>523</v>
      </c>
      <c r="F111" s="5">
        <v>33</v>
      </c>
      <c r="G111" s="5">
        <v>18</v>
      </c>
      <c r="H111" s="5">
        <v>92</v>
      </c>
      <c r="I111" s="10">
        <v>6</v>
      </c>
      <c r="J111" s="11">
        <f t="shared" si="8"/>
        <v>198</v>
      </c>
      <c r="K111" s="12" t="str">
        <f t="shared" si="5"/>
        <v>Stock_Sufficient</v>
      </c>
      <c r="L111" s="12">
        <f t="shared" si="6"/>
        <v>552</v>
      </c>
      <c r="M111" s="6">
        <v>45446</v>
      </c>
      <c r="N111" s="6">
        <v>45561</v>
      </c>
      <c r="O111" s="6">
        <v>45491</v>
      </c>
      <c r="P111" s="7" t="s">
        <v>524</v>
      </c>
      <c r="Q111" s="5">
        <v>98</v>
      </c>
      <c r="R111" s="10">
        <f t="shared" si="7"/>
        <v>588</v>
      </c>
      <c r="S111" s="5">
        <v>56</v>
      </c>
      <c r="T111" s="5" t="s">
        <v>27</v>
      </c>
      <c r="U111" s="11">
        <f t="shared" si="9"/>
        <v>390</v>
      </c>
    </row>
    <row r="112" spans="1:21" ht="16" x14ac:dyDescent="0.4">
      <c r="A112" s="2" t="s">
        <v>525</v>
      </c>
      <c r="B112" s="3" t="s">
        <v>29</v>
      </c>
      <c r="C112" s="28" t="s">
        <v>30</v>
      </c>
      <c r="D112" s="2" t="s">
        <v>526</v>
      </c>
      <c r="E112" s="4" t="s">
        <v>96</v>
      </c>
      <c r="F112" s="5">
        <v>62</v>
      </c>
      <c r="G112" s="5">
        <v>89</v>
      </c>
      <c r="H112" s="5">
        <v>6</v>
      </c>
      <c r="I112" s="10">
        <v>20</v>
      </c>
      <c r="J112" s="11">
        <f t="shared" si="8"/>
        <v>1240</v>
      </c>
      <c r="K112" s="12" t="str">
        <f t="shared" si="5"/>
        <v>Low Stock_Reorder Needed</v>
      </c>
      <c r="L112" s="12">
        <f t="shared" si="6"/>
        <v>120</v>
      </c>
      <c r="M112" s="6">
        <v>45543</v>
      </c>
      <c r="N112" s="6">
        <v>45449</v>
      </c>
      <c r="O112" s="6">
        <v>45672</v>
      </c>
      <c r="P112" s="7" t="s">
        <v>527</v>
      </c>
      <c r="Q112" s="5">
        <v>23</v>
      </c>
      <c r="R112" s="10">
        <f t="shared" si="7"/>
        <v>460</v>
      </c>
      <c r="S112" s="5">
        <v>11</v>
      </c>
      <c r="T112" s="5" t="s">
        <v>27</v>
      </c>
      <c r="U112" s="11">
        <f t="shared" si="9"/>
        <v>-780</v>
      </c>
    </row>
    <row r="113" spans="1:21" ht="16" x14ac:dyDescent="0.4">
      <c r="A113" s="2" t="s">
        <v>528</v>
      </c>
      <c r="B113" s="3" t="s">
        <v>529</v>
      </c>
      <c r="C113" s="28" t="s">
        <v>48</v>
      </c>
      <c r="D113" s="2" t="s">
        <v>530</v>
      </c>
      <c r="E113" s="4" t="s">
        <v>155</v>
      </c>
      <c r="F113" s="5">
        <v>89</v>
      </c>
      <c r="G113" s="5">
        <v>57</v>
      </c>
      <c r="H113" s="5">
        <v>92</v>
      </c>
      <c r="I113" s="10">
        <v>5</v>
      </c>
      <c r="J113" s="11">
        <f t="shared" si="8"/>
        <v>445</v>
      </c>
      <c r="K113" s="12" t="str">
        <f t="shared" si="5"/>
        <v>Stock_Sufficient</v>
      </c>
      <c r="L113" s="12">
        <f t="shared" si="6"/>
        <v>460</v>
      </c>
      <c r="M113" s="6">
        <v>45519</v>
      </c>
      <c r="N113" s="6">
        <v>45457</v>
      </c>
      <c r="O113" s="6">
        <v>45649</v>
      </c>
      <c r="P113" s="7" t="s">
        <v>531</v>
      </c>
      <c r="Q113" s="5">
        <v>38</v>
      </c>
      <c r="R113" s="10">
        <f t="shared" si="7"/>
        <v>190</v>
      </c>
      <c r="S113" s="5">
        <v>16</v>
      </c>
      <c r="T113" s="5" t="s">
        <v>45</v>
      </c>
      <c r="U113" s="11">
        <f t="shared" si="9"/>
        <v>-255</v>
      </c>
    </row>
    <row r="114" spans="1:21" ht="16" x14ac:dyDescent="0.4">
      <c r="A114" s="2" t="s">
        <v>532</v>
      </c>
      <c r="B114" s="3" t="s">
        <v>533</v>
      </c>
      <c r="C114" s="28" t="s">
        <v>133</v>
      </c>
      <c r="D114" s="2" t="s">
        <v>534</v>
      </c>
      <c r="E114" s="4" t="s">
        <v>535</v>
      </c>
      <c r="F114" s="5">
        <v>23</v>
      </c>
      <c r="G114" s="5">
        <v>42</v>
      </c>
      <c r="H114" s="5">
        <v>87</v>
      </c>
      <c r="I114" s="10">
        <v>8</v>
      </c>
      <c r="J114" s="11">
        <f t="shared" si="8"/>
        <v>184</v>
      </c>
      <c r="K114" s="12" t="str">
        <f t="shared" si="5"/>
        <v>Low Stock_Reorder Needed</v>
      </c>
      <c r="L114" s="12">
        <f t="shared" si="6"/>
        <v>696</v>
      </c>
      <c r="M114" s="6">
        <v>45689</v>
      </c>
      <c r="N114" s="6">
        <v>45488</v>
      </c>
      <c r="O114" s="6">
        <v>45375</v>
      </c>
      <c r="P114" s="7" t="s">
        <v>536</v>
      </c>
      <c r="Q114" s="5">
        <v>63</v>
      </c>
      <c r="R114" s="10">
        <f t="shared" si="7"/>
        <v>504</v>
      </c>
      <c r="S114" s="5">
        <v>5</v>
      </c>
      <c r="T114" s="5" t="s">
        <v>39</v>
      </c>
      <c r="U114" s="11">
        <f t="shared" si="9"/>
        <v>320</v>
      </c>
    </row>
    <row r="115" spans="1:21" ht="16" x14ac:dyDescent="0.4">
      <c r="A115" s="2" t="s">
        <v>537</v>
      </c>
      <c r="B115" s="3" t="s">
        <v>538</v>
      </c>
      <c r="C115" s="28" t="s">
        <v>48</v>
      </c>
      <c r="D115" s="2" t="s">
        <v>539</v>
      </c>
      <c r="E115" s="4" t="s">
        <v>37</v>
      </c>
      <c r="F115" s="5">
        <v>56</v>
      </c>
      <c r="G115" s="5">
        <v>12</v>
      </c>
      <c r="H115" s="5">
        <v>59</v>
      </c>
      <c r="I115" s="10">
        <v>98.43</v>
      </c>
      <c r="J115" s="11">
        <f t="shared" si="8"/>
        <v>5512.08</v>
      </c>
      <c r="K115" s="12" t="str">
        <f t="shared" si="5"/>
        <v>Stock_Sufficient</v>
      </c>
      <c r="L115" s="12">
        <f t="shared" si="6"/>
        <v>5807.3700000000008</v>
      </c>
      <c r="M115" s="6">
        <v>45552</v>
      </c>
      <c r="N115" s="6">
        <v>45531</v>
      </c>
      <c r="O115" s="6">
        <v>45690</v>
      </c>
      <c r="P115" s="7" t="s">
        <v>540</v>
      </c>
      <c r="Q115" s="5">
        <v>35</v>
      </c>
      <c r="R115" s="10">
        <f t="shared" si="7"/>
        <v>3445.05</v>
      </c>
      <c r="S115" s="5">
        <v>16</v>
      </c>
      <c r="T115" s="5" t="s">
        <v>45</v>
      </c>
      <c r="U115" s="11">
        <f t="shared" si="9"/>
        <v>-2067.0299999999997</v>
      </c>
    </row>
    <row r="116" spans="1:21" ht="16" x14ac:dyDescent="0.4">
      <c r="A116" s="2" t="s">
        <v>541</v>
      </c>
      <c r="B116" s="3" t="s">
        <v>35</v>
      </c>
      <c r="C116" s="28" t="s">
        <v>23</v>
      </c>
      <c r="D116" s="2" t="s">
        <v>542</v>
      </c>
      <c r="E116" s="4" t="s">
        <v>543</v>
      </c>
      <c r="F116" s="5">
        <v>86</v>
      </c>
      <c r="G116" s="5">
        <v>100</v>
      </c>
      <c r="H116" s="5">
        <v>74</v>
      </c>
      <c r="I116" s="10">
        <v>6.1</v>
      </c>
      <c r="J116" s="11">
        <f t="shared" si="8"/>
        <v>524.6</v>
      </c>
      <c r="K116" s="12" t="str">
        <f t="shared" si="5"/>
        <v>Low Stock_Reorder Needed</v>
      </c>
      <c r="L116" s="12">
        <f t="shared" si="6"/>
        <v>451.4</v>
      </c>
      <c r="M116" s="6">
        <v>45376</v>
      </c>
      <c r="N116" s="6">
        <v>45674</v>
      </c>
      <c r="O116" s="6">
        <v>45442</v>
      </c>
      <c r="P116" s="7" t="s">
        <v>544</v>
      </c>
      <c r="Q116" s="5">
        <v>80</v>
      </c>
      <c r="R116" s="10">
        <f t="shared" si="7"/>
        <v>488</v>
      </c>
      <c r="S116" s="5">
        <v>94</v>
      </c>
      <c r="T116" s="5" t="s">
        <v>45</v>
      </c>
      <c r="U116" s="11">
        <f t="shared" si="9"/>
        <v>-36.600000000000023</v>
      </c>
    </row>
    <row r="117" spans="1:21" ht="16" x14ac:dyDescent="0.4">
      <c r="A117" s="2" t="s">
        <v>545</v>
      </c>
      <c r="B117" s="3" t="s">
        <v>546</v>
      </c>
      <c r="C117" s="28" t="s">
        <v>48</v>
      </c>
      <c r="D117" s="2" t="s">
        <v>547</v>
      </c>
      <c r="E117" s="4" t="s">
        <v>548</v>
      </c>
      <c r="F117" s="5">
        <v>60</v>
      </c>
      <c r="G117" s="5">
        <v>61</v>
      </c>
      <c r="H117" s="5">
        <v>2</v>
      </c>
      <c r="I117" s="10">
        <v>6</v>
      </c>
      <c r="J117" s="11">
        <f t="shared" si="8"/>
        <v>360</v>
      </c>
      <c r="K117" s="12" t="str">
        <f t="shared" si="5"/>
        <v>Low Stock_Reorder Needed</v>
      </c>
      <c r="L117" s="12">
        <f t="shared" si="6"/>
        <v>12</v>
      </c>
      <c r="M117" s="6">
        <v>45425</v>
      </c>
      <c r="N117" s="6">
        <v>45516</v>
      </c>
      <c r="O117" s="6">
        <v>45531</v>
      </c>
      <c r="P117" s="7" t="s">
        <v>549</v>
      </c>
      <c r="Q117" s="5">
        <v>96</v>
      </c>
      <c r="R117" s="10">
        <f t="shared" si="7"/>
        <v>576</v>
      </c>
      <c r="S117" s="5">
        <v>50</v>
      </c>
      <c r="T117" s="5" t="s">
        <v>45</v>
      </c>
      <c r="U117" s="11">
        <f t="shared" si="9"/>
        <v>216</v>
      </c>
    </row>
    <row r="118" spans="1:21" ht="16" x14ac:dyDescent="0.4">
      <c r="A118" s="2" t="s">
        <v>550</v>
      </c>
      <c r="B118" s="3" t="s">
        <v>182</v>
      </c>
      <c r="C118" s="28" t="s">
        <v>48</v>
      </c>
      <c r="D118" s="2" t="s">
        <v>551</v>
      </c>
      <c r="E118" s="4" t="s">
        <v>552</v>
      </c>
      <c r="F118" s="5">
        <v>70</v>
      </c>
      <c r="G118" s="5">
        <v>30</v>
      </c>
      <c r="H118" s="5">
        <v>69</v>
      </c>
      <c r="I118" s="10">
        <v>3.5</v>
      </c>
      <c r="J118" s="11">
        <f t="shared" si="8"/>
        <v>245</v>
      </c>
      <c r="K118" s="12" t="str">
        <f t="shared" si="5"/>
        <v>Stock_Sufficient</v>
      </c>
      <c r="L118" s="12">
        <f t="shared" si="6"/>
        <v>241.5</v>
      </c>
      <c r="M118" s="6">
        <v>45517</v>
      </c>
      <c r="N118" s="6">
        <v>45691</v>
      </c>
      <c r="O118" s="6">
        <v>45487</v>
      </c>
      <c r="P118" s="7" t="s">
        <v>553</v>
      </c>
      <c r="Q118" s="5">
        <v>44</v>
      </c>
      <c r="R118" s="10">
        <f t="shared" si="7"/>
        <v>154</v>
      </c>
      <c r="S118" s="5">
        <v>42</v>
      </c>
      <c r="T118" s="5" t="s">
        <v>27</v>
      </c>
      <c r="U118" s="11">
        <f t="shared" si="9"/>
        <v>-91</v>
      </c>
    </row>
    <row r="119" spans="1:21" ht="16" x14ac:dyDescent="0.4">
      <c r="A119" s="2" t="s">
        <v>554</v>
      </c>
      <c r="B119" s="3" t="s">
        <v>555</v>
      </c>
      <c r="C119" s="28" t="s">
        <v>48</v>
      </c>
      <c r="D119" s="2" t="s">
        <v>556</v>
      </c>
      <c r="E119" s="4" t="s">
        <v>557</v>
      </c>
      <c r="F119" s="5">
        <v>47</v>
      </c>
      <c r="G119" s="5">
        <v>72</v>
      </c>
      <c r="H119" s="5">
        <v>73</v>
      </c>
      <c r="I119" s="10">
        <v>4</v>
      </c>
      <c r="J119" s="11">
        <f t="shared" si="8"/>
        <v>188</v>
      </c>
      <c r="K119" s="12" t="str">
        <f t="shared" si="5"/>
        <v>Low Stock_Reorder Needed</v>
      </c>
      <c r="L119" s="12">
        <f t="shared" si="6"/>
        <v>292</v>
      </c>
      <c r="M119" s="6">
        <v>45433</v>
      </c>
      <c r="N119" s="6">
        <v>45381</v>
      </c>
      <c r="O119" s="6">
        <v>45412</v>
      </c>
      <c r="P119" s="7" t="s">
        <v>558</v>
      </c>
      <c r="Q119" s="5">
        <v>93</v>
      </c>
      <c r="R119" s="10">
        <f t="shared" si="7"/>
        <v>372</v>
      </c>
      <c r="S119" s="5">
        <v>27</v>
      </c>
      <c r="T119" s="5" t="s">
        <v>39</v>
      </c>
      <c r="U119" s="11">
        <f t="shared" si="9"/>
        <v>184</v>
      </c>
    </row>
    <row r="120" spans="1:21" ht="16" x14ac:dyDescent="0.4">
      <c r="A120" s="2" t="s">
        <v>559</v>
      </c>
      <c r="B120" s="3" t="s">
        <v>386</v>
      </c>
      <c r="C120" s="28" t="s">
        <v>23</v>
      </c>
      <c r="D120" s="2" t="s">
        <v>560</v>
      </c>
      <c r="E120" s="4" t="s">
        <v>561</v>
      </c>
      <c r="F120" s="5">
        <v>95</v>
      </c>
      <c r="G120" s="5">
        <v>93</v>
      </c>
      <c r="H120" s="5">
        <v>16</v>
      </c>
      <c r="I120" s="10">
        <v>4.5</v>
      </c>
      <c r="J120" s="11">
        <f t="shared" si="8"/>
        <v>427.5</v>
      </c>
      <c r="K120" s="12" t="str">
        <f t="shared" si="5"/>
        <v>Stock_Sufficient</v>
      </c>
      <c r="L120" s="12">
        <f t="shared" si="6"/>
        <v>72</v>
      </c>
      <c r="M120" s="6">
        <v>45622</v>
      </c>
      <c r="N120" s="6">
        <v>45541</v>
      </c>
      <c r="O120" s="6">
        <v>45556</v>
      </c>
      <c r="P120" s="7" t="s">
        <v>562</v>
      </c>
      <c r="Q120" s="5">
        <v>60</v>
      </c>
      <c r="R120" s="10">
        <f t="shared" si="7"/>
        <v>270</v>
      </c>
      <c r="S120" s="5">
        <v>19</v>
      </c>
      <c r="T120" s="5" t="s">
        <v>45</v>
      </c>
      <c r="U120" s="11">
        <f t="shared" si="9"/>
        <v>-157.5</v>
      </c>
    </row>
    <row r="121" spans="1:21" ht="16" x14ac:dyDescent="0.4">
      <c r="A121" s="2" t="s">
        <v>563</v>
      </c>
      <c r="B121" s="3" t="s">
        <v>47</v>
      </c>
      <c r="C121" s="28" t="s">
        <v>48</v>
      </c>
      <c r="D121" s="2" t="s">
        <v>564</v>
      </c>
      <c r="E121" s="4" t="s">
        <v>565</v>
      </c>
      <c r="F121" s="5">
        <v>20</v>
      </c>
      <c r="G121" s="5">
        <v>42</v>
      </c>
      <c r="H121" s="5">
        <v>21</v>
      </c>
      <c r="I121" s="10">
        <v>3.85</v>
      </c>
      <c r="J121" s="11">
        <f t="shared" si="8"/>
        <v>77</v>
      </c>
      <c r="K121" s="12" t="str">
        <f t="shared" si="5"/>
        <v>Low Stock_Reorder Needed</v>
      </c>
      <c r="L121" s="12">
        <f t="shared" si="6"/>
        <v>80.850000000000009</v>
      </c>
      <c r="M121" s="6">
        <v>45624</v>
      </c>
      <c r="N121" s="6">
        <v>45684</v>
      </c>
      <c r="O121" s="6">
        <v>45708</v>
      </c>
      <c r="P121" s="7" t="s">
        <v>566</v>
      </c>
      <c r="Q121" s="5">
        <v>61</v>
      </c>
      <c r="R121" s="10">
        <f t="shared" si="7"/>
        <v>234.85</v>
      </c>
      <c r="S121" s="5">
        <v>25</v>
      </c>
      <c r="T121" s="5" t="s">
        <v>27</v>
      </c>
      <c r="U121" s="11">
        <f t="shared" si="9"/>
        <v>157.85</v>
      </c>
    </row>
    <row r="122" spans="1:21" ht="16" x14ac:dyDescent="0.4">
      <c r="A122" s="2" t="s">
        <v>567</v>
      </c>
      <c r="B122" s="3" t="s">
        <v>22</v>
      </c>
      <c r="C122" s="28" t="s">
        <v>23</v>
      </c>
      <c r="D122" s="2" t="s">
        <v>568</v>
      </c>
      <c r="E122" s="4" t="s">
        <v>569</v>
      </c>
      <c r="F122" s="5">
        <v>19</v>
      </c>
      <c r="G122" s="5">
        <v>17</v>
      </c>
      <c r="H122" s="5">
        <v>14</v>
      </c>
      <c r="I122" s="10">
        <v>4.3</v>
      </c>
      <c r="J122" s="11">
        <f t="shared" si="8"/>
        <v>81.7</v>
      </c>
      <c r="K122" s="12" t="str">
        <f t="shared" si="5"/>
        <v>Stock_Sufficient</v>
      </c>
      <c r="L122" s="12">
        <f t="shared" si="6"/>
        <v>60.199999999999996</v>
      </c>
      <c r="M122" s="6">
        <v>45534</v>
      </c>
      <c r="N122" s="6">
        <v>45472</v>
      </c>
      <c r="O122" s="6">
        <v>45361</v>
      </c>
      <c r="P122" s="7" t="s">
        <v>570</v>
      </c>
      <c r="Q122" s="5">
        <v>58</v>
      </c>
      <c r="R122" s="10">
        <f t="shared" si="7"/>
        <v>249.39999999999998</v>
      </c>
      <c r="S122" s="5">
        <v>23</v>
      </c>
      <c r="T122" s="5" t="s">
        <v>45</v>
      </c>
      <c r="U122" s="11">
        <f t="shared" si="9"/>
        <v>167.7</v>
      </c>
    </row>
    <row r="123" spans="1:21" ht="16" x14ac:dyDescent="0.4">
      <c r="A123" s="2" t="s">
        <v>571</v>
      </c>
      <c r="B123" s="3" t="s">
        <v>29</v>
      </c>
      <c r="C123" s="28" t="s">
        <v>30</v>
      </c>
      <c r="D123" s="2" t="s">
        <v>572</v>
      </c>
      <c r="E123" s="4" t="s">
        <v>470</v>
      </c>
      <c r="F123" s="5">
        <v>74</v>
      </c>
      <c r="G123" s="5">
        <v>72</v>
      </c>
      <c r="H123" s="5">
        <v>18</v>
      </c>
      <c r="I123" s="10">
        <v>21</v>
      </c>
      <c r="J123" s="11">
        <f t="shared" si="8"/>
        <v>1554</v>
      </c>
      <c r="K123" s="12" t="str">
        <f t="shared" si="5"/>
        <v>Stock_Sufficient</v>
      </c>
      <c r="L123" s="12">
        <f t="shared" si="6"/>
        <v>378</v>
      </c>
      <c r="M123" s="6">
        <v>45611</v>
      </c>
      <c r="N123" s="6">
        <v>45349</v>
      </c>
      <c r="O123" s="6">
        <v>45693</v>
      </c>
      <c r="P123" s="7" t="s">
        <v>573</v>
      </c>
      <c r="Q123" s="5">
        <v>83</v>
      </c>
      <c r="R123" s="10">
        <f t="shared" si="7"/>
        <v>1743</v>
      </c>
      <c r="S123" s="5">
        <v>54</v>
      </c>
      <c r="T123" s="5" t="s">
        <v>45</v>
      </c>
      <c r="U123" s="11">
        <f t="shared" si="9"/>
        <v>189</v>
      </c>
    </row>
    <row r="124" spans="1:21" ht="16" x14ac:dyDescent="0.4">
      <c r="A124" s="2" t="s">
        <v>574</v>
      </c>
      <c r="B124" s="3" t="s">
        <v>172</v>
      </c>
      <c r="C124" s="28" t="s">
        <v>48</v>
      </c>
      <c r="D124" s="2" t="s">
        <v>575</v>
      </c>
      <c r="E124" s="4" t="s">
        <v>576</v>
      </c>
      <c r="F124" s="5">
        <v>61</v>
      </c>
      <c r="G124" s="5">
        <v>50</v>
      </c>
      <c r="H124" s="5">
        <v>9</v>
      </c>
      <c r="I124" s="10">
        <v>4.5</v>
      </c>
      <c r="J124" s="11">
        <f t="shared" si="8"/>
        <v>274.5</v>
      </c>
      <c r="K124" s="12" t="str">
        <f t="shared" si="5"/>
        <v>Stock_Sufficient</v>
      </c>
      <c r="L124" s="12">
        <f t="shared" si="6"/>
        <v>40.5</v>
      </c>
      <c r="M124" s="6">
        <v>45573</v>
      </c>
      <c r="N124" s="6">
        <v>45348</v>
      </c>
      <c r="O124" s="6">
        <v>45676</v>
      </c>
      <c r="P124" s="7" t="s">
        <v>577</v>
      </c>
      <c r="Q124" s="5">
        <v>24</v>
      </c>
      <c r="R124" s="10">
        <f t="shared" si="7"/>
        <v>108</v>
      </c>
      <c r="S124" s="5">
        <v>92</v>
      </c>
      <c r="T124" s="5" t="s">
        <v>45</v>
      </c>
      <c r="U124" s="11">
        <f t="shared" si="9"/>
        <v>-166.5</v>
      </c>
    </row>
    <row r="125" spans="1:21" ht="16" x14ac:dyDescent="0.4">
      <c r="A125" s="2" t="s">
        <v>578</v>
      </c>
      <c r="B125" s="3" t="s">
        <v>266</v>
      </c>
      <c r="C125" s="28" t="s">
        <v>90</v>
      </c>
      <c r="D125" s="2" t="s">
        <v>579</v>
      </c>
      <c r="E125" s="4" t="s">
        <v>580</v>
      </c>
      <c r="F125" s="5">
        <v>34</v>
      </c>
      <c r="G125" s="5">
        <v>42</v>
      </c>
      <c r="H125" s="5">
        <v>86</v>
      </c>
      <c r="I125" s="10">
        <v>4</v>
      </c>
      <c r="J125" s="11">
        <f t="shared" si="8"/>
        <v>136</v>
      </c>
      <c r="K125" s="12" t="str">
        <f t="shared" si="5"/>
        <v>Low Stock_Reorder Needed</v>
      </c>
      <c r="L125" s="12">
        <f t="shared" si="6"/>
        <v>344</v>
      </c>
      <c r="M125" s="6">
        <v>45428</v>
      </c>
      <c r="N125" s="6">
        <v>45572</v>
      </c>
      <c r="O125" s="6">
        <v>45383</v>
      </c>
      <c r="P125" s="7" t="s">
        <v>581</v>
      </c>
      <c r="Q125" s="5">
        <v>28</v>
      </c>
      <c r="R125" s="10">
        <f t="shared" si="7"/>
        <v>112</v>
      </c>
      <c r="S125" s="5">
        <v>23</v>
      </c>
      <c r="T125" s="5" t="s">
        <v>27</v>
      </c>
      <c r="U125" s="11">
        <f t="shared" si="9"/>
        <v>-24</v>
      </c>
    </row>
    <row r="126" spans="1:21" ht="16" x14ac:dyDescent="0.4">
      <c r="A126" s="2" t="s">
        <v>582</v>
      </c>
      <c r="B126" s="3" t="s">
        <v>172</v>
      </c>
      <c r="C126" s="28" t="s">
        <v>48</v>
      </c>
      <c r="D126" s="2" t="s">
        <v>583</v>
      </c>
      <c r="E126" s="4" t="s">
        <v>584</v>
      </c>
      <c r="F126" s="5">
        <v>29</v>
      </c>
      <c r="G126" s="5">
        <v>20</v>
      </c>
      <c r="H126" s="5">
        <v>85</v>
      </c>
      <c r="I126" s="10">
        <v>4.5</v>
      </c>
      <c r="J126" s="11">
        <f t="shared" si="8"/>
        <v>130.5</v>
      </c>
      <c r="K126" s="12" t="str">
        <f t="shared" si="5"/>
        <v>Stock_Sufficient</v>
      </c>
      <c r="L126" s="12">
        <f t="shared" si="6"/>
        <v>382.5</v>
      </c>
      <c r="M126" s="6">
        <v>45592</v>
      </c>
      <c r="N126" s="6">
        <v>45708</v>
      </c>
      <c r="O126" s="6">
        <v>45353</v>
      </c>
      <c r="P126" s="7" t="s">
        <v>585</v>
      </c>
      <c r="Q126" s="5">
        <v>31</v>
      </c>
      <c r="R126" s="10">
        <f t="shared" si="7"/>
        <v>139.5</v>
      </c>
      <c r="S126" s="5">
        <v>31</v>
      </c>
      <c r="T126" s="5" t="s">
        <v>45</v>
      </c>
      <c r="U126" s="11">
        <f t="shared" si="9"/>
        <v>9</v>
      </c>
    </row>
    <row r="127" spans="1:21" ht="16" x14ac:dyDescent="0.4">
      <c r="A127" s="2" t="s">
        <v>586</v>
      </c>
      <c r="B127" s="3" t="s">
        <v>364</v>
      </c>
      <c r="C127" s="28" t="s">
        <v>65</v>
      </c>
      <c r="D127" s="2" t="s">
        <v>587</v>
      </c>
      <c r="E127" s="4" t="s">
        <v>490</v>
      </c>
      <c r="F127" s="5">
        <v>14</v>
      </c>
      <c r="G127" s="5">
        <v>99</v>
      </c>
      <c r="H127" s="5">
        <v>97</v>
      </c>
      <c r="I127" s="10">
        <v>4.2</v>
      </c>
      <c r="J127" s="11">
        <f t="shared" si="8"/>
        <v>58.800000000000004</v>
      </c>
      <c r="K127" s="12" t="str">
        <f t="shared" si="5"/>
        <v>Low Stock_Reorder Needed</v>
      </c>
      <c r="L127" s="12">
        <f t="shared" si="6"/>
        <v>407.40000000000003</v>
      </c>
      <c r="M127" s="6">
        <v>45403</v>
      </c>
      <c r="N127" s="6">
        <v>45663</v>
      </c>
      <c r="O127" s="6">
        <v>45469</v>
      </c>
      <c r="P127" s="7" t="s">
        <v>588</v>
      </c>
      <c r="Q127" s="5">
        <v>28</v>
      </c>
      <c r="R127" s="10">
        <f t="shared" si="7"/>
        <v>117.60000000000001</v>
      </c>
      <c r="S127" s="5">
        <v>45</v>
      </c>
      <c r="T127" s="5" t="s">
        <v>27</v>
      </c>
      <c r="U127" s="11">
        <f t="shared" si="9"/>
        <v>58.800000000000004</v>
      </c>
    </row>
    <row r="128" spans="1:21" ht="16" x14ac:dyDescent="0.4">
      <c r="A128" s="2" t="s">
        <v>589</v>
      </c>
      <c r="B128" s="3" t="s">
        <v>590</v>
      </c>
      <c r="C128" s="28" t="s">
        <v>23</v>
      </c>
      <c r="D128" s="2" t="s">
        <v>591</v>
      </c>
      <c r="E128" s="4" t="s">
        <v>592</v>
      </c>
      <c r="F128" s="5">
        <v>20</v>
      </c>
      <c r="G128" s="5">
        <v>20</v>
      </c>
      <c r="H128" s="5">
        <v>56</v>
      </c>
      <c r="I128" s="10">
        <v>1.8</v>
      </c>
      <c r="J128" s="11">
        <f t="shared" si="8"/>
        <v>36</v>
      </c>
      <c r="K128" s="12" t="str">
        <f t="shared" si="5"/>
        <v>Low Stock_Reorder Needed</v>
      </c>
      <c r="L128" s="12">
        <f t="shared" si="6"/>
        <v>100.8</v>
      </c>
      <c r="M128" s="6">
        <v>45663</v>
      </c>
      <c r="N128" s="6">
        <v>45444</v>
      </c>
      <c r="O128" s="6">
        <v>45418</v>
      </c>
      <c r="P128" s="7" t="s">
        <v>593</v>
      </c>
      <c r="Q128" s="5">
        <v>62</v>
      </c>
      <c r="R128" s="10">
        <f t="shared" si="7"/>
        <v>111.60000000000001</v>
      </c>
      <c r="S128" s="5">
        <v>69</v>
      </c>
      <c r="T128" s="5" t="s">
        <v>39</v>
      </c>
      <c r="U128" s="11">
        <f t="shared" si="9"/>
        <v>75.600000000000009</v>
      </c>
    </row>
    <row r="129" spans="1:21" ht="16" x14ac:dyDescent="0.4">
      <c r="A129" s="2" t="s">
        <v>594</v>
      </c>
      <c r="B129" s="3" t="s">
        <v>595</v>
      </c>
      <c r="C129" s="28" t="s">
        <v>23</v>
      </c>
      <c r="D129" s="2" t="s">
        <v>596</v>
      </c>
      <c r="E129" s="4" t="s">
        <v>597</v>
      </c>
      <c r="F129" s="5">
        <v>40</v>
      </c>
      <c r="G129" s="5">
        <v>38</v>
      </c>
      <c r="H129" s="5">
        <v>32</v>
      </c>
      <c r="I129" s="10">
        <v>3.2</v>
      </c>
      <c r="J129" s="11">
        <f t="shared" si="8"/>
        <v>128</v>
      </c>
      <c r="K129" s="12" t="str">
        <f t="shared" si="5"/>
        <v>Stock_Sufficient</v>
      </c>
      <c r="L129" s="12">
        <f t="shared" si="6"/>
        <v>102.4</v>
      </c>
      <c r="M129" s="6">
        <v>45590</v>
      </c>
      <c r="N129" s="6">
        <v>45451</v>
      </c>
      <c r="O129" s="6">
        <v>45660</v>
      </c>
      <c r="P129" s="7" t="s">
        <v>598</v>
      </c>
      <c r="Q129" s="5">
        <v>21</v>
      </c>
      <c r="R129" s="10">
        <f t="shared" si="7"/>
        <v>67.2</v>
      </c>
      <c r="S129" s="5">
        <v>45</v>
      </c>
      <c r="T129" s="5" t="s">
        <v>39</v>
      </c>
      <c r="U129" s="11">
        <f t="shared" si="9"/>
        <v>-60.8</v>
      </c>
    </row>
    <row r="130" spans="1:21" ht="16" x14ac:dyDescent="0.4">
      <c r="A130" s="2" t="s">
        <v>599</v>
      </c>
      <c r="B130" s="3" t="s">
        <v>600</v>
      </c>
      <c r="C130" s="28" t="s">
        <v>59</v>
      </c>
      <c r="D130" s="2" t="s">
        <v>601</v>
      </c>
      <c r="E130" s="4" t="s">
        <v>124</v>
      </c>
      <c r="F130" s="5">
        <v>91</v>
      </c>
      <c r="G130" s="5">
        <v>82</v>
      </c>
      <c r="H130" s="5">
        <v>58</v>
      </c>
      <c r="I130" s="10">
        <v>2.2999999999999998</v>
      </c>
      <c r="J130" s="11">
        <f t="shared" si="8"/>
        <v>209.29999999999998</v>
      </c>
      <c r="K130" s="12" t="str">
        <f t="shared" ref="K130:K193" si="10">IF(F130&lt;=G130,"Low Stock_Reorder Needed","Stock_Sufficient")</f>
        <v>Stock_Sufficient</v>
      </c>
      <c r="L130" s="12">
        <f t="shared" ref="L130:L193" si="11">H130*I130</f>
        <v>133.39999999999998</v>
      </c>
      <c r="M130" s="6">
        <v>45409</v>
      </c>
      <c r="N130" s="6">
        <v>45586</v>
      </c>
      <c r="O130" s="6">
        <v>45710</v>
      </c>
      <c r="P130" s="7" t="s">
        <v>602</v>
      </c>
      <c r="Q130" s="5">
        <v>43</v>
      </c>
      <c r="R130" s="10">
        <f t="shared" ref="R130:R193" si="12">Q130*I130</f>
        <v>98.899999999999991</v>
      </c>
      <c r="S130" s="5">
        <v>45</v>
      </c>
      <c r="T130" s="5" t="s">
        <v>27</v>
      </c>
      <c r="U130" s="11">
        <f t="shared" si="9"/>
        <v>-110.39999999999999</v>
      </c>
    </row>
    <row r="131" spans="1:21" ht="16" x14ac:dyDescent="0.4">
      <c r="A131" s="2" t="s">
        <v>603</v>
      </c>
      <c r="B131" s="3" t="s">
        <v>604</v>
      </c>
      <c r="C131" s="28" t="s">
        <v>59</v>
      </c>
      <c r="D131" s="2" t="s">
        <v>605</v>
      </c>
      <c r="E131" s="4" t="s">
        <v>606</v>
      </c>
      <c r="F131" s="5">
        <v>99</v>
      </c>
      <c r="G131" s="5">
        <v>96</v>
      </c>
      <c r="H131" s="5">
        <v>39</v>
      </c>
      <c r="I131" s="10">
        <v>10</v>
      </c>
      <c r="J131" s="11">
        <f t="shared" ref="J131:J194" si="13">I131*F131</f>
        <v>990</v>
      </c>
      <c r="K131" s="12" t="str">
        <f t="shared" si="10"/>
        <v>Stock_Sufficient</v>
      </c>
      <c r="L131" s="12">
        <f t="shared" si="11"/>
        <v>390</v>
      </c>
      <c r="M131" s="6">
        <v>45465</v>
      </c>
      <c r="N131" s="6">
        <v>45462</v>
      </c>
      <c r="O131" s="6">
        <v>45563</v>
      </c>
      <c r="P131" s="7" t="s">
        <v>607</v>
      </c>
      <c r="Q131" s="5">
        <v>94</v>
      </c>
      <c r="R131" s="10">
        <f t="shared" si="12"/>
        <v>940</v>
      </c>
      <c r="S131" s="5">
        <v>89</v>
      </c>
      <c r="T131" s="5" t="s">
        <v>39</v>
      </c>
      <c r="U131" s="11">
        <f t="shared" ref="U131:U194" si="14">R131-J131</f>
        <v>-50</v>
      </c>
    </row>
    <row r="132" spans="1:21" ht="16" x14ac:dyDescent="0.4">
      <c r="A132" s="2" t="s">
        <v>608</v>
      </c>
      <c r="B132" s="3" t="s">
        <v>109</v>
      </c>
      <c r="C132" s="28" t="s">
        <v>23</v>
      </c>
      <c r="D132" s="2" t="s">
        <v>609</v>
      </c>
      <c r="E132" s="4" t="s">
        <v>610</v>
      </c>
      <c r="F132" s="5">
        <v>34</v>
      </c>
      <c r="G132" s="5">
        <v>46</v>
      </c>
      <c r="H132" s="5">
        <v>45</v>
      </c>
      <c r="I132" s="10">
        <v>1.5</v>
      </c>
      <c r="J132" s="11">
        <f t="shared" si="13"/>
        <v>51</v>
      </c>
      <c r="K132" s="12" t="str">
        <f t="shared" si="10"/>
        <v>Low Stock_Reorder Needed</v>
      </c>
      <c r="L132" s="12">
        <f t="shared" si="11"/>
        <v>67.5</v>
      </c>
      <c r="M132" s="6">
        <v>45574</v>
      </c>
      <c r="N132" s="6">
        <v>45637</v>
      </c>
      <c r="O132" s="6">
        <v>45648</v>
      </c>
      <c r="P132" s="7" t="s">
        <v>611</v>
      </c>
      <c r="Q132" s="5">
        <v>49</v>
      </c>
      <c r="R132" s="10">
        <f t="shared" si="12"/>
        <v>73.5</v>
      </c>
      <c r="S132" s="5">
        <v>25</v>
      </c>
      <c r="T132" s="5" t="s">
        <v>39</v>
      </c>
      <c r="U132" s="11">
        <f t="shared" si="14"/>
        <v>22.5</v>
      </c>
    </row>
    <row r="133" spans="1:21" ht="16" x14ac:dyDescent="0.4">
      <c r="A133" s="2" t="s">
        <v>612</v>
      </c>
      <c r="B133" s="3" t="s">
        <v>613</v>
      </c>
      <c r="C133" s="28" t="s">
        <v>65</v>
      </c>
      <c r="D133" s="2" t="s">
        <v>614</v>
      </c>
      <c r="E133" s="4" t="s">
        <v>615</v>
      </c>
      <c r="F133" s="5">
        <v>100</v>
      </c>
      <c r="G133" s="5">
        <v>21</v>
      </c>
      <c r="H133" s="5">
        <v>64</v>
      </c>
      <c r="I133" s="10">
        <v>7</v>
      </c>
      <c r="J133" s="11">
        <f t="shared" si="13"/>
        <v>700</v>
      </c>
      <c r="K133" s="12" t="str">
        <f t="shared" si="10"/>
        <v>Stock_Sufficient</v>
      </c>
      <c r="L133" s="12">
        <f t="shared" si="11"/>
        <v>448</v>
      </c>
      <c r="M133" s="6">
        <v>45462</v>
      </c>
      <c r="N133" s="6">
        <v>45362</v>
      </c>
      <c r="O133" s="6">
        <v>45533</v>
      </c>
      <c r="P133" s="7" t="s">
        <v>616</v>
      </c>
      <c r="Q133" s="5">
        <v>20</v>
      </c>
      <c r="R133" s="10">
        <f t="shared" si="12"/>
        <v>140</v>
      </c>
      <c r="S133" s="5">
        <v>13</v>
      </c>
      <c r="T133" s="5" t="s">
        <v>39</v>
      </c>
      <c r="U133" s="11">
        <f t="shared" si="14"/>
        <v>-560</v>
      </c>
    </row>
    <row r="134" spans="1:21" ht="16" x14ac:dyDescent="0.4">
      <c r="A134" s="2" t="s">
        <v>617</v>
      </c>
      <c r="B134" s="3" t="s">
        <v>35</v>
      </c>
      <c r="C134" s="28" t="s">
        <v>23</v>
      </c>
      <c r="D134" s="2" t="s">
        <v>618</v>
      </c>
      <c r="E134" s="4" t="s">
        <v>619</v>
      </c>
      <c r="F134" s="5">
        <v>79</v>
      </c>
      <c r="G134" s="5">
        <v>98</v>
      </c>
      <c r="H134" s="5">
        <v>97</v>
      </c>
      <c r="I134" s="10">
        <v>6</v>
      </c>
      <c r="J134" s="11">
        <f t="shared" si="13"/>
        <v>474</v>
      </c>
      <c r="K134" s="12" t="str">
        <f t="shared" si="10"/>
        <v>Low Stock_Reorder Needed</v>
      </c>
      <c r="L134" s="12">
        <f t="shared" si="11"/>
        <v>582</v>
      </c>
      <c r="M134" s="6">
        <v>45636</v>
      </c>
      <c r="N134" s="6">
        <v>45674</v>
      </c>
      <c r="O134" s="6">
        <v>45429</v>
      </c>
      <c r="P134" s="7" t="s">
        <v>620</v>
      </c>
      <c r="Q134" s="5">
        <v>26</v>
      </c>
      <c r="R134" s="10">
        <f t="shared" si="12"/>
        <v>156</v>
      </c>
      <c r="S134" s="5">
        <v>21</v>
      </c>
      <c r="T134" s="5" t="s">
        <v>39</v>
      </c>
      <c r="U134" s="11">
        <f t="shared" si="14"/>
        <v>-318</v>
      </c>
    </row>
    <row r="135" spans="1:21" ht="16" x14ac:dyDescent="0.4">
      <c r="A135" s="2" t="s">
        <v>621</v>
      </c>
      <c r="B135" s="3" t="s">
        <v>70</v>
      </c>
      <c r="C135" s="28" t="s">
        <v>65</v>
      </c>
      <c r="D135" s="2" t="s">
        <v>622</v>
      </c>
      <c r="E135" s="4" t="s">
        <v>615</v>
      </c>
      <c r="F135" s="5">
        <v>62</v>
      </c>
      <c r="G135" s="5">
        <v>2</v>
      </c>
      <c r="H135" s="5">
        <v>98</v>
      </c>
      <c r="I135" s="10">
        <v>3</v>
      </c>
      <c r="J135" s="11">
        <f t="shared" si="13"/>
        <v>186</v>
      </c>
      <c r="K135" s="12" t="str">
        <f t="shared" si="10"/>
        <v>Stock_Sufficient</v>
      </c>
      <c r="L135" s="12">
        <f t="shared" si="11"/>
        <v>294</v>
      </c>
      <c r="M135" s="6">
        <v>45435</v>
      </c>
      <c r="N135" s="6">
        <v>45583</v>
      </c>
      <c r="O135" s="6">
        <v>45540</v>
      </c>
      <c r="P135" s="7" t="s">
        <v>623</v>
      </c>
      <c r="Q135" s="5">
        <v>50</v>
      </c>
      <c r="R135" s="10">
        <f t="shared" si="12"/>
        <v>150</v>
      </c>
      <c r="S135" s="5">
        <v>11</v>
      </c>
      <c r="T135" s="5" t="s">
        <v>27</v>
      </c>
      <c r="U135" s="11">
        <f t="shared" si="14"/>
        <v>-36</v>
      </c>
    </row>
    <row r="136" spans="1:21" ht="16" x14ac:dyDescent="0.4">
      <c r="A136" s="2" t="s">
        <v>624</v>
      </c>
      <c r="B136" s="3" t="s">
        <v>625</v>
      </c>
      <c r="C136" s="28" t="s">
        <v>133</v>
      </c>
      <c r="D136" s="2" t="s">
        <v>626</v>
      </c>
      <c r="E136" s="4" t="s">
        <v>627</v>
      </c>
      <c r="F136" s="5">
        <v>25</v>
      </c>
      <c r="G136" s="5">
        <v>44</v>
      </c>
      <c r="H136" s="5">
        <v>96</v>
      </c>
      <c r="I136" s="10">
        <v>18</v>
      </c>
      <c r="J136" s="11">
        <f t="shared" si="13"/>
        <v>450</v>
      </c>
      <c r="K136" s="12" t="str">
        <f t="shared" si="10"/>
        <v>Low Stock_Reorder Needed</v>
      </c>
      <c r="L136" s="12">
        <f t="shared" si="11"/>
        <v>1728</v>
      </c>
      <c r="M136" s="6">
        <v>45477</v>
      </c>
      <c r="N136" s="6">
        <v>45360</v>
      </c>
      <c r="O136" s="6">
        <v>45536</v>
      </c>
      <c r="P136" s="7" t="s">
        <v>628</v>
      </c>
      <c r="Q136" s="5">
        <v>36</v>
      </c>
      <c r="R136" s="10">
        <f t="shared" si="12"/>
        <v>648</v>
      </c>
      <c r="S136" s="5">
        <v>16</v>
      </c>
      <c r="T136" s="5" t="s">
        <v>45</v>
      </c>
      <c r="U136" s="11">
        <f t="shared" si="14"/>
        <v>198</v>
      </c>
    </row>
    <row r="137" spans="1:21" ht="16" x14ac:dyDescent="0.4">
      <c r="A137" s="2" t="s">
        <v>629</v>
      </c>
      <c r="B137" s="3" t="s">
        <v>630</v>
      </c>
      <c r="C137" s="28" t="s">
        <v>65</v>
      </c>
      <c r="D137" s="2" t="s">
        <v>631</v>
      </c>
      <c r="E137" s="4" t="s">
        <v>37</v>
      </c>
      <c r="F137" s="5">
        <v>47</v>
      </c>
      <c r="G137" s="5">
        <v>2</v>
      </c>
      <c r="H137" s="5">
        <v>76</v>
      </c>
      <c r="I137" s="10">
        <v>2.5</v>
      </c>
      <c r="J137" s="11">
        <f t="shared" si="13"/>
        <v>117.5</v>
      </c>
      <c r="K137" s="12" t="str">
        <f t="shared" si="10"/>
        <v>Stock_Sufficient</v>
      </c>
      <c r="L137" s="12">
        <f t="shared" si="11"/>
        <v>190</v>
      </c>
      <c r="M137" s="6">
        <v>45425</v>
      </c>
      <c r="N137" s="6">
        <v>45472</v>
      </c>
      <c r="O137" s="6">
        <v>45357</v>
      </c>
      <c r="P137" s="7" t="s">
        <v>632</v>
      </c>
      <c r="Q137" s="5">
        <v>48</v>
      </c>
      <c r="R137" s="10">
        <f t="shared" si="12"/>
        <v>120</v>
      </c>
      <c r="S137" s="5">
        <v>36</v>
      </c>
      <c r="T137" s="5" t="s">
        <v>27</v>
      </c>
      <c r="U137" s="11">
        <f t="shared" si="14"/>
        <v>2.5</v>
      </c>
    </row>
    <row r="138" spans="1:21" ht="16" x14ac:dyDescent="0.4">
      <c r="A138" s="2" t="s">
        <v>633</v>
      </c>
      <c r="B138" s="3" t="s">
        <v>275</v>
      </c>
      <c r="C138" s="28" t="s">
        <v>48</v>
      </c>
      <c r="D138" s="2" t="s">
        <v>634</v>
      </c>
      <c r="E138" s="4" t="s">
        <v>635</v>
      </c>
      <c r="F138" s="5">
        <v>15</v>
      </c>
      <c r="G138" s="5">
        <v>44</v>
      </c>
      <c r="H138" s="5">
        <v>88</v>
      </c>
      <c r="I138" s="10">
        <v>3</v>
      </c>
      <c r="J138" s="11">
        <f t="shared" si="13"/>
        <v>45</v>
      </c>
      <c r="K138" s="12" t="str">
        <f t="shared" si="10"/>
        <v>Low Stock_Reorder Needed</v>
      </c>
      <c r="L138" s="12">
        <f t="shared" si="11"/>
        <v>264</v>
      </c>
      <c r="M138" s="6">
        <v>45535</v>
      </c>
      <c r="N138" s="6">
        <v>45701</v>
      </c>
      <c r="O138" s="6">
        <v>45410</v>
      </c>
      <c r="P138" s="7" t="s">
        <v>636</v>
      </c>
      <c r="Q138" s="5">
        <v>56</v>
      </c>
      <c r="R138" s="10">
        <f t="shared" si="12"/>
        <v>168</v>
      </c>
      <c r="S138" s="5">
        <v>12</v>
      </c>
      <c r="T138" s="5" t="s">
        <v>27</v>
      </c>
      <c r="U138" s="11">
        <f t="shared" si="14"/>
        <v>123</v>
      </c>
    </row>
    <row r="139" spans="1:21" ht="16" x14ac:dyDescent="0.4">
      <c r="A139" s="2" t="s">
        <v>637</v>
      </c>
      <c r="B139" s="3" t="s">
        <v>546</v>
      </c>
      <c r="C139" s="28" t="s">
        <v>48</v>
      </c>
      <c r="D139" s="2" t="s">
        <v>638</v>
      </c>
      <c r="E139" s="4" t="s">
        <v>639</v>
      </c>
      <c r="F139" s="5">
        <v>19</v>
      </c>
      <c r="G139" s="5">
        <v>65</v>
      </c>
      <c r="H139" s="5">
        <v>48</v>
      </c>
      <c r="I139" s="10">
        <v>6</v>
      </c>
      <c r="J139" s="11">
        <f t="shared" si="13"/>
        <v>114</v>
      </c>
      <c r="K139" s="12" t="str">
        <f t="shared" si="10"/>
        <v>Low Stock_Reorder Needed</v>
      </c>
      <c r="L139" s="12">
        <f t="shared" si="11"/>
        <v>288</v>
      </c>
      <c r="M139" s="6">
        <v>45544</v>
      </c>
      <c r="N139" s="6">
        <v>45702</v>
      </c>
      <c r="O139" s="6">
        <v>45547</v>
      </c>
      <c r="P139" s="7" t="s">
        <v>640</v>
      </c>
      <c r="Q139" s="5">
        <v>59</v>
      </c>
      <c r="R139" s="10">
        <f t="shared" si="12"/>
        <v>354</v>
      </c>
      <c r="S139" s="5">
        <v>53</v>
      </c>
      <c r="T139" s="5" t="s">
        <v>27</v>
      </c>
      <c r="U139" s="11">
        <f t="shared" si="14"/>
        <v>240</v>
      </c>
    </row>
    <row r="140" spans="1:21" ht="16" x14ac:dyDescent="0.4">
      <c r="A140" s="2" t="s">
        <v>641</v>
      </c>
      <c r="B140" s="3" t="s">
        <v>625</v>
      </c>
      <c r="C140" s="28" t="s">
        <v>133</v>
      </c>
      <c r="D140" s="2" t="s">
        <v>642</v>
      </c>
      <c r="E140" s="4" t="s">
        <v>643</v>
      </c>
      <c r="F140" s="5">
        <v>58</v>
      </c>
      <c r="G140" s="5">
        <v>77</v>
      </c>
      <c r="H140" s="5">
        <v>96</v>
      </c>
      <c r="I140" s="10">
        <v>18</v>
      </c>
      <c r="J140" s="11">
        <f t="shared" si="13"/>
        <v>1044</v>
      </c>
      <c r="K140" s="12" t="str">
        <f t="shared" si="10"/>
        <v>Low Stock_Reorder Needed</v>
      </c>
      <c r="L140" s="12">
        <f t="shared" si="11"/>
        <v>1728</v>
      </c>
      <c r="M140" s="6">
        <v>45546</v>
      </c>
      <c r="N140" s="6">
        <v>45399</v>
      </c>
      <c r="O140" s="6">
        <v>45381</v>
      </c>
      <c r="P140" s="7" t="s">
        <v>644</v>
      </c>
      <c r="Q140" s="5">
        <v>25</v>
      </c>
      <c r="R140" s="10">
        <f t="shared" si="12"/>
        <v>450</v>
      </c>
      <c r="S140" s="5">
        <v>17</v>
      </c>
      <c r="T140" s="5" t="s">
        <v>27</v>
      </c>
      <c r="U140" s="11">
        <f t="shared" si="14"/>
        <v>-594</v>
      </c>
    </row>
    <row r="141" spans="1:21" ht="16" x14ac:dyDescent="0.4">
      <c r="A141" s="2" t="s">
        <v>645</v>
      </c>
      <c r="B141" s="3" t="s">
        <v>646</v>
      </c>
      <c r="C141" s="28" t="s">
        <v>65</v>
      </c>
      <c r="D141" s="2" t="s">
        <v>647</v>
      </c>
      <c r="E141" s="4" t="s">
        <v>648</v>
      </c>
      <c r="F141" s="5">
        <v>11</v>
      </c>
      <c r="G141" s="5">
        <v>30</v>
      </c>
      <c r="H141" s="5">
        <v>4</v>
      </c>
      <c r="I141" s="10">
        <v>4</v>
      </c>
      <c r="J141" s="11">
        <f t="shared" si="13"/>
        <v>44</v>
      </c>
      <c r="K141" s="12" t="str">
        <f t="shared" si="10"/>
        <v>Low Stock_Reorder Needed</v>
      </c>
      <c r="L141" s="12">
        <f t="shared" si="11"/>
        <v>16</v>
      </c>
      <c r="M141" s="6">
        <v>45506</v>
      </c>
      <c r="N141" s="6">
        <v>45564</v>
      </c>
      <c r="O141" s="6">
        <v>45640</v>
      </c>
      <c r="P141" s="7" t="s">
        <v>649</v>
      </c>
      <c r="Q141" s="5">
        <v>84</v>
      </c>
      <c r="R141" s="10">
        <f t="shared" si="12"/>
        <v>336</v>
      </c>
      <c r="S141" s="5">
        <v>4</v>
      </c>
      <c r="T141" s="5" t="s">
        <v>45</v>
      </c>
      <c r="U141" s="11">
        <f t="shared" si="14"/>
        <v>292</v>
      </c>
    </row>
    <row r="142" spans="1:21" ht="16" x14ac:dyDescent="0.4">
      <c r="A142" s="2" t="s">
        <v>650</v>
      </c>
      <c r="B142" s="3" t="s">
        <v>473</v>
      </c>
      <c r="C142" s="28" t="s">
        <v>23</v>
      </c>
      <c r="D142" s="2" t="s">
        <v>651</v>
      </c>
      <c r="E142" s="4" t="s">
        <v>652</v>
      </c>
      <c r="F142" s="5">
        <v>99</v>
      </c>
      <c r="G142" s="5">
        <v>44</v>
      </c>
      <c r="H142" s="5">
        <v>52</v>
      </c>
      <c r="I142" s="10">
        <v>2</v>
      </c>
      <c r="J142" s="11">
        <f t="shared" si="13"/>
        <v>198</v>
      </c>
      <c r="K142" s="12" t="str">
        <f t="shared" si="10"/>
        <v>Stock_Sufficient</v>
      </c>
      <c r="L142" s="12">
        <f t="shared" si="11"/>
        <v>104</v>
      </c>
      <c r="M142" s="6">
        <v>45590</v>
      </c>
      <c r="N142" s="6">
        <v>45433</v>
      </c>
      <c r="O142" s="6">
        <v>45463</v>
      </c>
      <c r="P142" s="7" t="s">
        <v>653</v>
      </c>
      <c r="Q142" s="5">
        <v>36</v>
      </c>
      <c r="R142" s="10">
        <f t="shared" si="12"/>
        <v>72</v>
      </c>
      <c r="S142" s="5">
        <v>2</v>
      </c>
      <c r="T142" s="5" t="s">
        <v>27</v>
      </c>
      <c r="U142" s="11">
        <f t="shared" si="14"/>
        <v>-126</v>
      </c>
    </row>
    <row r="143" spans="1:21" ht="16" x14ac:dyDescent="0.4">
      <c r="A143" s="2" t="s">
        <v>654</v>
      </c>
      <c r="B143" s="3" t="s">
        <v>41</v>
      </c>
      <c r="C143" s="28" t="s">
        <v>23</v>
      </c>
      <c r="D143" s="2" t="s">
        <v>655</v>
      </c>
      <c r="E143" s="4" t="s">
        <v>656</v>
      </c>
      <c r="F143" s="5">
        <v>26</v>
      </c>
      <c r="G143" s="5">
        <v>82</v>
      </c>
      <c r="H143" s="5">
        <v>19</v>
      </c>
      <c r="I143" s="10">
        <v>1.5</v>
      </c>
      <c r="J143" s="11">
        <f t="shared" si="13"/>
        <v>39</v>
      </c>
      <c r="K143" s="12" t="str">
        <f t="shared" si="10"/>
        <v>Low Stock_Reorder Needed</v>
      </c>
      <c r="L143" s="12">
        <f t="shared" si="11"/>
        <v>28.5</v>
      </c>
      <c r="M143" s="6">
        <v>45558</v>
      </c>
      <c r="N143" s="6">
        <v>45483</v>
      </c>
      <c r="O143" s="6">
        <v>45381</v>
      </c>
      <c r="P143" s="7" t="s">
        <v>657</v>
      </c>
      <c r="Q143" s="5">
        <v>76</v>
      </c>
      <c r="R143" s="10">
        <f t="shared" si="12"/>
        <v>114</v>
      </c>
      <c r="S143" s="5">
        <v>88</v>
      </c>
      <c r="T143" s="5" t="s">
        <v>45</v>
      </c>
      <c r="U143" s="11">
        <f t="shared" si="14"/>
        <v>75</v>
      </c>
    </row>
    <row r="144" spans="1:21" ht="16" x14ac:dyDescent="0.4">
      <c r="A144" s="2" t="s">
        <v>658</v>
      </c>
      <c r="B144" s="3" t="s">
        <v>369</v>
      </c>
      <c r="C144" s="28" t="s">
        <v>48</v>
      </c>
      <c r="D144" s="2" t="s">
        <v>659</v>
      </c>
      <c r="E144" s="4" t="s">
        <v>208</v>
      </c>
      <c r="F144" s="5">
        <v>70</v>
      </c>
      <c r="G144" s="5">
        <v>31</v>
      </c>
      <c r="H144" s="5">
        <v>55</v>
      </c>
      <c r="I144" s="10">
        <v>4.5</v>
      </c>
      <c r="J144" s="11">
        <f t="shared" si="13"/>
        <v>315</v>
      </c>
      <c r="K144" s="12" t="str">
        <f t="shared" si="10"/>
        <v>Stock_Sufficient</v>
      </c>
      <c r="L144" s="12">
        <f t="shared" si="11"/>
        <v>247.5</v>
      </c>
      <c r="M144" s="6">
        <v>45504</v>
      </c>
      <c r="N144" s="6">
        <v>45500</v>
      </c>
      <c r="O144" s="6">
        <v>45480</v>
      </c>
      <c r="P144" s="7" t="s">
        <v>660</v>
      </c>
      <c r="Q144" s="5">
        <v>23</v>
      </c>
      <c r="R144" s="10">
        <f t="shared" si="12"/>
        <v>103.5</v>
      </c>
      <c r="S144" s="5">
        <v>80</v>
      </c>
      <c r="T144" s="5" t="s">
        <v>27</v>
      </c>
      <c r="U144" s="11">
        <f t="shared" si="14"/>
        <v>-211.5</v>
      </c>
    </row>
    <row r="145" spans="1:21" ht="16" x14ac:dyDescent="0.4">
      <c r="A145" s="2" t="s">
        <v>661</v>
      </c>
      <c r="B145" s="3" t="s">
        <v>369</v>
      </c>
      <c r="C145" s="28" t="s">
        <v>48</v>
      </c>
      <c r="D145" s="2" t="s">
        <v>662</v>
      </c>
      <c r="E145" s="4" t="s">
        <v>663</v>
      </c>
      <c r="F145" s="5">
        <v>50</v>
      </c>
      <c r="G145" s="5">
        <v>3</v>
      </c>
      <c r="H145" s="5">
        <v>88</v>
      </c>
      <c r="I145" s="10">
        <v>4.5</v>
      </c>
      <c r="J145" s="11">
        <f t="shared" si="13"/>
        <v>225</v>
      </c>
      <c r="K145" s="12" t="str">
        <f t="shared" si="10"/>
        <v>Stock_Sufficient</v>
      </c>
      <c r="L145" s="12">
        <f t="shared" si="11"/>
        <v>396</v>
      </c>
      <c r="M145" s="6">
        <v>45494</v>
      </c>
      <c r="N145" s="6">
        <v>45473</v>
      </c>
      <c r="O145" s="6">
        <v>45557</v>
      </c>
      <c r="P145" s="7" t="s">
        <v>664</v>
      </c>
      <c r="Q145" s="5">
        <v>69</v>
      </c>
      <c r="R145" s="10">
        <f t="shared" si="12"/>
        <v>310.5</v>
      </c>
      <c r="S145" s="5">
        <v>73</v>
      </c>
      <c r="T145" s="5" t="s">
        <v>27</v>
      </c>
      <c r="U145" s="11">
        <f t="shared" si="14"/>
        <v>85.5</v>
      </c>
    </row>
    <row r="146" spans="1:21" ht="16" x14ac:dyDescent="0.4">
      <c r="A146" s="2" t="s">
        <v>665</v>
      </c>
      <c r="B146" s="3" t="s">
        <v>182</v>
      </c>
      <c r="C146" s="28" t="s">
        <v>48</v>
      </c>
      <c r="D146" s="2" t="s">
        <v>666</v>
      </c>
      <c r="E146" s="4" t="s">
        <v>619</v>
      </c>
      <c r="F146" s="5">
        <v>55</v>
      </c>
      <c r="G146" s="5">
        <v>91</v>
      </c>
      <c r="H146" s="5">
        <v>35</v>
      </c>
      <c r="I146" s="10">
        <v>3.5</v>
      </c>
      <c r="J146" s="11">
        <f t="shared" si="13"/>
        <v>192.5</v>
      </c>
      <c r="K146" s="12" t="str">
        <f t="shared" si="10"/>
        <v>Low Stock_Reorder Needed</v>
      </c>
      <c r="L146" s="12">
        <f t="shared" si="11"/>
        <v>122.5</v>
      </c>
      <c r="M146" s="6">
        <v>45420</v>
      </c>
      <c r="N146" s="6">
        <v>45434</v>
      </c>
      <c r="O146" s="6">
        <v>45705</v>
      </c>
      <c r="P146" s="7" t="s">
        <v>667</v>
      </c>
      <c r="Q146" s="5">
        <v>81</v>
      </c>
      <c r="R146" s="10">
        <f t="shared" si="12"/>
        <v>283.5</v>
      </c>
      <c r="S146" s="5">
        <v>19</v>
      </c>
      <c r="T146" s="5" t="s">
        <v>45</v>
      </c>
      <c r="U146" s="11">
        <f t="shared" si="14"/>
        <v>91</v>
      </c>
    </row>
    <row r="147" spans="1:21" ht="16" x14ac:dyDescent="0.4">
      <c r="A147" s="2" t="s">
        <v>668</v>
      </c>
      <c r="B147" s="3" t="s">
        <v>533</v>
      </c>
      <c r="C147" s="28" t="s">
        <v>133</v>
      </c>
      <c r="D147" s="2" t="s">
        <v>669</v>
      </c>
      <c r="E147" s="4" t="s">
        <v>670</v>
      </c>
      <c r="F147" s="5">
        <v>31</v>
      </c>
      <c r="G147" s="5">
        <v>87</v>
      </c>
      <c r="H147" s="5">
        <v>19</v>
      </c>
      <c r="I147" s="10">
        <v>8</v>
      </c>
      <c r="J147" s="11">
        <f t="shared" si="13"/>
        <v>248</v>
      </c>
      <c r="K147" s="12" t="str">
        <f t="shared" si="10"/>
        <v>Low Stock_Reorder Needed</v>
      </c>
      <c r="L147" s="12">
        <f t="shared" si="11"/>
        <v>152</v>
      </c>
      <c r="M147" s="6">
        <v>45435</v>
      </c>
      <c r="N147" s="6">
        <v>45486</v>
      </c>
      <c r="O147" s="6">
        <v>45413</v>
      </c>
      <c r="P147" s="7" t="s">
        <v>671</v>
      </c>
      <c r="Q147" s="5">
        <v>41</v>
      </c>
      <c r="R147" s="10">
        <f t="shared" si="12"/>
        <v>328</v>
      </c>
      <c r="S147" s="5">
        <v>10</v>
      </c>
      <c r="T147" s="5" t="s">
        <v>45</v>
      </c>
      <c r="U147" s="11">
        <f t="shared" si="14"/>
        <v>80</v>
      </c>
    </row>
    <row r="148" spans="1:21" ht="16" x14ac:dyDescent="0.4">
      <c r="A148" s="2" t="s">
        <v>672</v>
      </c>
      <c r="B148" s="3" t="s">
        <v>673</v>
      </c>
      <c r="C148" s="28" t="s">
        <v>30</v>
      </c>
      <c r="D148" s="2" t="s">
        <v>674</v>
      </c>
      <c r="E148" s="4" t="s">
        <v>675</v>
      </c>
      <c r="F148" s="5">
        <v>63</v>
      </c>
      <c r="G148" s="5">
        <v>92</v>
      </c>
      <c r="H148" s="5">
        <v>26</v>
      </c>
      <c r="I148" s="10">
        <v>8</v>
      </c>
      <c r="J148" s="11">
        <f t="shared" si="13"/>
        <v>504</v>
      </c>
      <c r="K148" s="12" t="str">
        <f t="shared" si="10"/>
        <v>Low Stock_Reorder Needed</v>
      </c>
      <c r="L148" s="12">
        <f t="shared" si="11"/>
        <v>208</v>
      </c>
      <c r="M148" s="6">
        <v>45522</v>
      </c>
      <c r="N148" s="6">
        <v>45700</v>
      </c>
      <c r="O148" s="6">
        <v>45411</v>
      </c>
      <c r="P148" s="7" t="s">
        <v>676</v>
      </c>
      <c r="Q148" s="5">
        <v>93</v>
      </c>
      <c r="R148" s="10">
        <f t="shared" si="12"/>
        <v>744</v>
      </c>
      <c r="S148" s="5">
        <v>99</v>
      </c>
      <c r="T148" s="5" t="s">
        <v>45</v>
      </c>
      <c r="U148" s="11">
        <f t="shared" si="14"/>
        <v>240</v>
      </c>
    </row>
    <row r="149" spans="1:21" ht="16" x14ac:dyDescent="0.4">
      <c r="A149" s="2" t="s">
        <v>677</v>
      </c>
      <c r="B149" s="3" t="s">
        <v>303</v>
      </c>
      <c r="C149" s="28" t="s">
        <v>133</v>
      </c>
      <c r="D149" s="2" t="s">
        <v>678</v>
      </c>
      <c r="E149" s="4" t="s">
        <v>597</v>
      </c>
      <c r="F149" s="5">
        <v>73</v>
      </c>
      <c r="G149" s="5">
        <v>31</v>
      </c>
      <c r="H149" s="5">
        <v>49</v>
      </c>
      <c r="I149" s="10">
        <v>6</v>
      </c>
      <c r="J149" s="11">
        <f t="shared" si="13"/>
        <v>438</v>
      </c>
      <c r="K149" s="12" t="str">
        <f t="shared" si="10"/>
        <v>Stock_Sufficient</v>
      </c>
      <c r="L149" s="12">
        <f t="shared" si="11"/>
        <v>294</v>
      </c>
      <c r="M149" s="6">
        <v>45683</v>
      </c>
      <c r="N149" s="6">
        <v>45353</v>
      </c>
      <c r="O149" s="6">
        <v>45357</v>
      </c>
      <c r="P149" s="7" t="s">
        <v>679</v>
      </c>
      <c r="Q149" s="5">
        <v>22</v>
      </c>
      <c r="R149" s="10">
        <f t="shared" si="12"/>
        <v>132</v>
      </c>
      <c r="S149" s="5">
        <v>47</v>
      </c>
      <c r="T149" s="5" t="s">
        <v>27</v>
      </c>
      <c r="U149" s="11">
        <f t="shared" si="14"/>
        <v>-306</v>
      </c>
    </row>
    <row r="150" spans="1:21" ht="16" x14ac:dyDescent="0.4">
      <c r="A150" s="2" t="s">
        <v>680</v>
      </c>
      <c r="B150" s="3" t="s">
        <v>266</v>
      </c>
      <c r="C150" s="28" t="s">
        <v>90</v>
      </c>
      <c r="D150" s="2" t="s">
        <v>681</v>
      </c>
      <c r="E150" s="4" t="s">
        <v>523</v>
      </c>
      <c r="F150" s="5">
        <v>12</v>
      </c>
      <c r="G150" s="5">
        <v>86</v>
      </c>
      <c r="H150" s="5">
        <v>98</v>
      </c>
      <c r="I150" s="10">
        <v>4</v>
      </c>
      <c r="J150" s="11">
        <f t="shared" si="13"/>
        <v>48</v>
      </c>
      <c r="K150" s="12" t="str">
        <f t="shared" si="10"/>
        <v>Low Stock_Reorder Needed</v>
      </c>
      <c r="L150" s="12">
        <f t="shared" si="11"/>
        <v>392</v>
      </c>
      <c r="M150" s="6">
        <v>45575</v>
      </c>
      <c r="N150" s="6">
        <v>45472</v>
      </c>
      <c r="O150" s="6">
        <v>45564</v>
      </c>
      <c r="P150" s="7" t="s">
        <v>682</v>
      </c>
      <c r="Q150" s="5">
        <v>75</v>
      </c>
      <c r="R150" s="10">
        <f t="shared" si="12"/>
        <v>300</v>
      </c>
      <c r="S150" s="5">
        <v>86</v>
      </c>
      <c r="T150" s="5" t="s">
        <v>27</v>
      </c>
      <c r="U150" s="11">
        <f t="shared" si="14"/>
        <v>252</v>
      </c>
    </row>
    <row r="151" spans="1:21" ht="16" x14ac:dyDescent="0.4">
      <c r="A151" s="2" t="s">
        <v>683</v>
      </c>
      <c r="B151" s="3" t="s">
        <v>220</v>
      </c>
      <c r="C151" s="28" t="s">
        <v>23</v>
      </c>
      <c r="D151" s="2" t="s">
        <v>684</v>
      </c>
      <c r="E151" s="4" t="s">
        <v>685</v>
      </c>
      <c r="F151" s="5">
        <v>53</v>
      </c>
      <c r="G151" s="5">
        <v>86</v>
      </c>
      <c r="H151" s="5">
        <v>54</v>
      </c>
      <c r="I151" s="10">
        <v>3</v>
      </c>
      <c r="J151" s="11">
        <f t="shared" si="13"/>
        <v>159</v>
      </c>
      <c r="K151" s="12" t="str">
        <f t="shared" si="10"/>
        <v>Low Stock_Reorder Needed</v>
      </c>
      <c r="L151" s="12">
        <f t="shared" si="11"/>
        <v>162</v>
      </c>
      <c r="M151" s="6">
        <v>45518</v>
      </c>
      <c r="N151" s="6">
        <v>45692</v>
      </c>
      <c r="O151" s="6">
        <v>45602</v>
      </c>
      <c r="P151" s="7" t="s">
        <v>686</v>
      </c>
      <c r="Q151" s="5">
        <v>44</v>
      </c>
      <c r="R151" s="10">
        <f t="shared" si="12"/>
        <v>132</v>
      </c>
      <c r="S151" s="5">
        <v>3</v>
      </c>
      <c r="T151" s="5" t="s">
        <v>27</v>
      </c>
      <c r="U151" s="11">
        <f t="shared" si="14"/>
        <v>-27</v>
      </c>
    </row>
    <row r="152" spans="1:21" ht="16" x14ac:dyDescent="0.4">
      <c r="A152" s="2" t="s">
        <v>687</v>
      </c>
      <c r="B152" s="3" t="s">
        <v>688</v>
      </c>
      <c r="C152" s="28" t="s">
        <v>23</v>
      </c>
      <c r="D152" s="2" t="s">
        <v>689</v>
      </c>
      <c r="E152" s="4" t="s">
        <v>690</v>
      </c>
      <c r="F152" s="5">
        <v>68</v>
      </c>
      <c r="G152" s="5">
        <v>7</v>
      </c>
      <c r="H152" s="5">
        <v>37</v>
      </c>
      <c r="I152" s="10">
        <v>2.5</v>
      </c>
      <c r="J152" s="11">
        <f t="shared" si="13"/>
        <v>170</v>
      </c>
      <c r="K152" s="12" t="str">
        <f t="shared" si="10"/>
        <v>Stock_Sufficient</v>
      </c>
      <c r="L152" s="12">
        <f t="shared" si="11"/>
        <v>92.5</v>
      </c>
      <c r="M152" s="6">
        <v>45512</v>
      </c>
      <c r="N152" s="6">
        <v>45393</v>
      </c>
      <c r="O152" s="6">
        <v>45654</v>
      </c>
      <c r="P152" s="7" t="s">
        <v>691</v>
      </c>
      <c r="Q152" s="5">
        <v>69</v>
      </c>
      <c r="R152" s="10">
        <f t="shared" si="12"/>
        <v>172.5</v>
      </c>
      <c r="S152" s="5">
        <v>1</v>
      </c>
      <c r="T152" s="5" t="s">
        <v>27</v>
      </c>
      <c r="U152" s="11">
        <f t="shared" si="14"/>
        <v>2.5</v>
      </c>
    </row>
    <row r="153" spans="1:21" ht="16" x14ac:dyDescent="0.4">
      <c r="A153" s="2" t="s">
        <v>692</v>
      </c>
      <c r="B153" s="3" t="s">
        <v>114</v>
      </c>
      <c r="C153" s="28" t="s">
        <v>65</v>
      </c>
      <c r="D153" s="2" t="s">
        <v>693</v>
      </c>
      <c r="E153" s="4" t="s">
        <v>694</v>
      </c>
      <c r="F153" s="5">
        <v>80</v>
      </c>
      <c r="G153" s="5">
        <v>9</v>
      </c>
      <c r="H153" s="5">
        <v>29</v>
      </c>
      <c r="I153" s="10">
        <v>8.1</v>
      </c>
      <c r="J153" s="11">
        <f t="shared" si="13"/>
        <v>648</v>
      </c>
      <c r="K153" s="12" t="str">
        <f t="shared" si="10"/>
        <v>Stock_Sufficient</v>
      </c>
      <c r="L153" s="12">
        <f t="shared" si="11"/>
        <v>234.89999999999998</v>
      </c>
      <c r="M153" s="6">
        <v>45530</v>
      </c>
      <c r="N153" s="6">
        <v>45616</v>
      </c>
      <c r="O153" s="6">
        <v>45574</v>
      </c>
      <c r="P153" s="7" t="s">
        <v>695</v>
      </c>
      <c r="Q153" s="5">
        <v>54</v>
      </c>
      <c r="R153" s="10">
        <f t="shared" si="12"/>
        <v>437.4</v>
      </c>
      <c r="S153" s="5">
        <v>62</v>
      </c>
      <c r="T153" s="5" t="s">
        <v>45</v>
      </c>
      <c r="U153" s="11">
        <f t="shared" si="14"/>
        <v>-210.60000000000002</v>
      </c>
    </row>
    <row r="154" spans="1:21" ht="16" x14ac:dyDescent="0.4">
      <c r="A154" s="2" t="s">
        <v>696</v>
      </c>
      <c r="B154" s="3" t="s">
        <v>625</v>
      </c>
      <c r="C154" s="28" t="s">
        <v>133</v>
      </c>
      <c r="D154" s="2" t="s">
        <v>697</v>
      </c>
      <c r="E154" s="4" t="s">
        <v>698</v>
      </c>
      <c r="F154" s="5">
        <v>92</v>
      </c>
      <c r="G154" s="5">
        <v>68</v>
      </c>
      <c r="H154" s="5">
        <v>79</v>
      </c>
      <c r="I154" s="10">
        <v>18</v>
      </c>
      <c r="J154" s="11">
        <f t="shared" si="13"/>
        <v>1656</v>
      </c>
      <c r="K154" s="12" t="str">
        <f t="shared" si="10"/>
        <v>Stock_Sufficient</v>
      </c>
      <c r="L154" s="12">
        <f t="shared" si="11"/>
        <v>1422</v>
      </c>
      <c r="M154" s="6">
        <v>45650</v>
      </c>
      <c r="N154" s="6">
        <v>45522</v>
      </c>
      <c r="O154" s="6">
        <v>45386</v>
      </c>
      <c r="P154" s="7" t="s">
        <v>699</v>
      </c>
      <c r="Q154" s="5">
        <v>40</v>
      </c>
      <c r="R154" s="10">
        <f t="shared" si="12"/>
        <v>720</v>
      </c>
      <c r="S154" s="5">
        <v>57</v>
      </c>
      <c r="T154" s="5" t="s">
        <v>27</v>
      </c>
      <c r="U154" s="11">
        <f t="shared" si="14"/>
        <v>-936</v>
      </c>
    </row>
    <row r="155" spans="1:21" ht="16" x14ac:dyDescent="0.4">
      <c r="A155" s="2" t="s">
        <v>700</v>
      </c>
      <c r="B155" s="3" t="s">
        <v>177</v>
      </c>
      <c r="C155" s="28" t="s">
        <v>48</v>
      </c>
      <c r="D155" s="2" t="s">
        <v>701</v>
      </c>
      <c r="E155" s="4" t="s">
        <v>357</v>
      </c>
      <c r="F155" s="5">
        <v>31</v>
      </c>
      <c r="G155" s="5">
        <v>98</v>
      </c>
      <c r="H155" s="5">
        <v>72</v>
      </c>
      <c r="I155" s="10">
        <v>1.8</v>
      </c>
      <c r="J155" s="11">
        <f t="shared" si="13"/>
        <v>55.800000000000004</v>
      </c>
      <c r="K155" s="12" t="str">
        <f t="shared" si="10"/>
        <v>Low Stock_Reorder Needed</v>
      </c>
      <c r="L155" s="12">
        <f t="shared" si="11"/>
        <v>129.6</v>
      </c>
      <c r="M155" s="6">
        <v>45530</v>
      </c>
      <c r="N155" s="6">
        <v>45572</v>
      </c>
      <c r="O155" s="6">
        <v>45630</v>
      </c>
      <c r="P155" s="7" t="s">
        <v>702</v>
      </c>
      <c r="Q155" s="5">
        <v>91</v>
      </c>
      <c r="R155" s="10">
        <f t="shared" si="12"/>
        <v>163.80000000000001</v>
      </c>
      <c r="S155" s="5">
        <v>29</v>
      </c>
      <c r="T155" s="5" t="s">
        <v>45</v>
      </c>
      <c r="U155" s="11">
        <f t="shared" si="14"/>
        <v>108</v>
      </c>
    </row>
    <row r="156" spans="1:21" ht="16" x14ac:dyDescent="0.4">
      <c r="A156" s="2" t="s">
        <v>703</v>
      </c>
      <c r="B156" s="3" t="s">
        <v>355</v>
      </c>
      <c r="C156" s="28" t="s">
        <v>48</v>
      </c>
      <c r="D156" s="2" t="s">
        <v>704</v>
      </c>
      <c r="E156" s="4" t="s">
        <v>50</v>
      </c>
      <c r="F156" s="5">
        <v>31</v>
      </c>
      <c r="G156" s="5">
        <v>44</v>
      </c>
      <c r="H156" s="5">
        <v>9</v>
      </c>
      <c r="I156" s="10">
        <v>3</v>
      </c>
      <c r="J156" s="11">
        <f t="shared" si="13"/>
        <v>93</v>
      </c>
      <c r="K156" s="12" t="str">
        <f t="shared" si="10"/>
        <v>Low Stock_Reorder Needed</v>
      </c>
      <c r="L156" s="12">
        <f t="shared" si="11"/>
        <v>27</v>
      </c>
      <c r="M156" s="6">
        <v>45442</v>
      </c>
      <c r="N156" s="6">
        <v>45428</v>
      </c>
      <c r="O156" s="6">
        <v>45509</v>
      </c>
      <c r="P156" s="7" t="s">
        <v>705</v>
      </c>
      <c r="Q156" s="5">
        <v>46</v>
      </c>
      <c r="R156" s="10">
        <f t="shared" si="12"/>
        <v>138</v>
      </c>
      <c r="S156" s="5">
        <v>9</v>
      </c>
      <c r="T156" s="5" t="s">
        <v>27</v>
      </c>
      <c r="U156" s="11">
        <f t="shared" si="14"/>
        <v>45</v>
      </c>
    </row>
    <row r="157" spans="1:21" ht="16" x14ac:dyDescent="0.4">
      <c r="A157" s="2" t="s">
        <v>706</v>
      </c>
      <c r="B157" s="3" t="s">
        <v>464</v>
      </c>
      <c r="C157" s="28" t="s">
        <v>48</v>
      </c>
      <c r="D157" s="2" t="s">
        <v>707</v>
      </c>
      <c r="E157" s="4" t="s">
        <v>708</v>
      </c>
      <c r="F157" s="5">
        <v>76</v>
      </c>
      <c r="G157" s="5">
        <v>97</v>
      </c>
      <c r="H157" s="5">
        <v>20</v>
      </c>
      <c r="I157" s="10">
        <v>7</v>
      </c>
      <c r="J157" s="11">
        <f t="shared" si="13"/>
        <v>532</v>
      </c>
      <c r="K157" s="12" t="str">
        <f t="shared" si="10"/>
        <v>Low Stock_Reorder Needed</v>
      </c>
      <c r="L157" s="12">
        <f t="shared" si="11"/>
        <v>140</v>
      </c>
      <c r="M157" s="6">
        <v>45378</v>
      </c>
      <c r="N157" s="6">
        <v>45528</v>
      </c>
      <c r="O157" s="6">
        <v>45423</v>
      </c>
      <c r="P157" s="7" t="s">
        <v>709</v>
      </c>
      <c r="Q157" s="5">
        <v>52</v>
      </c>
      <c r="R157" s="10">
        <f t="shared" si="12"/>
        <v>364</v>
      </c>
      <c r="S157" s="5">
        <v>82</v>
      </c>
      <c r="T157" s="5" t="s">
        <v>27</v>
      </c>
      <c r="U157" s="11">
        <f t="shared" si="14"/>
        <v>-168</v>
      </c>
    </row>
    <row r="158" spans="1:21" ht="16" x14ac:dyDescent="0.4">
      <c r="A158" s="2" t="s">
        <v>710</v>
      </c>
      <c r="B158" s="3" t="s">
        <v>711</v>
      </c>
      <c r="C158" s="28" t="s">
        <v>59</v>
      </c>
      <c r="D158" s="2" t="s">
        <v>712</v>
      </c>
      <c r="E158" s="4" t="s">
        <v>713</v>
      </c>
      <c r="F158" s="5">
        <v>57</v>
      </c>
      <c r="G158" s="5">
        <v>99</v>
      </c>
      <c r="H158" s="5">
        <v>23</v>
      </c>
      <c r="I158" s="10">
        <v>2</v>
      </c>
      <c r="J158" s="11">
        <f t="shared" si="13"/>
        <v>114</v>
      </c>
      <c r="K158" s="12" t="str">
        <f t="shared" si="10"/>
        <v>Low Stock_Reorder Needed</v>
      </c>
      <c r="L158" s="12">
        <f t="shared" si="11"/>
        <v>46</v>
      </c>
      <c r="M158" s="6">
        <v>45498</v>
      </c>
      <c r="N158" s="6">
        <v>45437</v>
      </c>
      <c r="O158" s="6">
        <v>45401</v>
      </c>
      <c r="P158" s="7" t="s">
        <v>714</v>
      </c>
      <c r="Q158" s="5">
        <v>89</v>
      </c>
      <c r="R158" s="10">
        <f t="shared" si="12"/>
        <v>178</v>
      </c>
      <c r="S158" s="5">
        <v>21</v>
      </c>
      <c r="T158" s="5" t="s">
        <v>39</v>
      </c>
      <c r="U158" s="11">
        <f t="shared" si="14"/>
        <v>64</v>
      </c>
    </row>
    <row r="159" spans="1:21" ht="16" x14ac:dyDescent="0.4">
      <c r="A159" s="2" t="s">
        <v>715</v>
      </c>
      <c r="B159" s="3" t="s">
        <v>497</v>
      </c>
      <c r="C159" s="28" t="s">
        <v>65</v>
      </c>
      <c r="D159" s="2" t="s">
        <v>716</v>
      </c>
      <c r="E159" s="4" t="s">
        <v>717</v>
      </c>
      <c r="F159" s="5">
        <v>92</v>
      </c>
      <c r="G159" s="5">
        <v>99</v>
      </c>
      <c r="H159" s="5">
        <v>93</v>
      </c>
      <c r="I159" s="10">
        <v>4</v>
      </c>
      <c r="J159" s="11">
        <f t="shared" si="13"/>
        <v>368</v>
      </c>
      <c r="K159" s="12" t="str">
        <f t="shared" si="10"/>
        <v>Low Stock_Reorder Needed</v>
      </c>
      <c r="L159" s="12">
        <f t="shared" si="11"/>
        <v>372</v>
      </c>
      <c r="M159" s="6">
        <v>45707</v>
      </c>
      <c r="N159" s="6">
        <v>45486</v>
      </c>
      <c r="O159" s="6">
        <v>45377</v>
      </c>
      <c r="P159" s="7" t="s">
        <v>718</v>
      </c>
      <c r="Q159" s="5">
        <v>43</v>
      </c>
      <c r="R159" s="10">
        <f t="shared" si="12"/>
        <v>172</v>
      </c>
      <c r="S159" s="5">
        <v>90</v>
      </c>
      <c r="T159" s="5" t="s">
        <v>27</v>
      </c>
      <c r="U159" s="11">
        <f t="shared" si="14"/>
        <v>-196</v>
      </c>
    </row>
    <row r="160" spans="1:21" ht="16" x14ac:dyDescent="0.4">
      <c r="A160" s="2" t="s">
        <v>719</v>
      </c>
      <c r="B160" s="3" t="s">
        <v>720</v>
      </c>
      <c r="C160" s="28" t="s">
        <v>65</v>
      </c>
      <c r="D160" s="2" t="s">
        <v>721</v>
      </c>
      <c r="E160" s="4" t="s">
        <v>722</v>
      </c>
      <c r="F160" s="5">
        <v>88</v>
      </c>
      <c r="G160" s="5">
        <v>74</v>
      </c>
      <c r="H160" s="5">
        <v>97</v>
      </c>
      <c r="I160" s="10">
        <v>9</v>
      </c>
      <c r="J160" s="11">
        <f t="shared" si="13"/>
        <v>792</v>
      </c>
      <c r="K160" s="12" t="str">
        <f t="shared" si="10"/>
        <v>Stock_Sufficient</v>
      </c>
      <c r="L160" s="12">
        <f t="shared" si="11"/>
        <v>873</v>
      </c>
      <c r="M160" s="6">
        <v>45440</v>
      </c>
      <c r="N160" s="6">
        <v>45443</v>
      </c>
      <c r="O160" s="6">
        <v>45528</v>
      </c>
      <c r="P160" s="7" t="s">
        <v>723</v>
      </c>
      <c r="Q160" s="5">
        <v>79</v>
      </c>
      <c r="R160" s="10">
        <f t="shared" si="12"/>
        <v>711</v>
      </c>
      <c r="S160" s="5">
        <v>5</v>
      </c>
      <c r="T160" s="5" t="s">
        <v>45</v>
      </c>
      <c r="U160" s="11">
        <f t="shared" si="14"/>
        <v>-81</v>
      </c>
    </row>
    <row r="161" spans="1:21" ht="16" x14ac:dyDescent="0.4">
      <c r="A161" s="2" t="s">
        <v>724</v>
      </c>
      <c r="B161" s="3" t="s">
        <v>529</v>
      </c>
      <c r="C161" s="28" t="s">
        <v>48</v>
      </c>
      <c r="D161" s="2" t="s">
        <v>725</v>
      </c>
      <c r="E161" s="4" t="s">
        <v>726</v>
      </c>
      <c r="F161" s="5">
        <v>99</v>
      </c>
      <c r="G161" s="5">
        <v>8</v>
      </c>
      <c r="H161" s="5">
        <v>27</v>
      </c>
      <c r="I161" s="10">
        <v>5</v>
      </c>
      <c r="J161" s="11">
        <f t="shared" si="13"/>
        <v>495</v>
      </c>
      <c r="K161" s="12" t="str">
        <f t="shared" si="10"/>
        <v>Stock_Sufficient</v>
      </c>
      <c r="L161" s="12">
        <f t="shared" si="11"/>
        <v>135</v>
      </c>
      <c r="M161" s="6">
        <v>45489</v>
      </c>
      <c r="N161" s="6">
        <v>45486</v>
      </c>
      <c r="O161" s="6">
        <v>45514</v>
      </c>
      <c r="P161" s="7" t="s">
        <v>727</v>
      </c>
      <c r="Q161" s="5">
        <v>41</v>
      </c>
      <c r="R161" s="10">
        <f t="shared" si="12"/>
        <v>205</v>
      </c>
      <c r="S161" s="5">
        <v>50</v>
      </c>
      <c r="T161" s="5" t="s">
        <v>27</v>
      </c>
      <c r="U161" s="11">
        <f t="shared" si="14"/>
        <v>-290</v>
      </c>
    </row>
    <row r="162" spans="1:21" ht="16" x14ac:dyDescent="0.4">
      <c r="A162" s="2" t="s">
        <v>728</v>
      </c>
      <c r="B162" s="3" t="s">
        <v>729</v>
      </c>
      <c r="C162" s="28" t="s">
        <v>65</v>
      </c>
      <c r="D162" s="2" t="s">
        <v>730</v>
      </c>
      <c r="E162" s="4" t="s">
        <v>731</v>
      </c>
      <c r="F162" s="5">
        <v>44</v>
      </c>
      <c r="G162" s="5">
        <v>84</v>
      </c>
      <c r="H162" s="5">
        <v>63</v>
      </c>
      <c r="I162" s="10">
        <v>2.5</v>
      </c>
      <c r="J162" s="11">
        <f t="shared" si="13"/>
        <v>110</v>
      </c>
      <c r="K162" s="12" t="str">
        <f t="shared" si="10"/>
        <v>Low Stock_Reorder Needed</v>
      </c>
      <c r="L162" s="12">
        <f t="shared" si="11"/>
        <v>157.5</v>
      </c>
      <c r="M162" s="6">
        <v>45502</v>
      </c>
      <c r="N162" s="6">
        <v>45393</v>
      </c>
      <c r="O162" s="6">
        <v>45560</v>
      </c>
      <c r="P162" s="7" t="s">
        <v>732</v>
      </c>
      <c r="Q162" s="5">
        <v>51</v>
      </c>
      <c r="R162" s="10">
        <f t="shared" si="12"/>
        <v>127.5</v>
      </c>
      <c r="S162" s="5">
        <v>67</v>
      </c>
      <c r="T162" s="5" t="s">
        <v>27</v>
      </c>
      <c r="U162" s="11">
        <f t="shared" si="14"/>
        <v>17.5</v>
      </c>
    </row>
    <row r="163" spans="1:21" ht="16" x14ac:dyDescent="0.4">
      <c r="A163" s="2" t="s">
        <v>733</v>
      </c>
      <c r="B163" s="3" t="s">
        <v>192</v>
      </c>
      <c r="C163" s="28" t="s">
        <v>30</v>
      </c>
      <c r="D163" s="2" t="s">
        <v>734</v>
      </c>
      <c r="E163" s="4" t="s">
        <v>735</v>
      </c>
      <c r="F163" s="5">
        <v>48</v>
      </c>
      <c r="G163" s="5">
        <v>77</v>
      </c>
      <c r="H163" s="5">
        <v>81</v>
      </c>
      <c r="I163" s="10">
        <v>31</v>
      </c>
      <c r="J163" s="11">
        <f t="shared" si="13"/>
        <v>1488</v>
      </c>
      <c r="K163" s="12" t="str">
        <f t="shared" si="10"/>
        <v>Low Stock_Reorder Needed</v>
      </c>
      <c r="L163" s="12">
        <f t="shared" si="11"/>
        <v>2511</v>
      </c>
      <c r="M163" s="6">
        <v>45685</v>
      </c>
      <c r="N163" s="6">
        <v>45570</v>
      </c>
      <c r="O163" s="6">
        <v>45633</v>
      </c>
      <c r="P163" s="7" t="s">
        <v>736</v>
      </c>
      <c r="Q163" s="5">
        <v>70</v>
      </c>
      <c r="R163" s="10">
        <f t="shared" si="12"/>
        <v>2170</v>
      </c>
      <c r="S163" s="5">
        <v>74</v>
      </c>
      <c r="T163" s="5" t="s">
        <v>39</v>
      </c>
      <c r="U163" s="11">
        <f t="shared" si="14"/>
        <v>682</v>
      </c>
    </row>
    <row r="164" spans="1:21" ht="16" x14ac:dyDescent="0.4">
      <c r="A164" s="2" t="s">
        <v>737</v>
      </c>
      <c r="B164" s="3" t="s">
        <v>738</v>
      </c>
      <c r="C164" s="28" t="s">
        <v>59</v>
      </c>
      <c r="D164" s="2" t="s">
        <v>739</v>
      </c>
      <c r="E164" s="4" t="s">
        <v>499</v>
      </c>
      <c r="F164" s="5">
        <v>27</v>
      </c>
      <c r="G164" s="5">
        <v>92</v>
      </c>
      <c r="H164" s="5">
        <v>56</v>
      </c>
      <c r="I164" s="10">
        <v>6.5</v>
      </c>
      <c r="J164" s="11">
        <f t="shared" si="13"/>
        <v>175.5</v>
      </c>
      <c r="K164" s="12" t="str">
        <f t="shared" si="10"/>
        <v>Low Stock_Reorder Needed</v>
      </c>
      <c r="L164" s="12">
        <f t="shared" si="11"/>
        <v>364</v>
      </c>
      <c r="M164" s="6">
        <v>45400</v>
      </c>
      <c r="N164" s="6">
        <v>45584</v>
      </c>
      <c r="O164" s="6">
        <v>45644</v>
      </c>
      <c r="P164" s="7" t="s">
        <v>740</v>
      </c>
      <c r="Q164" s="5">
        <v>29</v>
      </c>
      <c r="R164" s="10">
        <f t="shared" si="12"/>
        <v>188.5</v>
      </c>
      <c r="S164" s="5">
        <v>32</v>
      </c>
      <c r="T164" s="5" t="s">
        <v>27</v>
      </c>
      <c r="U164" s="11">
        <f t="shared" si="14"/>
        <v>13</v>
      </c>
    </row>
    <row r="165" spans="1:21" ht="16" x14ac:dyDescent="0.4">
      <c r="A165" s="2" t="s">
        <v>741</v>
      </c>
      <c r="B165" s="3" t="s">
        <v>35</v>
      </c>
      <c r="C165" s="28" t="s">
        <v>23</v>
      </c>
      <c r="D165" s="2" t="s">
        <v>742</v>
      </c>
      <c r="E165" s="4" t="s">
        <v>743</v>
      </c>
      <c r="F165" s="5">
        <v>34</v>
      </c>
      <c r="G165" s="5">
        <v>96</v>
      </c>
      <c r="H165" s="5">
        <v>76</v>
      </c>
      <c r="I165" s="10">
        <v>6.15</v>
      </c>
      <c r="J165" s="11">
        <f t="shared" si="13"/>
        <v>209.10000000000002</v>
      </c>
      <c r="K165" s="12" t="str">
        <f t="shared" si="10"/>
        <v>Low Stock_Reorder Needed</v>
      </c>
      <c r="L165" s="12">
        <f t="shared" si="11"/>
        <v>467.40000000000003</v>
      </c>
      <c r="M165" s="6">
        <v>45568</v>
      </c>
      <c r="N165" s="6">
        <v>45632</v>
      </c>
      <c r="O165" s="6">
        <v>45672</v>
      </c>
      <c r="P165" s="7" t="s">
        <v>744</v>
      </c>
      <c r="Q165" s="5">
        <v>90</v>
      </c>
      <c r="R165" s="10">
        <f t="shared" si="12"/>
        <v>553.5</v>
      </c>
      <c r="S165" s="5">
        <v>34</v>
      </c>
      <c r="T165" s="5" t="s">
        <v>27</v>
      </c>
      <c r="U165" s="11">
        <f t="shared" si="14"/>
        <v>344.4</v>
      </c>
    </row>
    <row r="166" spans="1:21" ht="16" x14ac:dyDescent="0.4">
      <c r="A166" s="2" t="s">
        <v>745</v>
      </c>
      <c r="B166" s="3" t="s">
        <v>275</v>
      </c>
      <c r="C166" s="28" t="s">
        <v>48</v>
      </c>
      <c r="D166" s="2" t="s">
        <v>746</v>
      </c>
      <c r="E166" s="4" t="s">
        <v>263</v>
      </c>
      <c r="F166" s="5">
        <v>41</v>
      </c>
      <c r="G166" s="5">
        <v>94</v>
      </c>
      <c r="H166" s="5">
        <v>4</v>
      </c>
      <c r="I166" s="10">
        <v>3</v>
      </c>
      <c r="J166" s="11">
        <f t="shared" si="13"/>
        <v>123</v>
      </c>
      <c r="K166" s="12" t="str">
        <f t="shared" si="10"/>
        <v>Low Stock_Reorder Needed</v>
      </c>
      <c r="L166" s="12">
        <f t="shared" si="11"/>
        <v>12</v>
      </c>
      <c r="M166" s="6">
        <v>45692</v>
      </c>
      <c r="N166" s="6">
        <v>45499</v>
      </c>
      <c r="O166" s="6">
        <v>45405</v>
      </c>
      <c r="P166" s="7" t="s">
        <v>747</v>
      </c>
      <c r="Q166" s="5">
        <v>88</v>
      </c>
      <c r="R166" s="10">
        <f t="shared" si="12"/>
        <v>264</v>
      </c>
      <c r="S166" s="5">
        <v>92</v>
      </c>
      <c r="T166" s="5" t="s">
        <v>27</v>
      </c>
      <c r="U166" s="11">
        <f t="shared" si="14"/>
        <v>141</v>
      </c>
    </row>
    <row r="167" spans="1:21" ht="16" x14ac:dyDescent="0.4">
      <c r="A167" s="2" t="s">
        <v>748</v>
      </c>
      <c r="B167" s="3" t="s">
        <v>317</v>
      </c>
      <c r="C167" s="28" t="s">
        <v>30</v>
      </c>
      <c r="D167" s="2" t="s">
        <v>749</v>
      </c>
      <c r="E167" s="4" t="s">
        <v>50</v>
      </c>
      <c r="F167" s="5">
        <v>56</v>
      </c>
      <c r="G167" s="5">
        <v>12</v>
      </c>
      <c r="H167" s="5">
        <v>85</v>
      </c>
      <c r="I167" s="10">
        <v>5</v>
      </c>
      <c r="J167" s="11">
        <f t="shared" si="13"/>
        <v>280</v>
      </c>
      <c r="K167" s="12" t="str">
        <f t="shared" si="10"/>
        <v>Stock_Sufficient</v>
      </c>
      <c r="L167" s="12">
        <f t="shared" si="11"/>
        <v>425</v>
      </c>
      <c r="M167" s="6">
        <v>45636</v>
      </c>
      <c r="N167" s="6">
        <v>45371</v>
      </c>
      <c r="O167" s="6">
        <v>45401</v>
      </c>
      <c r="P167" s="7" t="s">
        <v>750</v>
      </c>
      <c r="Q167" s="5">
        <v>52</v>
      </c>
      <c r="R167" s="10">
        <f t="shared" si="12"/>
        <v>260</v>
      </c>
      <c r="S167" s="5">
        <v>46</v>
      </c>
      <c r="T167" s="5" t="s">
        <v>45</v>
      </c>
      <c r="U167" s="11">
        <f t="shared" si="14"/>
        <v>-20</v>
      </c>
    </row>
    <row r="168" spans="1:21" ht="16" x14ac:dyDescent="0.4">
      <c r="A168" s="2" t="s">
        <v>751</v>
      </c>
      <c r="B168" s="3" t="s">
        <v>752</v>
      </c>
      <c r="C168" s="28" t="s">
        <v>48</v>
      </c>
      <c r="D168" s="2" t="s">
        <v>753</v>
      </c>
      <c r="E168" s="4" t="s">
        <v>754</v>
      </c>
      <c r="F168" s="5">
        <v>22</v>
      </c>
      <c r="G168" s="5">
        <v>40</v>
      </c>
      <c r="H168" s="5">
        <v>7</v>
      </c>
      <c r="I168" s="10">
        <v>5</v>
      </c>
      <c r="J168" s="11">
        <f t="shared" si="13"/>
        <v>110</v>
      </c>
      <c r="K168" s="12" t="str">
        <f t="shared" si="10"/>
        <v>Low Stock_Reorder Needed</v>
      </c>
      <c r="L168" s="12">
        <f t="shared" si="11"/>
        <v>35</v>
      </c>
      <c r="M168" s="6">
        <v>45547</v>
      </c>
      <c r="N168" s="6">
        <v>45657</v>
      </c>
      <c r="O168" s="6">
        <v>45683</v>
      </c>
      <c r="P168" s="7" t="s">
        <v>755</v>
      </c>
      <c r="Q168" s="5">
        <v>98</v>
      </c>
      <c r="R168" s="10">
        <f t="shared" si="12"/>
        <v>490</v>
      </c>
      <c r="S168" s="5">
        <v>60</v>
      </c>
      <c r="T168" s="5" t="s">
        <v>45</v>
      </c>
      <c r="U168" s="11">
        <f t="shared" si="14"/>
        <v>380</v>
      </c>
    </row>
    <row r="169" spans="1:21" ht="16" x14ac:dyDescent="0.4">
      <c r="A169" s="2" t="s">
        <v>756</v>
      </c>
      <c r="B169" s="3" t="s">
        <v>456</v>
      </c>
      <c r="C169" s="28" t="s">
        <v>59</v>
      </c>
      <c r="D169" s="2" t="s">
        <v>757</v>
      </c>
      <c r="E169" s="4" t="s">
        <v>758</v>
      </c>
      <c r="F169" s="5">
        <v>40</v>
      </c>
      <c r="G169" s="5">
        <v>2</v>
      </c>
      <c r="H169" s="5">
        <v>58</v>
      </c>
      <c r="I169" s="10">
        <v>1.8</v>
      </c>
      <c r="J169" s="11">
        <f t="shared" si="13"/>
        <v>72</v>
      </c>
      <c r="K169" s="12" t="str">
        <f t="shared" si="10"/>
        <v>Stock_Sufficient</v>
      </c>
      <c r="L169" s="12">
        <f t="shared" si="11"/>
        <v>104.4</v>
      </c>
      <c r="M169" s="6">
        <v>45596</v>
      </c>
      <c r="N169" s="6">
        <v>45517</v>
      </c>
      <c r="O169" s="6">
        <v>45604</v>
      </c>
      <c r="P169" s="7" t="s">
        <v>759</v>
      </c>
      <c r="Q169" s="5">
        <v>71</v>
      </c>
      <c r="R169" s="10">
        <f t="shared" si="12"/>
        <v>127.8</v>
      </c>
      <c r="S169" s="5">
        <v>10</v>
      </c>
      <c r="T169" s="5" t="s">
        <v>45</v>
      </c>
      <c r="U169" s="11">
        <f t="shared" si="14"/>
        <v>55.8</v>
      </c>
    </row>
    <row r="170" spans="1:21" ht="16" x14ac:dyDescent="0.4">
      <c r="A170" s="2" t="s">
        <v>760</v>
      </c>
      <c r="B170" s="3" t="s">
        <v>114</v>
      </c>
      <c r="C170" s="28" t="s">
        <v>65</v>
      </c>
      <c r="D170" s="2" t="s">
        <v>761</v>
      </c>
      <c r="E170" s="4" t="s">
        <v>762</v>
      </c>
      <c r="F170" s="5">
        <v>50</v>
      </c>
      <c r="G170" s="5">
        <v>99</v>
      </c>
      <c r="H170" s="5">
        <v>73</v>
      </c>
      <c r="I170" s="10">
        <v>8</v>
      </c>
      <c r="J170" s="11">
        <f t="shared" si="13"/>
        <v>400</v>
      </c>
      <c r="K170" s="12" t="str">
        <f t="shared" si="10"/>
        <v>Low Stock_Reorder Needed</v>
      </c>
      <c r="L170" s="12">
        <f t="shared" si="11"/>
        <v>584</v>
      </c>
      <c r="M170" s="6">
        <v>45424</v>
      </c>
      <c r="N170" s="6">
        <v>45527</v>
      </c>
      <c r="O170" s="6">
        <v>45429</v>
      </c>
      <c r="P170" s="7" t="s">
        <v>763</v>
      </c>
      <c r="Q170" s="5">
        <v>42</v>
      </c>
      <c r="R170" s="10">
        <f t="shared" si="12"/>
        <v>336</v>
      </c>
      <c r="S170" s="5">
        <v>1</v>
      </c>
      <c r="T170" s="5" t="s">
        <v>39</v>
      </c>
      <c r="U170" s="11">
        <f t="shared" si="14"/>
        <v>-64</v>
      </c>
    </row>
    <row r="171" spans="1:21" ht="16" x14ac:dyDescent="0.4">
      <c r="A171" s="2" t="s">
        <v>764</v>
      </c>
      <c r="B171" s="3" t="s">
        <v>225</v>
      </c>
      <c r="C171" s="28" t="s">
        <v>48</v>
      </c>
      <c r="D171" s="2" t="s">
        <v>765</v>
      </c>
      <c r="E171" s="4" t="s">
        <v>766</v>
      </c>
      <c r="F171" s="5">
        <v>89</v>
      </c>
      <c r="G171" s="5">
        <v>92</v>
      </c>
      <c r="H171" s="5">
        <v>62</v>
      </c>
      <c r="I171" s="10">
        <v>4.8</v>
      </c>
      <c r="J171" s="11">
        <f t="shared" si="13"/>
        <v>427.2</v>
      </c>
      <c r="K171" s="12" t="str">
        <f t="shared" si="10"/>
        <v>Low Stock_Reorder Needed</v>
      </c>
      <c r="L171" s="12">
        <f t="shared" si="11"/>
        <v>297.59999999999997</v>
      </c>
      <c r="M171" s="6">
        <v>45353</v>
      </c>
      <c r="N171" s="6">
        <v>45481</v>
      </c>
      <c r="O171" s="6">
        <v>45607</v>
      </c>
      <c r="P171" s="7" t="s">
        <v>767</v>
      </c>
      <c r="Q171" s="5">
        <v>46</v>
      </c>
      <c r="R171" s="10">
        <f t="shared" si="12"/>
        <v>220.79999999999998</v>
      </c>
      <c r="S171" s="5">
        <v>11</v>
      </c>
      <c r="T171" s="5" t="s">
        <v>39</v>
      </c>
      <c r="U171" s="11">
        <f t="shared" si="14"/>
        <v>-206.4</v>
      </c>
    </row>
    <row r="172" spans="1:21" ht="16" x14ac:dyDescent="0.4">
      <c r="A172" s="2" t="s">
        <v>768</v>
      </c>
      <c r="B172" s="3" t="s">
        <v>729</v>
      </c>
      <c r="C172" s="28" t="s">
        <v>65</v>
      </c>
      <c r="D172" s="2" t="s">
        <v>769</v>
      </c>
      <c r="E172" s="4" t="s">
        <v>438</v>
      </c>
      <c r="F172" s="5">
        <v>76</v>
      </c>
      <c r="G172" s="5">
        <v>54</v>
      </c>
      <c r="H172" s="5">
        <v>76</v>
      </c>
      <c r="I172" s="10">
        <v>2.5</v>
      </c>
      <c r="J172" s="11">
        <f t="shared" si="13"/>
        <v>190</v>
      </c>
      <c r="K172" s="12" t="str">
        <f t="shared" si="10"/>
        <v>Stock_Sufficient</v>
      </c>
      <c r="L172" s="12">
        <f t="shared" si="11"/>
        <v>190</v>
      </c>
      <c r="M172" s="6">
        <v>45566</v>
      </c>
      <c r="N172" s="6">
        <v>45521</v>
      </c>
      <c r="O172" s="6">
        <v>45438</v>
      </c>
      <c r="P172" s="7" t="s">
        <v>770</v>
      </c>
      <c r="Q172" s="5">
        <v>69</v>
      </c>
      <c r="R172" s="10">
        <f t="shared" si="12"/>
        <v>172.5</v>
      </c>
      <c r="S172" s="5">
        <v>27</v>
      </c>
      <c r="T172" s="5" t="s">
        <v>39</v>
      </c>
      <c r="U172" s="11">
        <f t="shared" si="14"/>
        <v>-17.5</v>
      </c>
    </row>
    <row r="173" spans="1:21" ht="16" x14ac:dyDescent="0.4">
      <c r="A173" s="2" t="s">
        <v>771</v>
      </c>
      <c r="B173" s="3" t="s">
        <v>772</v>
      </c>
      <c r="C173" s="28" t="s">
        <v>23</v>
      </c>
      <c r="D173" s="2" t="s">
        <v>773</v>
      </c>
      <c r="E173" s="4" t="s">
        <v>584</v>
      </c>
      <c r="F173" s="5">
        <v>67</v>
      </c>
      <c r="G173" s="5">
        <v>60</v>
      </c>
      <c r="H173" s="5">
        <v>21</v>
      </c>
      <c r="I173" s="10">
        <v>2.75</v>
      </c>
      <c r="J173" s="11">
        <f t="shared" si="13"/>
        <v>184.25</v>
      </c>
      <c r="K173" s="12" t="str">
        <f t="shared" si="10"/>
        <v>Stock_Sufficient</v>
      </c>
      <c r="L173" s="12">
        <f t="shared" si="11"/>
        <v>57.75</v>
      </c>
      <c r="M173" s="6">
        <v>45385</v>
      </c>
      <c r="N173" s="6">
        <v>45432</v>
      </c>
      <c r="O173" s="6">
        <v>45541</v>
      </c>
      <c r="P173" s="7" t="s">
        <v>774</v>
      </c>
      <c r="Q173" s="5">
        <v>30</v>
      </c>
      <c r="R173" s="10">
        <f t="shared" si="12"/>
        <v>82.5</v>
      </c>
      <c r="S173" s="5">
        <v>6</v>
      </c>
      <c r="T173" s="5" t="s">
        <v>45</v>
      </c>
      <c r="U173" s="11">
        <f t="shared" si="14"/>
        <v>-101.75</v>
      </c>
    </row>
    <row r="174" spans="1:21" ht="16" x14ac:dyDescent="0.4">
      <c r="A174" s="2" t="s">
        <v>775</v>
      </c>
      <c r="B174" s="3" t="s">
        <v>776</v>
      </c>
      <c r="C174" s="28" t="s">
        <v>30</v>
      </c>
      <c r="D174" s="2" t="s">
        <v>777</v>
      </c>
      <c r="E174" s="4" t="s">
        <v>778</v>
      </c>
      <c r="F174" s="5">
        <v>62</v>
      </c>
      <c r="G174" s="5">
        <v>78</v>
      </c>
      <c r="H174" s="5">
        <v>97</v>
      </c>
      <c r="I174" s="10">
        <v>10</v>
      </c>
      <c r="J174" s="11">
        <f t="shared" si="13"/>
        <v>620</v>
      </c>
      <c r="K174" s="12" t="str">
        <f t="shared" si="10"/>
        <v>Low Stock_Reorder Needed</v>
      </c>
      <c r="L174" s="12">
        <f t="shared" si="11"/>
        <v>970</v>
      </c>
      <c r="M174" s="6">
        <v>45390</v>
      </c>
      <c r="N174" s="6">
        <v>45533</v>
      </c>
      <c r="O174" s="6">
        <v>45377</v>
      </c>
      <c r="P174" s="7" t="s">
        <v>779</v>
      </c>
      <c r="Q174" s="5">
        <v>62</v>
      </c>
      <c r="R174" s="10">
        <f t="shared" si="12"/>
        <v>620</v>
      </c>
      <c r="S174" s="5">
        <v>97</v>
      </c>
      <c r="T174" s="5" t="s">
        <v>27</v>
      </c>
      <c r="U174" s="11">
        <f t="shared" si="14"/>
        <v>0</v>
      </c>
    </row>
    <row r="175" spans="1:21" ht="16" x14ac:dyDescent="0.4">
      <c r="A175" s="2" t="s">
        <v>780</v>
      </c>
      <c r="B175" s="3" t="s">
        <v>781</v>
      </c>
      <c r="C175" s="28" t="s">
        <v>48</v>
      </c>
      <c r="D175" s="2" t="s">
        <v>782</v>
      </c>
      <c r="E175" s="4" t="s">
        <v>783</v>
      </c>
      <c r="F175" s="5">
        <v>75</v>
      </c>
      <c r="G175" s="5">
        <v>10</v>
      </c>
      <c r="H175" s="5">
        <v>68</v>
      </c>
      <c r="I175" s="10">
        <v>3</v>
      </c>
      <c r="J175" s="11">
        <f t="shared" si="13"/>
        <v>225</v>
      </c>
      <c r="K175" s="12" t="str">
        <f t="shared" si="10"/>
        <v>Stock_Sufficient</v>
      </c>
      <c r="L175" s="12">
        <f t="shared" si="11"/>
        <v>204</v>
      </c>
      <c r="M175" s="6">
        <v>45546</v>
      </c>
      <c r="N175" s="6">
        <v>45667</v>
      </c>
      <c r="O175" s="6">
        <v>45629</v>
      </c>
      <c r="P175" s="7" t="s">
        <v>784</v>
      </c>
      <c r="Q175" s="5">
        <v>90</v>
      </c>
      <c r="R175" s="10">
        <f t="shared" si="12"/>
        <v>270</v>
      </c>
      <c r="S175" s="5">
        <v>42</v>
      </c>
      <c r="T175" s="5" t="s">
        <v>45</v>
      </c>
      <c r="U175" s="11">
        <f t="shared" si="14"/>
        <v>45</v>
      </c>
    </row>
    <row r="176" spans="1:21" ht="16" x14ac:dyDescent="0.4">
      <c r="A176" s="2" t="s">
        <v>785</v>
      </c>
      <c r="B176" s="3" t="s">
        <v>287</v>
      </c>
      <c r="C176" s="28" t="s">
        <v>30</v>
      </c>
      <c r="D176" s="2" t="s">
        <v>786</v>
      </c>
      <c r="E176" s="4" t="s">
        <v>787</v>
      </c>
      <c r="F176" s="5">
        <v>75</v>
      </c>
      <c r="G176" s="5">
        <v>47</v>
      </c>
      <c r="H176" s="5">
        <v>33</v>
      </c>
      <c r="I176" s="10">
        <v>12.5</v>
      </c>
      <c r="J176" s="11">
        <f t="shared" si="13"/>
        <v>937.5</v>
      </c>
      <c r="K176" s="12" t="str">
        <f t="shared" si="10"/>
        <v>Stock_Sufficient</v>
      </c>
      <c r="L176" s="12">
        <f t="shared" si="11"/>
        <v>412.5</v>
      </c>
      <c r="M176" s="6">
        <v>45469</v>
      </c>
      <c r="N176" s="6">
        <v>45635</v>
      </c>
      <c r="O176" s="6">
        <v>45435</v>
      </c>
      <c r="P176" s="7" t="s">
        <v>788</v>
      </c>
      <c r="Q176" s="5">
        <v>33</v>
      </c>
      <c r="R176" s="10">
        <f t="shared" si="12"/>
        <v>412.5</v>
      </c>
      <c r="S176" s="5">
        <v>12</v>
      </c>
      <c r="T176" s="5" t="s">
        <v>27</v>
      </c>
      <c r="U176" s="11">
        <f t="shared" si="14"/>
        <v>-525</v>
      </c>
    </row>
    <row r="177" spans="1:21" ht="16" x14ac:dyDescent="0.4">
      <c r="A177" s="2" t="s">
        <v>789</v>
      </c>
      <c r="B177" s="3" t="s">
        <v>408</v>
      </c>
      <c r="C177" s="28" t="s">
        <v>65</v>
      </c>
      <c r="D177" s="2" t="s">
        <v>790</v>
      </c>
      <c r="E177" s="4" t="s">
        <v>766</v>
      </c>
      <c r="F177" s="5">
        <v>29</v>
      </c>
      <c r="G177" s="5">
        <v>32</v>
      </c>
      <c r="H177" s="5">
        <v>26</v>
      </c>
      <c r="I177" s="10">
        <v>2.5</v>
      </c>
      <c r="J177" s="11">
        <f t="shared" si="13"/>
        <v>72.5</v>
      </c>
      <c r="K177" s="12" t="str">
        <f t="shared" si="10"/>
        <v>Low Stock_Reorder Needed</v>
      </c>
      <c r="L177" s="12">
        <f t="shared" si="11"/>
        <v>65</v>
      </c>
      <c r="M177" s="6">
        <v>45556</v>
      </c>
      <c r="N177" s="6">
        <v>45458</v>
      </c>
      <c r="O177" s="6">
        <v>45550</v>
      </c>
      <c r="P177" s="7" t="s">
        <v>791</v>
      </c>
      <c r="Q177" s="5">
        <v>64</v>
      </c>
      <c r="R177" s="10">
        <f t="shared" si="12"/>
        <v>160</v>
      </c>
      <c r="S177" s="5">
        <v>85</v>
      </c>
      <c r="T177" s="5" t="s">
        <v>27</v>
      </c>
      <c r="U177" s="11">
        <f t="shared" si="14"/>
        <v>87.5</v>
      </c>
    </row>
    <row r="178" spans="1:21" ht="16" x14ac:dyDescent="0.4">
      <c r="A178" s="2" t="s">
        <v>792</v>
      </c>
      <c r="B178" s="3" t="s">
        <v>168</v>
      </c>
      <c r="C178" s="28" t="s">
        <v>90</v>
      </c>
      <c r="D178" s="2" t="s">
        <v>793</v>
      </c>
      <c r="E178" s="4" t="s">
        <v>794</v>
      </c>
      <c r="F178" s="5">
        <v>34</v>
      </c>
      <c r="G178" s="5">
        <v>55</v>
      </c>
      <c r="H178" s="5">
        <v>22</v>
      </c>
      <c r="I178" s="10">
        <v>5</v>
      </c>
      <c r="J178" s="11">
        <f t="shared" si="13"/>
        <v>170</v>
      </c>
      <c r="K178" s="12" t="str">
        <f t="shared" si="10"/>
        <v>Low Stock_Reorder Needed</v>
      </c>
      <c r="L178" s="12">
        <f t="shared" si="11"/>
        <v>110</v>
      </c>
      <c r="M178" s="6">
        <v>45576</v>
      </c>
      <c r="N178" s="6">
        <v>45472</v>
      </c>
      <c r="O178" s="6">
        <v>45611</v>
      </c>
      <c r="P178" s="7" t="s">
        <v>795</v>
      </c>
      <c r="Q178" s="5">
        <v>77</v>
      </c>
      <c r="R178" s="10">
        <f t="shared" si="12"/>
        <v>385</v>
      </c>
      <c r="S178" s="5">
        <v>85</v>
      </c>
      <c r="T178" s="5" t="s">
        <v>45</v>
      </c>
      <c r="U178" s="11">
        <f t="shared" si="14"/>
        <v>215</v>
      </c>
    </row>
    <row r="179" spans="1:21" ht="16" x14ac:dyDescent="0.4">
      <c r="A179" s="2" t="s">
        <v>796</v>
      </c>
      <c r="B179" s="3" t="s">
        <v>673</v>
      </c>
      <c r="C179" s="28" t="s">
        <v>30</v>
      </c>
      <c r="D179" s="2" t="s">
        <v>797</v>
      </c>
      <c r="E179" s="4" t="s">
        <v>798</v>
      </c>
      <c r="F179" s="5">
        <v>15</v>
      </c>
      <c r="G179" s="5">
        <v>66</v>
      </c>
      <c r="H179" s="5">
        <v>85</v>
      </c>
      <c r="I179" s="10">
        <v>8</v>
      </c>
      <c r="J179" s="11">
        <f t="shared" si="13"/>
        <v>120</v>
      </c>
      <c r="K179" s="12" t="str">
        <f t="shared" si="10"/>
        <v>Low Stock_Reorder Needed</v>
      </c>
      <c r="L179" s="12">
        <f t="shared" si="11"/>
        <v>680</v>
      </c>
      <c r="M179" s="6">
        <v>45583</v>
      </c>
      <c r="N179" s="6">
        <v>45476</v>
      </c>
      <c r="O179" s="6">
        <v>45366</v>
      </c>
      <c r="P179" s="7" t="s">
        <v>799</v>
      </c>
      <c r="Q179" s="5">
        <v>60</v>
      </c>
      <c r="R179" s="10">
        <f t="shared" si="12"/>
        <v>480</v>
      </c>
      <c r="S179" s="5">
        <v>40</v>
      </c>
      <c r="T179" s="5" t="s">
        <v>39</v>
      </c>
      <c r="U179" s="11">
        <f t="shared" si="14"/>
        <v>360</v>
      </c>
    </row>
    <row r="180" spans="1:21" ht="16" x14ac:dyDescent="0.4">
      <c r="A180" s="2" t="s">
        <v>800</v>
      </c>
      <c r="B180" s="3" t="s">
        <v>801</v>
      </c>
      <c r="C180" s="28" t="s">
        <v>133</v>
      </c>
      <c r="D180" s="2" t="s">
        <v>802</v>
      </c>
      <c r="E180" s="4" t="s">
        <v>803</v>
      </c>
      <c r="F180" s="5">
        <v>88</v>
      </c>
      <c r="G180" s="5">
        <v>56</v>
      </c>
      <c r="H180" s="5">
        <v>81</v>
      </c>
      <c r="I180" s="10">
        <v>10</v>
      </c>
      <c r="J180" s="11">
        <f t="shared" si="13"/>
        <v>880</v>
      </c>
      <c r="K180" s="12" t="str">
        <f t="shared" si="10"/>
        <v>Stock_Sufficient</v>
      </c>
      <c r="L180" s="12">
        <f t="shared" si="11"/>
        <v>810</v>
      </c>
      <c r="M180" s="6">
        <v>45422</v>
      </c>
      <c r="N180" s="6">
        <v>45361</v>
      </c>
      <c r="O180" s="6">
        <v>45549</v>
      </c>
      <c r="P180" s="7" t="s">
        <v>804</v>
      </c>
      <c r="Q180" s="5">
        <v>98</v>
      </c>
      <c r="R180" s="10">
        <f t="shared" si="12"/>
        <v>980</v>
      </c>
      <c r="S180" s="5">
        <v>86</v>
      </c>
      <c r="T180" s="5" t="s">
        <v>27</v>
      </c>
      <c r="U180" s="11">
        <f t="shared" si="14"/>
        <v>100</v>
      </c>
    </row>
    <row r="181" spans="1:21" ht="16" x14ac:dyDescent="0.4">
      <c r="A181" s="2" t="s">
        <v>805</v>
      </c>
      <c r="B181" s="3" t="s">
        <v>720</v>
      </c>
      <c r="C181" s="28" t="s">
        <v>65</v>
      </c>
      <c r="D181" s="2" t="s">
        <v>806</v>
      </c>
      <c r="E181" s="4" t="s">
        <v>807</v>
      </c>
      <c r="F181" s="5">
        <v>40</v>
      </c>
      <c r="G181" s="5">
        <v>81</v>
      </c>
      <c r="H181" s="5">
        <v>40</v>
      </c>
      <c r="I181" s="10">
        <v>9</v>
      </c>
      <c r="J181" s="11">
        <f t="shared" si="13"/>
        <v>360</v>
      </c>
      <c r="K181" s="12" t="str">
        <f t="shared" si="10"/>
        <v>Low Stock_Reorder Needed</v>
      </c>
      <c r="L181" s="12">
        <f t="shared" si="11"/>
        <v>360</v>
      </c>
      <c r="M181" s="6">
        <v>45574</v>
      </c>
      <c r="N181" s="6">
        <v>45410</v>
      </c>
      <c r="O181" s="6">
        <v>45595</v>
      </c>
      <c r="P181" s="7" t="s">
        <v>808</v>
      </c>
      <c r="Q181" s="5">
        <v>40</v>
      </c>
      <c r="R181" s="10">
        <f t="shared" si="12"/>
        <v>360</v>
      </c>
      <c r="S181" s="5">
        <v>48</v>
      </c>
      <c r="T181" s="5" t="s">
        <v>39</v>
      </c>
      <c r="U181" s="11">
        <f t="shared" si="14"/>
        <v>0</v>
      </c>
    </row>
    <row r="182" spans="1:21" ht="16" x14ac:dyDescent="0.4">
      <c r="A182" s="2" t="s">
        <v>809</v>
      </c>
      <c r="B182" s="3" t="s">
        <v>604</v>
      </c>
      <c r="C182" s="28" t="s">
        <v>59</v>
      </c>
      <c r="D182" s="2" t="s">
        <v>810</v>
      </c>
      <c r="E182" s="4" t="s">
        <v>811</v>
      </c>
      <c r="F182" s="5">
        <v>10</v>
      </c>
      <c r="G182" s="5">
        <v>86</v>
      </c>
      <c r="H182" s="5">
        <v>23</v>
      </c>
      <c r="I182" s="10">
        <v>10</v>
      </c>
      <c r="J182" s="11">
        <f t="shared" si="13"/>
        <v>100</v>
      </c>
      <c r="K182" s="12" t="str">
        <f t="shared" si="10"/>
        <v>Low Stock_Reorder Needed</v>
      </c>
      <c r="L182" s="12">
        <f t="shared" si="11"/>
        <v>230</v>
      </c>
      <c r="M182" s="6">
        <v>45472</v>
      </c>
      <c r="N182" s="6">
        <v>45622</v>
      </c>
      <c r="O182" s="6">
        <v>45639</v>
      </c>
      <c r="P182" s="7" t="s">
        <v>812</v>
      </c>
      <c r="Q182" s="5">
        <v>24</v>
      </c>
      <c r="R182" s="10">
        <f t="shared" si="12"/>
        <v>240</v>
      </c>
      <c r="S182" s="5">
        <v>52</v>
      </c>
      <c r="T182" s="5" t="s">
        <v>39</v>
      </c>
      <c r="U182" s="11">
        <f t="shared" si="14"/>
        <v>140</v>
      </c>
    </row>
    <row r="183" spans="1:21" ht="16" x14ac:dyDescent="0.4">
      <c r="A183" s="2" t="s">
        <v>813</v>
      </c>
      <c r="B183" s="3" t="s">
        <v>29</v>
      </c>
      <c r="C183" s="28" t="s">
        <v>30</v>
      </c>
      <c r="D183" s="2" t="s">
        <v>814</v>
      </c>
      <c r="E183" s="4" t="s">
        <v>32</v>
      </c>
      <c r="F183" s="5">
        <v>21</v>
      </c>
      <c r="G183" s="5">
        <v>87</v>
      </c>
      <c r="H183" s="5">
        <v>12</v>
      </c>
      <c r="I183" s="10">
        <v>21</v>
      </c>
      <c r="J183" s="11">
        <f t="shared" si="13"/>
        <v>441</v>
      </c>
      <c r="K183" s="12" t="str">
        <f t="shared" si="10"/>
        <v>Low Stock_Reorder Needed</v>
      </c>
      <c r="L183" s="12">
        <f t="shared" si="11"/>
        <v>252</v>
      </c>
      <c r="M183" s="6">
        <v>45613</v>
      </c>
      <c r="N183" s="6">
        <v>45537</v>
      </c>
      <c r="O183" s="6">
        <v>45542</v>
      </c>
      <c r="P183" s="7" t="s">
        <v>815</v>
      </c>
      <c r="Q183" s="5">
        <v>20</v>
      </c>
      <c r="R183" s="10">
        <f t="shared" si="12"/>
        <v>420</v>
      </c>
      <c r="S183" s="5">
        <v>38</v>
      </c>
      <c r="T183" s="5" t="s">
        <v>27</v>
      </c>
      <c r="U183" s="11">
        <f t="shared" si="14"/>
        <v>-21</v>
      </c>
    </row>
    <row r="184" spans="1:21" ht="16" x14ac:dyDescent="0.4">
      <c r="A184" s="2" t="s">
        <v>816</v>
      </c>
      <c r="B184" s="3" t="s">
        <v>132</v>
      </c>
      <c r="C184" s="28" t="s">
        <v>133</v>
      </c>
      <c r="D184" s="2" t="s">
        <v>817</v>
      </c>
      <c r="E184" s="4" t="s">
        <v>818</v>
      </c>
      <c r="F184" s="5">
        <v>75</v>
      </c>
      <c r="G184" s="5">
        <v>25</v>
      </c>
      <c r="H184" s="5">
        <v>99</v>
      </c>
      <c r="I184" s="10">
        <v>12</v>
      </c>
      <c r="J184" s="11">
        <f t="shared" si="13"/>
        <v>900</v>
      </c>
      <c r="K184" s="12" t="str">
        <f t="shared" si="10"/>
        <v>Stock_Sufficient</v>
      </c>
      <c r="L184" s="12">
        <f t="shared" si="11"/>
        <v>1188</v>
      </c>
      <c r="M184" s="6">
        <v>45585</v>
      </c>
      <c r="N184" s="6">
        <v>45441</v>
      </c>
      <c r="O184" s="6">
        <v>45486</v>
      </c>
      <c r="P184" s="7" t="s">
        <v>819</v>
      </c>
      <c r="Q184" s="5">
        <v>89</v>
      </c>
      <c r="R184" s="10">
        <f t="shared" si="12"/>
        <v>1068</v>
      </c>
      <c r="S184" s="5">
        <v>42</v>
      </c>
      <c r="T184" s="5" t="s">
        <v>45</v>
      </c>
      <c r="U184" s="11">
        <f t="shared" si="14"/>
        <v>168</v>
      </c>
    </row>
    <row r="185" spans="1:21" ht="16" x14ac:dyDescent="0.4">
      <c r="A185" s="2" t="s">
        <v>820</v>
      </c>
      <c r="B185" s="3" t="s">
        <v>533</v>
      </c>
      <c r="C185" s="28" t="s">
        <v>133</v>
      </c>
      <c r="D185" s="2" t="s">
        <v>821</v>
      </c>
      <c r="E185" s="4" t="s">
        <v>822</v>
      </c>
      <c r="F185" s="5">
        <v>56</v>
      </c>
      <c r="G185" s="5">
        <v>50</v>
      </c>
      <c r="H185" s="5">
        <v>80</v>
      </c>
      <c r="I185" s="10">
        <v>8</v>
      </c>
      <c r="J185" s="11">
        <f t="shared" si="13"/>
        <v>448</v>
      </c>
      <c r="K185" s="12" t="str">
        <f t="shared" si="10"/>
        <v>Stock_Sufficient</v>
      </c>
      <c r="L185" s="12">
        <f t="shared" si="11"/>
        <v>640</v>
      </c>
      <c r="M185" s="6">
        <v>45712</v>
      </c>
      <c r="N185" s="6">
        <v>45363</v>
      </c>
      <c r="O185" s="6">
        <v>45587</v>
      </c>
      <c r="P185" s="7" t="s">
        <v>823</v>
      </c>
      <c r="Q185" s="5">
        <v>99</v>
      </c>
      <c r="R185" s="10">
        <f t="shared" si="12"/>
        <v>792</v>
      </c>
      <c r="S185" s="5">
        <v>5</v>
      </c>
      <c r="T185" s="5" t="s">
        <v>27</v>
      </c>
      <c r="U185" s="11">
        <f t="shared" si="14"/>
        <v>344</v>
      </c>
    </row>
    <row r="186" spans="1:21" ht="16" x14ac:dyDescent="0.4">
      <c r="A186" s="2" t="s">
        <v>824</v>
      </c>
      <c r="B186" s="3" t="s">
        <v>89</v>
      </c>
      <c r="C186" s="28" t="s">
        <v>90</v>
      </c>
      <c r="D186" s="2" t="s">
        <v>825</v>
      </c>
      <c r="E186" s="4" t="s">
        <v>826</v>
      </c>
      <c r="F186" s="5">
        <v>69</v>
      </c>
      <c r="G186" s="5">
        <v>65</v>
      </c>
      <c r="H186" s="5">
        <v>91</v>
      </c>
      <c r="I186" s="10">
        <v>3</v>
      </c>
      <c r="J186" s="11">
        <f t="shared" si="13"/>
        <v>207</v>
      </c>
      <c r="K186" s="12" t="str">
        <f t="shared" si="10"/>
        <v>Stock_Sufficient</v>
      </c>
      <c r="L186" s="12">
        <f t="shared" si="11"/>
        <v>273</v>
      </c>
      <c r="M186" s="6">
        <v>45478</v>
      </c>
      <c r="N186" s="6">
        <v>45499</v>
      </c>
      <c r="O186" s="6">
        <v>45390</v>
      </c>
      <c r="P186" s="7" t="s">
        <v>827</v>
      </c>
      <c r="Q186" s="5">
        <v>98</v>
      </c>
      <c r="R186" s="10">
        <f t="shared" si="12"/>
        <v>294</v>
      </c>
      <c r="S186" s="5">
        <v>50</v>
      </c>
      <c r="T186" s="5" t="s">
        <v>39</v>
      </c>
      <c r="U186" s="11">
        <f t="shared" si="14"/>
        <v>87</v>
      </c>
    </row>
    <row r="187" spans="1:21" ht="16" x14ac:dyDescent="0.4">
      <c r="A187" s="2" t="s">
        <v>828</v>
      </c>
      <c r="B187" s="3" t="s">
        <v>829</v>
      </c>
      <c r="C187" s="28" t="s">
        <v>23</v>
      </c>
      <c r="D187" s="2" t="s">
        <v>830</v>
      </c>
      <c r="E187" s="4" t="s">
        <v>831</v>
      </c>
      <c r="F187" s="5">
        <v>56</v>
      </c>
      <c r="G187" s="5">
        <v>53</v>
      </c>
      <c r="H187" s="5">
        <v>77</v>
      </c>
      <c r="I187" s="10">
        <v>4.5</v>
      </c>
      <c r="J187" s="11">
        <f t="shared" si="13"/>
        <v>252</v>
      </c>
      <c r="K187" s="12" t="str">
        <f t="shared" si="10"/>
        <v>Stock_Sufficient</v>
      </c>
      <c r="L187" s="12">
        <f t="shared" si="11"/>
        <v>346.5</v>
      </c>
      <c r="M187" s="6">
        <v>45485</v>
      </c>
      <c r="N187" s="6">
        <v>45497</v>
      </c>
      <c r="O187" s="6">
        <v>45685</v>
      </c>
      <c r="P187" s="7" t="s">
        <v>832</v>
      </c>
      <c r="Q187" s="5">
        <v>69</v>
      </c>
      <c r="R187" s="10">
        <f t="shared" si="12"/>
        <v>310.5</v>
      </c>
      <c r="S187" s="5">
        <v>69</v>
      </c>
      <c r="T187" s="5" t="s">
        <v>45</v>
      </c>
      <c r="U187" s="11">
        <f t="shared" si="14"/>
        <v>58.5</v>
      </c>
    </row>
    <row r="188" spans="1:21" ht="16" x14ac:dyDescent="0.4">
      <c r="A188" s="2" t="s">
        <v>833</v>
      </c>
      <c r="B188" s="3" t="s">
        <v>84</v>
      </c>
      <c r="C188" s="28" t="s">
        <v>23</v>
      </c>
      <c r="D188" s="2" t="s">
        <v>834</v>
      </c>
      <c r="E188" s="4" t="s">
        <v>347</v>
      </c>
      <c r="F188" s="5">
        <v>24</v>
      </c>
      <c r="G188" s="5">
        <v>69</v>
      </c>
      <c r="H188" s="5">
        <v>2</v>
      </c>
      <c r="I188" s="10">
        <v>2</v>
      </c>
      <c r="J188" s="11">
        <f t="shared" si="13"/>
        <v>48</v>
      </c>
      <c r="K188" s="12" t="str">
        <f t="shared" si="10"/>
        <v>Low Stock_Reorder Needed</v>
      </c>
      <c r="L188" s="12">
        <f t="shared" si="11"/>
        <v>4</v>
      </c>
      <c r="M188" s="6">
        <v>45570</v>
      </c>
      <c r="N188" s="6">
        <v>45395</v>
      </c>
      <c r="O188" s="6">
        <v>45649</v>
      </c>
      <c r="P188" s="7" t="s">
        <v>835</v>
      </c>
      <c r="Q188" s="5">
        <v>20</v>
      </c>
      <c r="R188" s="10">
        <f t="shared" si="12"/>
        <v>40</v>
      </c>
      <c r="S188" s="5">
        <v>20</v>
      </c>
      <c r="T188" s="5" t="s">
        <v>39</v>
      </c>
      <c r="U188" s="11">
        <f t="shared" si="14"/>
        <v>-8</v>
      </c>
    </row>
    <row r="189" spans="1:21" ht="16" x14ac:dyDescent="0.4">
      <c r="A189" s="2" t="s">
        <v>836</v>
      </c>
      <c r="B189" s="3" t="s">
        <v>266</v>
      </c>
      <c r="C189" s="28" t="s">
        <v>90</v>
      </c>
      <c r="D189" s="2" t="s">
        <v>837</v>
      </c>
      <c r="E189" s="4" t="s">
        <v>72</v>
      </c>
      <c r="F189" s="5">
        <v>30</v>
      </c>
      <c r="G189" s="5">
        <v>85</v>
      </c>
      <c r="H189" s="5">
        <v>21</v>
      </c>
      <c r="I189" s="10">
        <v>4.5</v>
      </c>
      <c r="J189" s="11">
        <f t="shared" si="13"/>
        <v>135</v>
      </c>
      <c r="K189" s="12" t="str">
        <f t="shared" si="10"/>
        <v>Low Stock_Reorder Needed</v>
      </c>
      <c r="L189" s="12">
        <f t="shared" si="11"/>
        <v>94.5</v>
      </c>
      <c r="M189" s="6">
        <v>45645</v>
      </c>
      <c r="N189" s="6">
        <v>45559</v>
      </c>
      <c r="O189" s="6">
        <v>45616</v>
      </c>
      <c r="P189" s="7" t="s">
        <v>838</v>
      </c>
      <c r="Q189" s="5">
        <v>32</v>
      </c>
      <c r="R189" s="10">
        <f t="shared" si="12"/>
        <v>144</v>
      </c>
      <c r="S189" s="5">
        <v>83</v>
      </c>
      <c r="T189" s="5" t="s">
        <v>27</v>
      </c>
      <c r="U189" s="11">
        <f t="shared" si="14"/>
        <v>9</v>
      </c>
    </row>
    <row r="190" spans="1:21" ht="16" x14ac:dyDescent="0.4">
      <c r="A190" s="2" t="s">
        <v>839</v>
      </c>
      <c r="B190" s="3" t="s">
        <v>337</v>
      </c>
      <c r="C190" s="28" t="s">
        <v>30</v>
      </c>
      <c r="D190" s="2" t="s">
        <v>840</v>
      </c>
      <c r="E190" s="4" t="s">
        <v>841</v>
      </c>
      <c r="F190" s="5">
        <v>36</v>
      </c>
      <c r="G190" s="5">
        <v>90</v>
      </c>
      <c r="H190" s="5">
        <v>57</v>
      </c>
      <c r="I190" s="10">
        <v>25</v>
      </c>
      <c r="J190" s="11">
        <f t="shared" si="13"/>
        <v>900</v>
      </c>
      <c r="K190" s="12" t="str">
        <f t="shared" si="10"/>
        <v>Low Stock_Reorder Needed</v>
      </c>
      <c r="L190" s="12">
        <f t="shared" si="11"/>
        <v>1425</v>
      </c>
      <c r="M190" s="6">
        <v>45637</v>
      </c>
      <c r="N190" s="6">
        <v>45511</v>
      </c>
      <c r="O190" s="6">
        <v>45430</v>
      </c>
      <c r="P190" s="7" t="s">
        <v>842</v>
      </c>
      <c r="Q190" s="5">
        <v>35</v>
      </c>
      <c r="R190" s="10">
        <f t="shared" si="12"/>
        <v>875</v>
      </c>
      <c r="S190" s="5">
        <v>68</v>
      </c>
      <c r="T190" s="5" t="s">
        <v>39</v>
      </c>
      <c r="U190" s="11">
        <f t="shared" si="14"/>
        <v>-25</v>
      </c>
    </row>
    <row r="191" spans="1:21" ht="16" x14ac:dyDescent="0.4">
      <c r="A191" s="2" t="s">
        <v>843</v>
      </c>
      <c r="B191" s="3" t="s">
        <v>283</v>
      </c>
      <c r="C191" s="28" t="s">
        <v>90</v>
      </c>
      <c r="D191" s="2" t="s">
        <v>844</v>
      </c>
      <c r="E191" s="4" t="s">
        <v>845</v>
      </c>
      <c r="F191" s="5">
        <v>93</v>
      </c>
      <c r="G191" s="5">
        <v>76</v>
      </c>
      <c r="H191" s="5">
        <v>82</v>
      </c>
      <c r="I191" s="10">
        <v>2.5</v>
      </c>
      <c r="J191" s="11">
        <f t="shared" si="13"/>
        <v>232.5</v>
      </c>
      <c r="K191" s="12" t="str">
        <f t="shared" si="10"/>
        <v>Stock_Sufficient</v>
      </c>
      <c r="L191" s="12">
        <f t="shared" si="11"/>
        <v>205</v>
      </c>
      <c r="M191" s="6">
        <v>45437</v>
      </c>
      <c r="N191" s="6">
        <v>45501</v>
      </c>
      <c r="O191" s="6">
        <v>45676</v>
      </c>
      <c r="P191" s="7" t="s">
        <v>846</v>
      </c>
      <c r="Q191" s="5">
        <v>76</v>
      </c>
      <c r="R191" s="10">
        <f t="shared" si="12"/>
        <v>190</v>
      </c>
      <c r="S191" s="5">
        <v>51</v>
      </c>
      <c r="T191" s="5" t="s">
        <v>39</v>
      </c>
      <c r="U191" s="11">
        <f t="shared" si="14"/>
        <v>-42.5</v>
      </c>
    </row>
    <row r="192" spans="1:21" ht="16" x14ac:dyDescent="0.4">
      <c r="A192" s="2" t="s">
        <v>847</v>
      </c>
      <c r="B192" s="3" t="s">
        <v>345</v>
      </c>
      <c r="C192" s="28" t="s">
        <v>65</v>
      </c>
      <c r="D192" s="2" t="s">
        <v>848</v>
      </c>
      <c r="E192" s="4" t="s">
        <v>849</v>
      </c>
      <c r="F192" s="5">
        <v>96</v>
      </c>
      <c r="G192" s="5">
        <v>38</v>
      </c>
      <c r="H192" s="5">
        <v>17</v>
      </c>
      <c r="I192" s="10">
        <v>7</v>
      </c>
      <c r="J192" s="11">
        <f t="shared" si="13"/>
        <v>672</v>
      </c>
      <c r="K192" s="12" t="str">
        <f t="shared" si="10"/>
        <v>Stock_Sufficient</v>
      </c>
      <c r="L192" s="12">
        <f t="shared" si="11"/>
        <v>119</v>
      </c>
      <c r="M192" s="6">
        <v>45401</v>
      </c>
      <c r="N192" s="6">
        <v>45566</v>
      </c>
      <c r="O192" s="6">
        <v>45607</v>
      </c>
      <c r="P192" s="7" t="s">
        <v>850</v>
      </c>
      <c r="Q192" s="5">
        <v>72</v>
      </c>
      <c r="R192" s="10">
        <f t="shared" si="12"/>
        <v>504</v>
      </c>
      <c r="S192" s="5">
        <v>84</v>
      </c>
      <c r="T192" s="5" t="s">
        <v>45</v>
      </c>
      <c r="U192" s="11">
        <f t="shared" si="14"/>
        <v>-168</v>
      </c>
    </row>
    <row r="193" spans="1:21" ht="16" x14ac:dyDescent="0.4">
      <c r="A193" s="2" t="s">
        <v>851</v>
      </c>
      <c r="B193" s="3" t="s">
        <v>436</v>
      </c>
      <c r="C193" s="28" t="s">
        <v>59</v>
      </c>
      <c r="D193" s="2" t="s">
        <v>852</v>
      </c>
      <c r="E193" s="4" t="s">
        <v>610</v>
      </c>
      <c r="F193" s="5">
        <v>60</v>
      </c>
      <c r="G193" s="5">
        <v>88</v>
      </c>
      <c r="H193" s="5">
        <v>65</v>
      </c>
      <c r="I193" s="10">
        <v>4</v>
      </c>
      <c r="J193" s="11">
        <f t="shared" si="13"/>
        <v>240</v>
      </c>
      <c r="K193" s="12" t="str">
        <f t="shared" si="10"/>
        <v>Low Stock_Reorder Needed</v>
      </c>
      <c r="L193" s="12">
        <f t="shared" si="11"/>
        <v>260</v>
      </c>
      <c r="M193" s="6">
        <v>45533</v>
      </c>
      <c r="N193" s="6">
        <v>45673</v>
      </c>
      <c r="O193" s="6">
        <v>45458</v>
      </c>
      <c r="P193" s="7" t="s">
        <v>853</v>
      </c>
      <c r="Q193" s="5">
        <v>94</v>
      </c>
      <c r="R193" s="10">
        <f t="shared" si="12"/>
        <v>376</v>
      </c>
      <c r="S193" s="5">
        <v>15</v>
      </c>
      <c r="T193" s="5" t="s">
        <v>45</v>
      </c>
      <c r="U193" s="11">
        <f t="shared" si="14"/>
        <v>136</v>
      </c>
    </row>
    <row r="194" spans="1:21" ht="16" x14ac:dyDescent="0.4">
      <c r="A194" s="2" t="s">
        <v>854</v>
      </c>
      <c r="B194" s="3" t="s">
        <v>613</v>
      </c>
      <c r="C194" s="28" t="s">
        <v>65</v>
      </c>
      <c r="D194" s="2" t="s">
        <v>855</v>
      </c>
      <c r="E194" s="4" t="s">
        <v>663</v>
      </c>
      <c r="F194" s="5">
        <v>97</v>
      </c>
      <c r="G194" s="5">
        <v>77</v>
      </c>
      <c r="H194" s="5">
        <v>13</v>
      </c>
      <c r="I194" s="10">
        <v>7</v>
      </c>
      <c r="J194" s="11">
        <f t="shared" si="13"/>
        <v>679</v>
      </c>
      <c r="K194" s="12" t="str">
        <f t="shared" ref="K194:K257" si="15">IF(F194&lt;=G194,"Low Stock_Reorder Needed","Stock_Sufficient")</f>
        <v>Stock_Sufficient</v>
      </c>
      <c r="L194" s="12">
        <f t="shared" ref="L194:L257" si="16">H194*I194</f>
        <v>91</v>
      </c>
      <c r="M194" s="6">
        <v>45607</v>
      </c>
      <c r="N194" s="6">
        <v>45550</v>
      </c>
      <c r="O194" s="6">
        <v>45475</v>
      </c>
      <c r="P194" s="7" t="s">
        <v>856</v>
      </c>
      <c r="Q194" s="5">
        <v>43</v>
      </c>
      <c r="R194" s="10">
        <f t="shared" ref="R194:R257" si="17">Q194*I194</f>
        <v>301</v>
      </c>
      <c r="S194" s="5">
        <v>40</v>
      </c>
      <c r="T194" s="5" t="s">
        <v>39</v>
      </c>
      <c r="U194" s="11">
        <f t="shared" si="14"/>
        <v>-378</v>
      </c>
    </row>
    <row r="195" spans="1:21" ht="16" x14ac:dyDescent="0.4">
      <c r="A195" s="2" t="s">
        <v>857</v>
      </c>
      <c r="B195" s="3" t="s">
        <v>446</v>
      </c>
      <c r="C195" s="28" t="s">
        <v>90</v>
      </c>
      <c r="D195" s="2" t="s">
        <v>858</v>
      </c>
      <c r="E195" s="4" t="s">
        <v>859</v>
      </c>
      <c r="F195" s="5">
        <v>11</v>
      </c>
      <c r="G195" s="5">
        <v>6</v>
      </c>
      <c r="H195" s="5">
        <v>100</v>
      </c>
      <c r="I195" s="10">
        <v>5</v>
      </c>
      <c r="J195" s="11">
        <f t="shared" ref="J195:J258" si="18">I195*F195</f>
        <v>55</v>
      </c>
      <c r="K195" s="12" t="str">
        <f t="shared" si="15"/>
        <v>Stock_Sufficient</v>
      </c>
      <c r="L195" s="12">
        <f t="shared" si="16"/>
        <v>500</v>
      </c>
      <c r="M195" s="6">
        <v>45356</v>
      </c>
      <c r="N195" s="6">
        <v>45551</v>
      </c>
      <c r="O195" s="6">
        <v>45347</v>
      </c>
      <c r="P195" s="7" t="s">
        <v>860</v>
      </c>
      <c r="Q195" s="5">
        <v>88</v>
      </c>
      <c r="R195" s="10">
        <f t="shared" si="17"/>
        <v>440</v>
      </c>
      <c r="S195" s="5">
        <v>24</v>
      </c>
      <c r="T195" s="5" t="s">
        <v>27</v>
      </c>
      <c r="U195" s="11">
        <f t="shared" ref="U195:U258" si="19">R195-J195</f>
        <v>385</v>
      </c>
    </row>
    <row r="196" spans="1:21" ht="16" x14ac:dyDescent="0.4">
      <c r="A196" s="2" t="s">
        <v>861</v>
      </c>
      <c r="B196" s="3" t="s">
        <v>546</v>
      </c>
      <c r="C196" s="28" t="s">
        <v>48</v>
      </c>
      <c r="D196" s="2" t="s">
        <v>862</v>
      </c>
      <c r="E196" s="4" t="s">
        <v>189</v>
      </c>
      <c r="F196" s="5">
        <v>14</v>
      </c>
      <c r="G196" s="5">
        <v>66</v>
      </c>
      <c r="H196" s="5">
        <v>1</v>
      </c>
      <c r="I196" s="10">
        <v>6</v>
      </c>
      <c r="J196" s="11">
        <f t="shared" si="18"/>
        <v>84</v>
      </c>
      <c r="K196" s="12" t="str">
        <f t="shared" si="15"/>
        <v>Low Stock_Reorder Needed</v>
      </c>
      <c r="L196" s="12">
        <f t="shared" si="16"/>
        <v>6</v>
      </c>
      <c r="M196" s="6">
        <v>45517</v>
      </c>
      <c r="N196" s="6">
        <v>45639</v>
      </c>
      <c r="O196" s="6">
        <v>45349</v>
      </c>
      <c r="P196" s="7" t="s">
        <v>863</v>
      </c>
      <c r="Q196" s="5">
        <v>86</v>
      </c>
      <c r="R196" s="10">
        <f t="shared" si="17"/>
        <v>516</v>
      </c>
      <c r="S196" s="5">
        <v>15</v>
      </c>
      <c r="T196" s="5" t="s">
        <v>39</v>
      </c>
      <c r="U196" s="11">
        <f t="shared" si="19"/>
        <v>432</v>
      </c>
    </row>
    <row r="197" spans="1:21" ht="16" x14ac:dyDescent="0.4">
      <c r="A197" s="2" t="s">
        <v>864</v>
      </c>
      <c r="B197" s="3" t="s">
        <v>865</v>
      </c>
      <c r="C197" s="28" t="s">
        <v>59</v>
      </c>
      <c r="D197" s="2" t="s">
        <v>866</v>
      </c>
      <c r="E197" s="4" t="s">
        <v>694</v>
      </c>
      <c r="F197" s="5">
        <v>88</v>
      </c>
      <c r="G197" s="5">
        <v>100</v>
      </c>
      <c r="H197" s="5">
        <v>17</v>
      </c>
      <c r="I197" s="10">
        <v>2.5</v>
      </c>
      <c r="J197" s="11">
        <f t="shared" si="18"/>
        <v>220</v>
      </c>
      <c r="K197" s="12" t="str">
        <f t="shared" si="15"/>
        <v>Low Stock_Reorder Needed</v>
      </c>
      <c r="L197" s="12">
        <f t="shared" si="16"/>
        <v>42.5</v>
      </c>
      <c r="M197" s="6">
        <v>45637</v>
      </c>
      <c r="N197" s="6">
        <v>45593</v>
      </c>
      <c r="O197" s="6">
        <v>45635</v>
      </c>
      <c r="P197" s="7" t="s">
        <v>867</v>
      </c>
      <c r="Q197" s="5">
        <v>25</v>
      </c>
      <c r="R197" s="10">
        <f t="shared" si="17"/>
        <v>62.5</v>
      </c>
      <c r="S197" s="5">
        <v>28</v>
      </c>
      <c r="T197" s="5" t="s">
        <v>27</v>
      </c>
      <c r="U197" s="11">
        <f t="shared" si="19"/>
        <v>-157.5</v>
      </c>
    </row>
    <row r="198" spans="1:21" ht="16" x14ac:dyDescent="0.4">
      <c r="A198" s="2" t="s">
        <v>868</v>
      </c>
      <c r="B198" s="3" t="s">
        <v>468</v>
      </c>
      <c r="C198" s="28" t="s">
        <v>23</v>
      </c>
      <c r="D198" s="2" t="s">
        <v>869</v>
      </c>
      <c r="E198" s="4" t="s">
        <v>135</v>
      </c>
      <c r="F198" s="5">
        <v>24</v>
      </c>
      <c r="G198" s="5">
        <v>15</v>
      </c>
      <c r="H198" s="5">
        <v>6</v>
      </c>
      <c r="I198" s="10">
        <v>4.75</v>
      </c>
      <c r="J198" s="11">
        <f t="shared" si="18"/>
        <v>114</v>
      </c>
      <c r="K198" s="12" t="str">
        <f t="shared" si="15"/>
        <v>Stock_Sufficient</v>
      </c>
      <c r="L198" s="12">
        <f t="shared" si="16"/>
        <v>28.5</v>
      </c>
      <c r="M198" s="6">
        <v>45710</v>
      </c>
      <c r="N198" s="6">
        <v>45459</v>
      </c>
      <c r="O198" s="6">
        <v>45419</v>
      </c>
      <c r="P198" s="7" t="s">
        <v>870</v>
      </c>
      <c r="Q198" s="5">
        <v>35</v>
      </c>
      <c r="R198" s="10">
        <f t="shared" si="17"/>
        <v>166.25</v>
      </c>
      <c r="S198" s="5">
        <v>4</v>
      </c>
      <c r="T198" s="5" t="s">
        <v>27</v>
      </c>
      <c r="U198" s="11">
        <f t="shared" si="19"/>
        <v>52.25</v>
      </c>
    </row>
    <row r="199" spans="1:21" ht="16" x14ac:dyDescent="0.4">
      <c r="A199" s="2" t="s">
        <v>871</v>
      </c>
      <c r="B199" s="3" t="s">
        <v>197</v>
      </c>
      <c r="C199" s="28" t="s">
        <v>133</v>
      </c>
      <c r="D199" s="2" t="s">
        <v>872</v>
      </c>
      <c r="E199" s="4" t="s">
        <v>873</v>
      </c>
      <c r="F199" s="5">
        <v>93</v>
      </c>
      <c r="G199" s="5">
        <v>62</v>
      </c>
      <c r="H199" s="5">
        <v>65</v>
      </c>
      <c r="I199" s="10">
        <v>9</v>
      </c>
      <c r="J199" s="11">
        <f t="shared" si="18"/>
        <v>837</v>
      </c>
      <c r="K199" s="12" t="str">
        <f t="shared" si="15"/>
        <v>Stock_Sufficient</v>
      </c>
      <c r="L199" s="12">
        <f t="shared" si="16"/>
        <v>585</v>
      </c>
      <c r="M199" s="6">
        <v>45452</v>
      </c>
      <c r="N199" s="6">
        <v>45465</v>
      </c>
      <c r="O199" s="6">
        <v>45399</v>
      </c>
      <c r="P199" s="7" t="s">
        <v>874</v>
      </c>
      <c r="Q199" s="5">
        <v>78</v>
      </c>
      <c r="R199" s="10">
        <f t="shared" si="17"/>
        <v>702</v>
      </c>
      <c r="S199" s="5">
        <v>87</v>
      </c>
      <c r="T199" s="5" t="s">
        <v>45</v>
      </c>
      <c r="U199" s="11">
        <f t="shared" si="19"/>
        <v>-135</v>
      </c>
    </row>
    <row r="200" spans="1:21" ht="16" x14ac:dyDescent="0.4">
      <c r="A200" s="2" t="s">
        <v>875</v>
      </c>
      <c r="B200" s="3" t="s">
        <v>35</v>
      </c>
      <c r="C200" s="28" t="s">
        <v>23</v>
      </c>
      <c r="D200" s="2" t="s">
        <v>876</v>
      </c>
      <c r="E200" s="4" t="s">
        <v>116</v>
      </c>
      <c r="F200" s="5">
        <v>68</v>
      </c>
      <c r="G200" s="5">
        <v>68</v>
      </c>
      <c r="H200" s="5">
        <v>97</v>
      </c>
      <c r="I200" s="10">
        <v>6</v>
      </c>
      <c r="J200" s="11">
        <f t="shared" si="18"/>
        <v>408</v>
      </c>
      <c r="K200" s="12" t="str">
        <f t="shared" si="15"/>
        <v>Low Stock_Reorder Needed</v>
      </c>
      <c r="L200" s="12">
        <f t="shared" si="16"/>
        <v>582</v>
      </c>
      <c r="M200" s="6">
        <v>45481</v>
      </c>
      <c r="N200" s="6">
        <v>45488</v>
      </c>
      <c r="O200" s="6">
        <v>45466</v>
      </c>
      <c r="P200" s="7" t="s">
        <v>877</v>
      </c>
      <c r="Q200" s="5">
        <v>37</v>
      </c>
      <c r="R200" s="10">
        <f t="shared" si="17"/>
        <v>222</v>
      </c>
      <c r="S200" s="5">
        <v>31</v>
      </c>
      <c r="T200" s="5" t="s">
        <v>27</v>
      </c>
      <c r="U200" s="11">
        <f t="shared" si="19"/>
        <v>-186</v>
      </c>
    </row>
    <row r="201" spans="1:21" ht="16" x14ac:dyDescent="0.4">
      <c r="A201" s="2" t="s">
        <v>878</v>
      </c>
      <c r="B201" s="3" t="s">
        <v>89</v>
      </c>
      <c r="C201" s="28" t="s">
        <v>90</v>
      </c>
      <c r="D201" s="2" t="s">
        <v>879</v>
      </c>
      <c r="E201" s="4" t="s">
        <v>798</v>
      </c>
      <c r="F201" s="5">
        <v>28</v>
      </c>
      <c r="G201" s="5">
        <v>94</v>
      </c>
      <c r="H201" s="5">
        <v>80</v>
      </c>
      <c r="I201" s="10">
        <v>2.8</v>
      </c>
      <c r="J201" s="11">
        <f t="shared" si="18"/>
        <v>78.399999999999991</v>
      </c>
      <c r="K201" s="12" t="str">
        <f t="shared" si="15"/>
        <v>Low Stock_Reorder Needed</v>
      </c>
      <c r="L201" s="12">
        <f t="shared" si="16"/>
        <v>224</v>
      </c>
      <c r="M201" s="6">
        <v>45435</v>
      </c>
      <c r="N201" s="6">
        <v>45680</v>
      </c>
      <c r="O201" s="6">
        <v>45462</v>
      </c>
      <c r="P201" s="7" t="s">
        <v>880</v>
      </c>
      <c r="Q201" s="5">
        <v>31</v>
      </c>
      <c r="R201" s="10">
        <f t="shared" si="17"/>
        <v>86.8</v>
      </c>
      <c r="S201" s="5">
        <v>1</v>
      </c>
      <c r="T201" s="5" t="s">
        <v>39</v>
      </c>
      <c r="U201" s="11">
        <f t="shared" si="19"/>
        <v>8.4000000000000057</v>
      </c>
    </row>
    <row r="202" spans="1:21" ht="16" x14ac:dyDescent="0.4">
      <c r="A202" s="2" t="s">
        <v>881</v>
      </c>
      <c r="B202" s="3" t="s">
        <v>882</v>
      </c>
      <c r="C202" s="28" t="s">
        <v>48</v>
      </c>
      <c r="D202" s="2" t="s">
        <v>883</v>
      </c>
      <c r="E202" s="4" t="s">
        <v>37</v>
      </c>
      <c r="F202" s="5">
        <v>21</v>
      </c>
      <c r="G202" s="5">
        <v>30</v>
      </c>
      <c r="H202" s="5">
        <v>32</v>
      </c>
      <c r="I202" s="10">
        <v>2</v>
      </c>
      <c r="J202" s="11">
        <f t="shared" si="18"/>
        <v>42</v>
      </c>
      <c r="K202" s="12" t="str">
        <f t="shared" si="15"/>
        <v>Low Stock_Reorder Needed</v>
      </c>
      <c r="L202" s="12">
        <f t="shared" si="16"/>
        <v>64</v>
      </c>
      <c r="M202" s="6">
        <v>45679</v>
      </c>
      <c r="N202" s="6">
        <v>45695</v>
      </c>
      <c r="O202" s="6">
        <v>45361</v>
      </c>
      <c r="P202" s="7" t="s">
        <v>884</v>
      </c>
      <c r="Q202" s="5">
        <v>43</v>
      </c>
      <c r="R202" s="10">
        <f t="shared" si="17"/>
        <v>86</v>
      </c>
      <c r="S202" s="5">
        <v>54</v>
      </c>
      <c r="T202" s="5" t="s">
        <v>39</v>
      </c>
      <c r="U202" s="11">
        <f t="shared" si="19"/>
        <v>44</v>
      </c>
    </row>
    <row r="203" spans="1:21" ht="16" x14ac:dyDescent="0.4">
      <c r="A203" s="2" t="s">
        <v>885</v>
      </c>
      <c r="B203" s="3" t="s">
        <v>546</v>
      </c>
      <c r="C203" s="28" t="s">
        <v>48</v>
      </c>
      <c r="D203" s="2" t="s">
        <v>886</v>
      </c>
      <c r="E203" s="4" t="s">
        <v>453</v>
      </c>
      <c r="F203" s="5">
        <v>92</v>
      </c>
      <c r="G203" s="5">
        <v>96</v>
      </c>
      <c r="H203" s="5">
        <v>56</v>
      </c>
      <c r="I203" s="10">
        <v>6</v>
      </c>
      <c r="J203" s="11">
        <f t="shared" si="18"/>
        <v>552</v>
      </c>
      <c r="K203" s="12" t="str">
        <f t="shared" si="15"/>
        <v>Low Stock_Reorder Needed</v>
      </c>
      <c r="L203" s="12">
        <f t="shared" si="16"/>
        <v>336</v>
      </c>
      <c r="M203" s="6">
        <v>45614</v>
      </c>
      <c r="N203" s="6">
        <v>45468</v>
      </c>
      <c r="O203" s="6">
        <v>45493</v>
      </c>
      <c r="P203" s="7" t="s">
        <v>887</v>
      </c>
      <c r="Q203" s="5">
        <v>32</v>
      </c>
      <c r="R203" s="10">
        <f t="shared" si="17"/>
        <v>192</v>
      </c>
      <c r="S203" s="5">
        <v>22</v>
      </c>
      <c r="T203" s="5" t="s">
        <v>27</v>
      </c>
      <c r="U203" s="11">
        <f t="shared" si="19"/>
        <v>-360</v>
      </c>
    </row>
    <row r="204" spans="1:21" ht="16" x14ac:dyDescent="0.4">
      <c r="A204" s="2" t="s">
        <v>888</v>
      </c>
      <c r="B204" s="3" t="s">
        <v>776</v>
      </c>
      <c r="C204" s="28" t="s">
        <v>30</v>
      </c>
      <c r="D204" s="2" t="s">
        <v>889</v>
      </c>
      <c r="E204" s="4" t="s">
        <v>890</v>
      </c>
      <c r="F204" s="5">
        <v>68</v>
      </c>
      <c r="G204" s="5">
        <v>12</v>
      </c>
      <c r="H204" s="5">
        <v>42</v>
      </c>
      <c r="I204" s="10">
        <v>10</v>
      </c>
      <c r="J204" s="11">
        <f t="shared" si="18"/>
        <v>680</v>
      </c>
      <c r="K204" s="12" t="str">
        <f t="shared" si="15"/>
        <v>Stock_Sufficient</v>
      </c>
      <c r="L204" s="12">
        <f t="shared" si="16"/>
        <v>420</v>
      </c>
      <c r="M204" s="6">
        <v>45631</v>
      </c>
      <c r="N204" s="6">
        <v>45709</v>
      </c>
      <c r="O204" s="6">
        <v>45648</v>
      </c>
      <c r="P204" s="7" t="s">
        <v>891</v>
      </c>
      <c r="Q204" s="5">
        <v>39</v>
      </c>
      <c r="R204" s="10">
        <f t="shared" si="17"/>
        <v>390</v>
      </c>
      <c r="S204" s="5">
        <v>6</v>
      </c>
      <c r="T204" s="5" t="s">
        <v>39</v>
      </c>
      <c r="U204" s="11">
        <f t="shared" si="19"/>
        <v>-290</v>
      </c>
    </row>
    <row r="205" spans="1:21" ht="16" x14ac:dyDescent="0.4">
      <c r="A205" s="2" t="s">
        <v>892</v>
      </c>
      <c r="B205" s="3" t="s">
        <v>244</v>
      </c>
      <c r="C205" s="28" t="s">
        <v>90</v>
      </c>
      <c r="D205" s="2" t="s">
        <v>893</v>
      </c>
      <c r="E205" s="4" t="s">
        <v>894</v>
      </c>
      <c r="F205" s="5">
        <v>46</v>
      </c>
      <c r="G205" s="5">
        <v>43</v>
      </c>
      <c r="H205" s="5">
        <v>46</v>
      </c>
      <c r="I205" s="10">
        <v>3.5</v>
      </c>
      <c r="J205" s="11">
        <f t="shared" si="18"/>
        <v>161</v>
      </c>
      <c r="K205" s="12" t="str">
        <f t="shared" si="15"/>
        <v>Stock_Sufficient</v>
      </c>
      <c r="L205" s="12">
        <f t="shared" si="16"/>
        <v>161</v>
      </c>
      <c r="M205" s="6">
        <v>45667</v>
      </c>
      <c r="N205" s="6">
        <v>45570</v>
      </c>
      <c r="O205" s="6">
        <v>45552</v>
      </c>
      <c r="P205" s="7" t="s">
        <v>895</v>
      </c>
      <c r="Q205" s="5">
        <v>68</v>
      </c>
      <c r="R205" s="10">
        <f t="shared" si="17"/>
        <v>238</v>
      </c>
      <c r="S205" s="5">
        <v>59</v>
      </c>
      <c r="T205" s="5" t="s">
        <v>39</v>
      </c>
      <c r="U205" s="11">
        <f t="shared" si="19"/>
        <v>77</v>
      </c>
    </row>
    <row r="206" spans="1:21" ht="16" x14ac:dyDescent="0.4">
      <c r="A206" s="2" t="s">
        <v>896</v>
      </c>
      <c r="B206" s="3" t="s">
        <v>177</v>
      </c>
      <c r="C206" s="28" t="s">
        <v>48</v>
      </c>
      <c r="D206" s="2" t="s">
        <v>897</v>
      </c>
      <c r="E206" s="4" t="s">
        <v>898</v>
      </c>
      <c r="F206" s="5">
        <v>47</v>
      </c>
      <c r="G206" s="5">
        <v>20</v>
      </c>
      <c r="H206" s="5">
        <v>65</v>
      </c>
      <c r="I206" s="10">
        <v>1.75</v>
      </c>
      <c r="J206" s="11">
        <f t="shared" si="18"/>
        <v>82.25</v>
      </c>
      <c r="K206" s="12" t="str">
        <f t="shared" si="15"/>
        <v>Stock_Sufficient</v>
      </c>
      <c r="L206" s="12">
        <f t="shared" si="16"/>
        <v>113.75</v>
      </c>
      <c r="M206" s="6">
        <v>45676</v>
      </c>
      <c r="N206" s="6">
        <v>45669</v>
      </c>
      <c r="O206" s="6">
        <v>45382</v>
      </c>
      <c r="P206" s="7" t="s">
        <v>899</v>
      </c>
      <c r="Q206" s="5">
        <v>49</v>
      </c>
      <c r="R206" s="10">
        <f t="shared" si="17"/>
        <v>85.75</v>
      </c>
      <c r="S206" s="5">
        <v>19</v>
      </c>
      <c r="T206" s="5" t="s">
        <v>39</v>
      </c>
      <c r="U206" s="11">
        <f t="shared" si="19"/>
        <v>3.5</v>
      </c>
    </row>
    <row r="207" spans="1:21" ht="16" x14ac:dyDescent="0.4">
      <c r="A207" s="2" t="s">
        <v>900</v>
      </c>
      <c r="B207" s="3" t="s">
        <v>187</v>
      </c>
      <c r="C207" s="28" t="s">
        <v>59</v>
      </c>
      <c r="D207" s="2" t="s">
        <v>901</v>
      </c>
      <c r="E207" s="4" t="s">
        <v>232</v>
      </c>
      <c r="F207" s="5">
        <v>52</v>
      </c>
      <c r="G207" s="5">
        <v>88</v>
      </c>
      <c r="H207" s="5">
        <v>55</v>
      </c>
      <c r="I207" s="10">
        <v>6</v>
      </c>
      <c r="J207" s="11">
        <f t="shared" si="18"/>
        <v>312</v>
      </c>
      <c r="K207" s="12" t="str">
        <f t="shared" si="15"/>
        <v>Low Stock_Reorder Needed</v>
      </c>
      <c r="L207" s="12">
        <f t="shared" si="16"/>
        <v>330</v>
      </c>
      <c r="M207" s="6">
        <v>45439</v>
      </c>
      <c r="N207" s="6">
        <v>45417</v>
      </c>
      <c r="O207" s="6">
        <v>45609</v>
      </c>
      <c r="P207" s="7" t="s">
        <v>902</v>
      </c>
      <c r="Q207" s="5">
        <v>100</v>
      </c>
      <c r="R207" s="10">
        <f t="shared" si="17"/>
        <v>600</v>
      </c>
      <c r="S207" s="5">
        <v>46</v>
      </c>
      <c r="T207" s="5" t="s">
        <v>27</v>
      </c>
      <c r="U207" s="11">
        <f t="shared" si="19"/>
        <v>288</v>
      </c>
    </row>
    <row r="208" spans="1:21" ht="16" x14ac:dyDescent="0.4">
      <c r="A208" s="2" t="s">
        <v>903</v>
      </c>
      <c r="B208" s="3" t="s">
        <v>163</v>
      </c>
      <c r="C208" s="28" t="s">
        <v>48</v>
      </c>
      <c r="D208" s="2" t="s">
        <v>904</v>
      </c>
      <c r="E208" s="4" t="s">
        <v>106</v>
      </c>
      <c r="F208" s="5">
        <v>51</v>
      </c>
      <c r="G208" s="5">
        <v>62</v>
      </c>
      <c r="H208" s="5">
        <v>95</v>
      </c>
      <c r="I208" s="10">
        <v>6</v>
      </c>
      <c r="J208" s="11">
        <f t="shared" si="18"/>
        <v>306</v>
      </c>
      <c r="K208" s="12" t="str">
        <f t="shared" si="15"/>
        <v>Low Stock_Reorder Needed</v>
      </c>
      <c r="L208" s="12">
        <f t="shared" si="16"/>
        <v>570</v>
      </c>
      <c r="M208" s="6">
        <v>45389</v>
      </c>
      <c r="N208" s="6">
        <v>45379</v>
      </c>
      <c r="O208" s="6">
        <v>45672</v>
      </c>
      <c r="P208" s="7" t="s">
        <v>905</v>
      </c>
      <c r="Q208" s="5">
        <v>52</v>
      </c>
      <c r="R208" s="10">
        <f t="shared" si="17"/>
        <v>312</v>
      </c>
      <c r="S208" s="5">
        <v>21</v>
      </c>
      <c r="T208" s="5" t="s">
        <v>45</v>
      </c>
      <c r="U208" s="11">
        <f t="shared" si="19"/>
        <v>6</v>
      </c>
    </row>
    <row r="209" spans="1:21" ht="16" x14ac:dyDescent="0.4">
      <c r="A209" s="2" t="s">
        <v>906</v>
      </c>
      <c r="B209" s="3" t="s">
        <v>64</v>
      </c>
      <c r="C209" s="28" t="s">
        <v>65</v>
      </c>
      <c r="D209" s="2" t="s">
        <v>907</v>
      </c>
      <c r="E209" s="4" t="s">
        <v>908</v>
      </c>
      <c r="F209" s="5">
        <v>14</v>
      </c>
      <c r="G209" s="5">
        <v>63</v>
      </c>
      <c r="H209" s="5">
        <v>74</v>
      </c>
      <c r="I209" s="10">
        <v>2.5</v>
      </c>
      <c r="J209" s="11">
        <f t="shared" si="18"/>
        <v>35</v>
      </c>
      <c r="K209" s="12" t="str">
        <f t="shared" si="15"/>
        <v>Low Stock_Reorder Needed</v>
      </c>
      <c r="L209" s="12">
        <f t="shared" si="16"/>
        <v>185</v>
      </c>
      <c r="M209" s="6">
        <v>45410</v>
      </c>
      <c r="N209" s="6">
        <v>45707</v>
      </c>
      <c r="O209" s="6">
        <v>45624</v>
      </c>
      <c r="P209" s="7" t="s">
        <v>909</v>
      </c>
      <c r="Q209" s="5">
        <v>59</v>
      </c>
      <c r="R209" s="10">
        <f t="shared" si="17"/>
        <v>147.5</v>
      </c>
      <c r="S209" s="5">
        <v>63</v>
      </c>
      <c r="T209" s="5" t="s">
        <v>39</v>
      </c>
      <c r="U209" s="11">
        <f t="shared" si="19"/>
        <v>112.5</v>
      </c>
    </row>
    <row r="210" spans="1:21" ht="16" x14ac:dyDescent="0.4">
      <c r="A210" s="2" t="s">
        <v>910</v>
      </c>
      <c r="B210" s="3" t="s">
        <v>70</v>
      </c>
      <c r="C210" s="28" t="s">
        <v>48</v>
      </c>
      <c r="D210" s="2" t="s">
        <v>911</v>
      </c>
      <c r="E210" s="4" t="s">
        <v>690</v>
      </c>
      <c r="F210" s="5">
        <v>62</v>
      </c>
      <c r="G210" s="5">
        <v>44</v>
      </c>
      <c r="H210" s="5">
        <v>11</v>
      </c>
      <c r="I210" s="10">
        <v>51.17</v>
      </c>
      <c r="J210" s="11">
        <f t="shared" si="18"/>
        <v>3172.54</v>
      </c>
      <c r="K210" s="12" t="str">
        <f t="shared" si="15"/>
        <v>Stock_Sufficient</v>
      </c>
      <c r="L210" s="12">
        <f t="shared" si="16"/>
        <v>562.87</v>
      </c>
      <c r="M210" s="6">
        <v>45665</v>
      </c>
      <c r="N210" s="6">
        <v>45398</v>
      </c>
      <c r="O210" s="6">
        <v>45486</v>
      </c>
      <c r="P210" s="7" t="s">
        <v>912</v>
      </c>
      <c r="Q210" s="5">
        <v>92</v>
      </c>
      <c r="R210" s="10">
        <f t="shared" si="17"/>
        <v>4707.6400000000003</v>
      </c>
      <c r="S210" s="5">
        <v>37</v>
      </c>
      <c r="T210" s="5" t="s">
        <v>27</v>
      </c>
      <c r="U210" s="11">
        <f t="shared" si="19"/>
        <v>1535.1000000000004</v>
      </c>
    </row>
    <row r="211" spans="1:21" ht="16" x14ac:dyDescent="0.4">
      <c r="A211" s="2" t="s">
        <v>913</v>
      </c>
      <c r="B211" s="3" t="s">
        <v>555</v>
      </c>
      <c r="C211" s="28" t="s">
        <v>48</v>
      </c>
      <c r="D211" s="2" t="s">
        <v>914</v>
      </c>
      <c r="E211" s="4" t="s">
        <v>915</v>
      </c>
      <c r="F211" s="5">
        <v>40</v>
      </c>
      <c r="G211" s="5">
        <v>53</v>
      </c>
      <c r="H211" s="5">
        <v>7</v>
      </c>
      <c r="I211" s="10">
        <v>4</v>
      </c>
      <c r="J211" s="11">
        <f t="shared" si="18"/>
        <v>160</v>
      </c>
      <c r="K211" s="12" t="str">
        <f t="shared" si="15"/>
        <v>Low Stock_Reorder Needed</v>
      </c>
      <c r="L211" s="12">
        <f t="shared" si="16"/>
        <v>28</v>
      </c>
      <c r="M211" s="6">
        <v>45709</v>
      </c>
      <c r="N211" s="6">
        <v>45357</v>
      </c>
      <c r="O211" s="6">
        <v>45464</v>
      </c>
      <c r="P211" s="7" t="s">
        <v>916</v>
      </c>
      <c r="Q211" s="5">
        <v>70</v>
      </c>
      <c r="R211" s="10">
        <f t="shared" si="17"/>
        <v>280</v>
      </c>
      <c r="S211" s="5">
        <v>20</v>
      </c>
      <c r="T211" s="5" t="s">
        <v>39</v>
      </c>
      <c r="U211" s="11">
        <f t="shared" si="19"/>
        <v>120</v>
      </c>
    </row>
    <row r="212" spans="1:21" ht="16" x14ac:dyDescent="0.4">
      <c r="A212" s="2" t="s">
        <v>917</v>
      </c>
      <c r="B212" s="3" t="s">
        <v>337</v>
      </c>
      <c r="C212" s="28" t="s">
        <v>30</v>
      </c>
      <c r="D212" s="2" t="s">
        <v>918</v>
      </c>
      <c r="E212" s="4" t="s">
        <v>499</v>
      </c>
      <c r="F212" s="5">
        <v>50</v>
      </c>
      <c r="G212" s="5">
        <v>100</v>
      </c>
      <c r="H212" s="5">
        <v>91</v>
      </c>
      <c r="I212" s="10">
        <v>25.5</v>
      </c>
      <c r="J212" s="11">
        <f t="shared" si="18"/>
        <v>1275</v>
      </c>
      <c r="K212" s="12" t="str">
        <f t="shared" si="15"/>
        <v>Low Stock_Reorder Needed</v>
      </c>
      <c r="L212" s="12">
        <f t="shared" si="16"/>
        <v>2320.5</v>
      </c>
      <c r="M212" s="6">
        <v>45654</v>
      </c>
      <c r="N212" s="6">
        <v>45490</v>
      </c>
      <c r="O212" s="6">
        <v>45631</v>
      </c>
      <c r="P212" s="7" t="s">
        <v>919</v>
      </c>
      <c r="Q212" s="5">
        <v>29</v>
      </c>
      <c r="R212" s="10">
        <f t="shared" si="17"/>
        <v>739.5</v>
      </c>
      <c r="S212" s="5">
        <v>31</v>
      </c>
      <c r="T212" s="5" t="s">
        <v>45</v>
      </c>
      <c r="U212" s="11">
        <f t="shared" si="19"/>
        <v>-535.5</v>
      </c>
    </row>
    <row r="213" spans="1:21" ht="16" x14ac:dyDescent="0.4">
      <c r="A213" s="2" t="s">
        <v>920</v>
      </c>
      <c r="B213" s="3" t="s">
        <v>22</v>
      </c>
      <c r="C213" s="28" t="s">
        <v>23</v>
      </c>
      <c r="D213" s="2" t="s">
        <v>921</v>
      </c>
      <c r="E213" s="4" t="s">
        <v>272</v>
      </c>
      <c r="F213" s="5">
        <v>77</v>
      </c>
      <c r="G213" s="5">
        <v>20</v>
      </c>
      <c r="H213" s="5">
        <v>37</v>
      </c>
      <c r="I213" s="10">
        <v>4.25</v>
      </c>
      <c r="J213" s="11">
        <f t="shared" si="18"/>
        <v>327.25</v>
      </c>
      <c r="K213" s="12" t="str">
        <f t="shared" si="15"/>
        <v>Stock_Sufficient</v>
      </c>
      <c r="L213" s="12">
        <f t="shared" si="16"/>
        <v>157.25</v>
      </c>
      <c r="M213" s="6">
        <v>45476</v>
      </c>
      <c r="N213" s="6">
        <v>45357</v>
      </c>
      <c r="O213" s="6">
        <v>45601</v>
      </c>
      <c r="P213" s="7" t="s">
        <v>922</v>
      </c>
      <c r="Q213" s="5">
        <v>42</v>
      </c>
      <c r="R213" s="10">
        <f t="shared" si="17"/>
        <v>178.5</v>
      </c>
      <c r="S213" s="5">
        <v>19</v>
      </c>
      <c r="T213" s="5" t="s">
        <v>39</v>
      </c>
      <c r="U213" s="11">
        <f t="shared" si="19"/>
        <v>-148.75</v>
      </c>
    </row>
    <row r="214" spans="1:21" ht="16" x14ac:dyDescent="0.4">
      <c r="A214" s="2" t="s">
        <v>923</v>
      </c>
      <c r="B214" s="3" t="s">
        <v>99</v>
      </c>
      <c r="C214" s="28" t="s">
        <v>48</v>
      </c>
      <c r="D214" s="2" t="s">
        <v>924</v>
      </c>
      <c r="E214" s="4" t="s">
        <v>925</v>
      </c>
      <c r="F214" s="5">
        <v>31</v>
      </c>
      <c r="G214" s="5">
        <v>89</v>
      </c>
      <c r="H214" s="5">
        <v>7</v>
      </c>
      <c r="I214" s="10">
        <v>5.9</v>
      </c>
      <c r="J214" s="11">
        <f t="shared" si="18"/>
        <v>182.9</v>
      </c>
      <c r="K214" s="12" t="str">
        <f t="shared" si="15"/>
        <v>Low Stock_Reorder Needed</v>
      </c>
      <c r="L214" s="12">
        <f t="shared" si="16"/>
        <v>41.300000000000004</v>
      </c>
      <c r="M214" s="6">
        <v>45530</v>
      </c>
      <c r="N214" s="6">
        <v>45633</v>
      </c>
      <c r="O214" s="6">
        <v>45433</v>
      </c>
      <c r="P214" s="7" t="s">
        <v>926</v>
      </c>
      <c r="Q214" s="5">
        <v>46</v>
      </c>
      <c r="R214" s="10">
        <f t="shared" si="17"/>
        <v>271.40000000000003</v>
      </c>
      <c r="S214" s="5">
        <v>54</v>
      </c>
      <c r="T214" s="5" t="s">
        <v>27</v>
      </c>
      <c r="U214" s="11">
        <f t="shared" si="19"/>
        <v>88.500000000000028</v>
      </c>
    </row>
    <row r="215" spans="1:21" ht="16" x14ac:dyDescent="0.4">
      <c r="A215" s="2" t="s">
        <v>927</v>
      </c>
      <c r="B215" s="3" t="s">
        <v>163</v>
      </c>
      <c r="C215" s="28" t="s">
        <v>48</v>
      </c>
      <c r="D215" s="2" t="s">
        <v>928</v>
      </c>
      <c r="E215" s="4" t="s">
        <v>929</v>
      </c>
      <c r="F215" s="5">
        <v>35</v>
      </c>
      <c r="G215" s="5">
        <v>19</v>
      </c>
      <c r="H215" s="5">
        <v>30</v>
      </c>
      <c r="I215" s="10">
        <v>6.5</v>
      </c>
      <c r="J215" s="11">
        <f t="shared" si="18"/>
        <v>227.5</v>
      </c>
      <c r="K215" s="12" t="str">
        <f t="shared" si="15"/>
        <v>Stock_Sufficient</v>
      </c>
      <c r="L215" s="12">
        <f t="shared" si="16"/>
        <v>195</v>
      </c>
      <c r="M215" s="6">
        <v>45663</v>
      </c>
      <c r="N215" s="6">
        <v>45626</v>
      </c>
      <c r="O215" s="6">
        <v>45605</v>
      </c>
      <c r="P215" s="7" t="s">
        <v>930</v>
      </c>
      <c r="Q215" s="5">
        <v>88</v>
      </c>
      <c r="R215" s="10">
        <f t="shared" si="17"/>
        <v>572</v>
      </c>
      <c r="S215" s="5">
        <v>6</v>
      </c>
      <c r="T215" s="5" t="s">
        <v>39</v>
      </c>
      <c r="U215" s="11">
        <f t="shared" si="19"/>
        <v>344.5</v>
      </c>
    </row>
    <row r="216" spans="1:21" ht="16" x14ac:dyDescent="0.4">
      <c r="A216" s="2" t="s">
        <v>931</v>
      </c>
      <c r="B216" s="3" t="s">
        <v>350</v>
      </c>
      <c r="C216" s="28" t="s">
        <v>48</v>
      </c>
      <c r="D216" s="2" t="s">
        <v>932</v>
      </c>
      <c r="E216" s="4" t="s">
        <v>933</v>
      </c>
      <c r="F216" s="5">
        <v>31</v>
      </c>
      <c r="G216" s="5">
        <v>54</v>
      </c>
      <c r="H216" s="5">
        <v>52</v>
      </c>
      <c r="I216" s="10">
        <v>4</v>
      </c>
      <c r="J216" s="11">
        <f t="shared" si="18"/>
        <v>124</v>
      </c>
      <c r="K216" s="12" t="str">
        <f t="shared" si="15"/>
        <v>Low Stock_Reorder Needed</v>
      </c>
      <c r="L216" s="12">
        <f t="shared" si="16"/>
        <v>208</v>
      </c>
      <c r="M216" s="6">
        <v>45708</v>
      </c>
      <c r="N216" s="6">
        <v>45634</v>
      </c>
      <c r="O216" s="6">
        <v>45639</v>
      </c>
      <c r="P216" s="7" t="s">
        <v>934</v>
      </c>
      <c r="Q216" s="5">
        <v>69</v>
      </c>
      <c r="R216" s="10">
        <f t="shared" si="17"/>
        <v>276</v>
      </c>
      <c r="S216" s="5">
        <v>77</v>
      </c>
      <c r="T216" s="5" t="s">
        <v>45</v>
      </c>
      <c r="U216" s="11">
        <f t="shared" si="19"/>
        <v>152</v>
      </c>
    </row>
    <row r="217" spans="1:21" ht="16" x14ac:dyDescent="0.4">
      <c r="A217" s="2" t="s">
        <v>935</v>
      </c>
      <c r="B217" s="3" t="s">
        <v>283</v>
      </c>
      <c r="C217" s="28" t="s">
        <v>90</v>
      </c>
      <c r="D217" s="2" t="s">
        <v>936</v>
      </c>
      <c r="E217" s="4" t="s">
        <v>400</v>
      </c>
      <c r="F217" s="5">
        <v>56</v>
      </c>
      <c r="G217" s="5">
        <v>62</v>
      </c>
      <c r="H217" s="5">
        <v>64</v>
      </c>
      <c r="I217" s="10">
        <v>2.5</v>
      </c>
      <c r="J217" s="11">
        <f t="shared" si="18"/>
        <v>140</v>
      </c>
      <c r="K217" s="12" t="str">
        <f t="shared" si="15"/>
        <v>Low Stock_Reorder Needed</v>
      </c>
      <c r="L217" s="12">
        <f t="shared" si="16"/>
        <v>160</v>
      </c>
      <c r="M217" s="6">
        <v>45526</v>
      </c>
      <c r="N217" s="6">
        <v>45538</v>
      </c>
      <c r="O217" s="6">
        <v>45677</v>
      </c>
      <c r="P217" s="7" t="s">
        <v>937</v>
      </c>
      <c r="Q217" s="5">
        <v>56</v>
      </c>
      <c r="R217" s="10">
        <f t="shared" si="17"/>
        <v>140</v>
      </c>
      <c r="S217" s="5">
        <v>73</v>
      </c>
      <c r="T217" s="5" t="s">
        <v>39</v>
      </c>
      <c r="U217" s="11">
        <f t="shared" si="19"/>
        <v>0</v>
      </c>
    </row>
    <row r="218" spans="1:21" ht="16" x14ac:dyDescent="0.4">
      <c r="A218" s="2" t="s">
        <v>938</v>
      </c>
      <c r="B218" s="3" t="s">
        <v>70</v>
      </c>
      <c r="C218" s="28" t="s">
        <v>65</v>
      </c>
      <c r="D218" s="2" t="s">
        <v>939</v>
      </c>
      <c r="E218" s="4" t="s">
        <v>940</v>
      </c>
      <c r="F218" s="5">
        <v>90</v>
      </c>
      <c r="G218" s="5">
        <v>62</v>
      </c>
      <c r="H218" s="5">
        <v>54</v>
      </c>
      <c r="I218" s="10">
        <v>3</v>
      </c>
      <c r="J218" s="11">
        <f t="shared" si="18"/>
        <v>270</v>
      </c>
      <c r="K218" s="12" t="str">
        <f t="shared" si="15"/>
        <v>Stock_Sufficient</v>
      </c>
      <c r="L218" s="12">
        <f t="shared" si="16"/>
        <v>162</v>
      </c>
      <c r="M218" s="6">
        <v>45677</v>
      </c>
      <c r="N218" s="6">
        <v>45542</v>
      </c>
      <c r="O218" s="6">
        <v>45641</v>
      </c>
      <c r="P218" s="7" t="s">
        <v>941</v>
      </c>
      <c r="Q218" s="5">
        <v>70</v>
      </c>
      <c r="R218" s="10">
        <f t="shared" si="17"/>
        <v>210</v>
      </c>
      <c r="S218" s="5">
        <v>83</v>
      </c>
      <c r="T218" s="5" t="s">
        <v>27</v>
      </c>
      <c r="U218" s="11">
        <f t="shared" si="19"/>
        <v>-60</v>
      </c>
    </row>
    <row r="219" spans="1:21" ht="16" x14ac:dyDescent="0.4">
      <c r="A219" s="2" t="s">
        <v>942</v>
      </c>
      <c r="B219" s="3" t="s">
        <v>600</v>
      </c>
      <c r="C219" s="28" t="s">
        <v>59</v>
      </c>
      <c r="D219" s="2" t="s">
        <v>943</v>
      </c>
      <c r="E219" s="4" t="s">
        <v>944</v>
      </c>
      <c r="F219" s="5">
        <v>79</v>
      </c>
      <c r="G219" s="5">
        <v>31</v>
      </c>
      <c r="H219" s="5">
        <v>66</v>
      </c>
      <c r="I219" s="10">
        <v>2.2999999999999998</v>
      </c>
      <c r="J219" s="11">
        <f t="shared" si="18"/>
        <v>181.7</v>
      </c>
      <c r="K219" s="12" t="str">
        <f t="shared" si="15"/>
        <v>Stock_Sufficient</v>
      </c>
      <c r="L219" s="12">
        <f t="shared" si="16"/>
        <v>151.79999999999998</v>
      </c>
      <c r="M219" s="6">
        <v>45392</v>
      </c>
      <c r="N219" s="6">
        <v>45578</v>
      </c>
      <c r="O219" s="6">
        <v>45524</v>
      </c>
      <c r="P219" s="7" t="s">
        <v>945</v>
      </c>
      <c r="Q219" s="5">
        <v>92</v>
      </c>
      <c r="R219" s="10">
        <f t="shared" si="17"/>
        <v>211.6</v>
      </c>
      <c r="S219" s="5">
        <v>13</v>
      </c>
      <c r="T219" s="5" t="s">
        <v>27</v>
      </c>
      <c r="U219" s="11">
        <f t="shared" si="19"/>
        <v>29.900000000000006</v>
      </c>
    </row>
    <row r="220" spans="1:21" ht="16" x14ac:dyDescent="0.4">
      <c r="A220" s="2" t="s">
        <v>946</v>
      </c>
      <c r="B220" s="3" t="s">
        <v>882</v>
      </c>
      <c r="C220" s="28" t="s">
        <v>48</v>
      </c>
      <c r="D220" s="2" t="s">
        <v>947</v>
      </c>
      <c r="E220" s="4" t="s">
        <v>948</v>
      </c>
      <c r="F220" s="5">
        <v>29</v>
      </c>
      <c r="G220" s="5">
        <v>83</v>
      </c>
      <c r="H220" s="5">
        <v>91</v>
      </c>
      <c r="I220" s="10">
        <v>2</v>
      </c>
      <c r="J220" s="11">
        <f t="shared" si="18"/>
        <v>58</v>
      </c>
      <c r="K220" s="12" t="str">
        <f t="shared" si="15"/>
        <v>Low Stock_Reorder Needed</v>
      </c>
      <c r="L220" s="12">
        <f t="shared" si="16"/>
        <v>182</v>
      </c>
      <c r="M220" s="6">
        <v>45625</v>
      </c>
      <c r="N220" s="6">
        <v>45695</v>
      </c>
      <c r="O220" s="6">
        <v>45661</v>
      </c>
      <c r="P220" s="7" t="s">
        <v>949</v>
      </c>
      <c r="Q220" s="5">
        <v>81</v>
      </c>
      <c r="R220" s="10">
        <f t="shared" si="17"/>
        <v>162</v>
      </c>
      <c r="S220" s="5">
        <v>53</v>
      </c>
      <c r="T220" s="5" t="s">
        <v>39</v>
      </c>
      <c r="U220" s="11">
        <f t="shared" si="19"/>
        <v>104</v>
      </c>
    </row>
    <row r="221" spans="1:21" ht="16" x14ac:dyDescent="0.4">
      <c r="A221" s="2" t="s">
        <v>950</v>
      </c>
      <c r="B221" s="3" t="s">
        <v>600</v>
      </c>
      <c r="C221" s="28" t="s">
        <v>59</v>
      </c>
      <c r="D221" s="2" t="s">
        <v>951</v>
      </c>
      <c r="E221" s="4" t="s">
        <v>952</v>
      </c>
      <c r="F221" s="5">
        <v>46</v>
      </c>
      <c r="G221" s="5">
        <v>51</v>
      </c>
      <c r="H221" s="5">
        <v>92</v>
      </c>
      <c r="I221" s="10">
        <v>2.2999999999999998</v>
      </c>
      <c r="J221" s="11">
        <f t="shared" si="18"/>
        <v>105.8</v>
      </c>
      <c r="K221" s="12" t="str">
        <f t="shared" si="15"/>
        <v>Low Stock_Reorder Needed</v>
      </c>
      <c r="L221" s="12">
        <f t="shared" si="16"/>
        <v>211.6</v>
      </c>
      <c r="M221" s="6">
        <v>45419</v>
      </c>
      <c r="N221" s="6">
        <v>45650</v>
      </c>
      <c r="O221" s="6">
        <v>45452</v>
      </c>
      <c r="P221" s="7" t="s">
        <v>953</v>
      </c>
      <c r="Q221" s="5">
        <v>47</v>
      </c>
      <c r="R221" s="10">
        <f t="shared" si="17"/>
        <v>108.1</v>
      </c>
      <c r="S221" s="5">
        <v>25</v>
      </c>
      <c r="T221" s="5" t="s">
        <v>27</v>
      </c>
      <c r="U221" s="11">
        <f t="shared" si="19"/>
        <v>2.2999999999999972</v>
      </c>
    </row>
    <row r="222" spans="1:21" ht="16" x14ac:dyDescent="0.4">
      <c r="A222" s="2" t="s">
        <v>954</v>
      </c>
      <c r="B222" s="3" t="s">
        <v>441</v>
      </c>
      <c r="C222" s="28" t="s">
        <v>48</v>
      </c>
      <c r="D222" s="2" t="s">
        <v>955</v>
      </c>
      <c r="E222" s="4" t="s">
        <v>956</v>
      </c>
      <c r="F222" s="5">
        <v>42</v>
      </c>
      <c r="G222" s="5">
        <v>4</v>
      </c>
      <c r="H222" s="5">
        <v>53</v>
      </c>
      <c r="I222" s="10">
        <v>10</v>
      </c>
      <c r="J222" s="11">
        <f t="shared" si="18"/>
        <v>420</v>
      </c>
      <c r="K222" s="12" t="str">
        <f t="shared" si="15"/>
        <v>Stock_Sufficient</v>
      </c>
      <c r="L222" s="12">
        <f t="shared" si="16"/>
        <v>530</v>
      </c>
      <c r="M222" s="6">
        <v>45667</v>
      </c>
      <c r="N222" s="6">
        <v>45478</v>
      </c>
      <c r="O222" s="6">
        <v>45394</v>
      </c>
      <c r="P222" s="7" t="s">
        <v>957</v>
      </c>
      <c r="Q222" s="5">
        <v>37</v>
      </c>
      <c r="R222" s="10">
        <f t="shared" si="17"/>
        <v>370</v>
      </c>
      <c r="S222" s="5">
        <v>53</v>
      </c>
      <c r="T222" s="5" t="s">
        <v>45</v>
      </c>
      <c r="U222" s="11">
        <f t="shared" si="19"/>
        <v>-50</v>
      </c>
    </row>
    <row r="223" spans="1:21" ht="16" x14ac:dyDescent="0.4">
      <c r="A223" s="2" t="s">
        <v>958</v>
      </c>
      <c r="B223" s="3" t="s">
        <v>345</v>
      </c>
      <c r="C223" s="28" t="s">
        <v>65</v>
      </c>
      <c r="D223" s="2" t="s">
        <v>959</v>
      </c>
      <c r="E223" s="4" t="s">
        <v>754</v>
      </c>
      <c r="F223" s="5">
        <v>16</v>
      </c>
      <c r="G223" s="5">
        <v>56</v>
      </c>
      <c r="H223" s="5">
        <v>13</v>
      </c>
      <c r="I223" s="10">
        <v>7.2</v>
      </c>
      <c r="J223" s="11">
        <f t="shared" si="18"/>
        <v>115.2</v>
      </c>
      <c r="K223" s="12" t="str">
        <f t="shared" si="15"/>
        <v>Low Stock_Reorder Needed</v>
      </c>
      <c r="L223" s="12">
        <f t="shared" si="16"/>
        <v>93.600000000000009</v>
      </c>
      <c r="M223" s="6">
        <v>45698</v>
      </c>
      <c r="N223" s="6">
        <v>45361</v>
      </c>
      <c r="O223" s="6">
        <v>45567</v>
      </c>
      <c r="P223" s="7" t="s">
        <v>960</v>
      </c>
      <c r="Q223" s="5">
        <v>56</v>
      </c>
      <c r="R223" s="10">
        <f t="shared" si="17"/>
        <v>403.2</v>
      </c>
      <c r="S223" s="5">
        <v>28</v>
      </c>
      <c r="T223" s="5" t="s">
        <v>27</v>
      </c>
      <c r="U223" s="11">
        <f t="shared" si="19"/>
        <v>288</v>
      </c>
    </row>
    <row r="224" spans="1:21" ht="16" x14ac:dyDescent="0.4">
      <c r="A224" s="2" t="s">
        <v>961</v>
      </c>
      <c r="B224" s="3" t="s">
        <v>625</v>
      </c>
      <c r="C224" s="28" t="s">
        <v>133</v>
      </c>
      <c r="D224" s="2" t="s">
        <v>962</v>
      </c>
      <c r="E224" s="4" t="s">
        <v>963</v>
      </c>
      <c r="F224" s="5">
        <v>89</v>
      </c>
      <c r="G224" s="5">
        <v>95</v>
      </c>
      <c r="H224" s="5">
        <v>41</v>
      </c>
      <c r="I224" s="10">
        <v>18</v>
      </c>
      <c r="J224" s="11">
        <f t="shared" si="18"/>
        <v>1602</v>
      </c>
      <c r="K224" s="12" t="str">
        <f t="shared" si="15"/>
        <v>Low Stock_Reorder Needed</v>
      </c>
      <c r="L224" s="12">
        <f t="shared" si="16"/>
        <v>738</v>
      </c>
      <c r="M224" s="6">
        <v>45559</v>
      </c>
      <c r="N224" s="6">
        <v>45479</v>
      </c>
      <c r="O224" s="6">
        <v>45580</v>
      </c>
      <c r="P224" s="7" t="s">
        <v>964</v>
      </c>
      <c r="Q224" s="5">
        <v>76</v>
      </c>
      <c r="R224" s="10">
        <f t="shared" si="17"/>
        <v>1368</v>
      </c>
      <c r="S224" s="5">
        <v>96</v>
      </c>
      <c r="T224" s="5" t="s">
        <v>27</v>
      </c>
      <c r="U224" s="11">
        <f t="shared" si="19"/>
        <v>-234</v>
      </c>
    </row>
    <row r="225" spans="1:21" ht="16" x14ac:dyDescent="0.4">
      <c r="A225" s="2" t="s">
        <v>965</v>
      </c>
      <c r="B225" s="3" t="s">
        <v>337</v>
      </c>
      <c r="C225" s="28" t="s">
        <v>30</v>
      </c>
      <c r="D225" s="2" t="s">
        <v>966</v>
      </c>
      <c r="E225" s="4" t="s">
        <v>145</v>
      </c>
      <c r="F225" s="5">
        <v>20</v>
      </c>
      <c r="G225" s="5">
        <v>43</v>
      </c>
      <c r="H225" s="5">
        <v>43</v>
      </c>
      <c r="I225" s="10">
        <v>25</v>
      </c>
      <c r="J225" s="11">
        <f t="shared" si="18"/>
        <v>500</v>
      </c>
      <c r="K225" s="12" t="str">
        <f t="shared" si="15"/>
        <v>Low Stock_Reorder Needed</v>
      </c>
      <c r="L225" s="12">
        <f t="shared" si="16"/>
        <v>1075</v>
      </c>
      <c r="M225" s="6">
        <v>45664</v>
      </c>
      <c r="N225" s="6">
        <v>45349</v>
      </c>
      <c r="O225" s="6">
        <v>45380</v>
      </c>
      <c r="P225" s="7" t="s">
        <v>967</v>
      </c>
      <c r="Q225" s="5">
        <v>73</v>
      </c>
      <c r="R225" s="10">
        <f t="shared" si="17"/>
        <v>1825</v>
      </c>
      <c r="S225" s="5">
        <v>6</v>
      </c>
      <c r="T225" s="5" t="s">
        <v>45</v>
      </c>
      <c r="U225" s="11">
        <f t="shared" si="19"/>
        <v>1325</v>
      </c>
    </row>
    <row r="226" spans="1:21" ht="16" x14ac:dyDescent="0.4">
      <c r="A226" s="2" t="s">
        <v>968</v>
      </c>
      <c r="B226" s="3" t="s">
        <v>235</v>
      </c>
      <c r="C226" s="28" t="s">
        <v>30</v>
      </c>
      <c r="D226" s="2" t="s">
        <v>969</v>
      </c>
      <c r="E226" s="4" t="s">
        <v>811</v>
      </c>
      <c r="F226" s="5">
        <v>37</v>
      </c>
      <c r="G226" s="5">
        <v>94</v>
      </c>
      <c r="H226" s="5">
        <v>76</v>
      </c>
      <c r="I226" s="10">
        <v>15</v>
      </c>
      <c r="J226" s="11">
        <f t="shared" si="18"/>
        <v>555</v>
      </c>
      <c r="K226" s="12" t="str">
        <f t="shared" si="15"/>
        <v>Low Stock_Reorder Needed</v>
      </c>
      <c r="L226" s="12">
        <f t="shared" si="16"/>
        <v>1140</v>
      </c>
      <c r="M226" s="6">
        <v>45460</v>
      </c>
      <c r="N226" s="6">
        <v>45676</v>
      </c>
      <c r="O226" s="6">
        <v>45692</v>
      </c>
      <c r="P226" s="7" t="s">
        <v>970</v>
      </c>
      <c r="Q226" s="5">
        <v>94</v>
      </c>
      <c r="R226" s="10">
        <f t="shared" si="17"/>
        <v>1410</v>
      </c>
      <c r="S226" s="5">
        <v>66</v>
      </c>
      <c r="T226" s="5" t="s">
        <v>39</v>
      </c>
      <c r="U226" s="11">
        <f t="shared" si="19"/>
        <v>855</v>
      </c>
    </row>
    <row r="227" spans="1:21" ht="16" x14ac:dyDescent="0.4">
      <c r="A227" s="2" t="s">
        <v>971</v>
      </c>
      <c r="B227" s="3" t="s">
        <v>109</v>
      </c>
      <c r="C227" s="28" t="s">
        <v>23</v>
      </c>
      <c r="D227" s="2" t="s">
        <v>972</v>
      </c>
      <c r="E227" s="4" t="s">
        <v>973</v>
      </c>
      <c r="F227" s="5">
        <v>97</v>
      </c>
      <c r="G227" s="5">
        <v>41</v>
      </c>
      <c r="H227" s="5">
        <v>68</v>
      </c>
      <c r="I227" s="10">
        <v>1.5</v>
      </c>
      <c r="J227" s="11">
        <f t="shared" si="18"/>
        <v>145.5</v>
      </c>
      <c r="K227" s="12" t="str">
        <f t="shared" si="15"/>
        <v>Stock_Sufficient</v>
      </c>
      <c r="L227" s="12">
        <f t="shared" si="16"/>
        <v>102</v>
      </c>
      <c r="M227" s="6">
        <v>45671</v>
      </c>
      <c r="N227" s="6">
        <v>45569</v>
      </c>
      <c r="O227" s="6">
        <v>45664</v>
      </c>
      <c r="P227" s="7" t="s">
        <v>974</v>
      </c>
      <c r="Q227" s="5">
        <v>35</v>
      </c>
      <c r="R227" s="10">
        <f t="shared" si="17"/>
        <v>52.5</v>
      </c>
      <c r="S227" s="5">
        <v>16</v>
      </c>
      <c r="T227" s="5" t="s">
        <v>27</v>
      </c>
      <c r="U227" s="11">
        <f t="shared" si="19"/>
        <v>-93</v>
      </c>
    </row>
    <row r="228" spans="1:21" ht="16" x14ac:dyDescent="0.4">
      <c r="A228" s="2" t="s">
        <v>975</v>
      </c>
      <c r="B228" s="3" t="s">
        <v>104</v>
      </c>
      <c r="C228" s="28" t="s">
        <v>65</v>
      </c>
      <c r="D228" s="2" t="s">
        <v>976</v>
      </c>
      <c r="E228" s="4" t="s">
        <v>977</v>
      </c>
      <c r="F228" s="5">
        <v>98</v>
      </c>
      <c r="G228" s="5">
        <v>77</v>
      </c>
      <c r="H228" s="5">
        <v>7</v>
      </c>
      <c r="I228" s="10">
        <v>7</v>
      </c>
      <c r="J228" s="11">
        <f t="shared" si="18"/>
        <v>686</v>
      </c>
      <c r="K228" s="12" t="str">
        <f t="shared" si="15"/>
        <v>Stock_Sufficient</v>
      </c>
      <c r="L228" s="12">
        <f t="shared" si="16"/>
        <v>49</v>
      </c>
      <c r="M228" s="6">
        <v>45567</v>
      </c>
      <c r="N228" s="6">
        <v>45615</v>
      </c>
      <c r="O228" s="6">
        <v>45509</v>
      </c>
      <c r="P228" s="7" t="s">
        <v>978</v>
      </c>
      <c r="Q228" s="5">
        <v>92</v>
      </c>
      <c r="R228" s="10">
        <f t="shared" si="17"/>
        <v>644</v>
      </c>
      <c r="S228" s="5">
        <v>29</v>
      </c>
      <c r="T228" s="5" t="s">
        <v>27</v>
      </c>
      <c r="U228" s="11">
        <f t="shared" si="19"/>
        <v>-42</v>
      </c>
    </row>
    <row r="229" spans="1:21" ht="16" x14ac:dyDescent="0.4">
      <c r="A229" s="2" t="s">
        <v>979</v>
      </c>
      <c r="B229" s="3" t="s">
        <v>257</v>
      </c>
      <c r="C229" s="28" t="s">
        <v>48</v>
      </c>
      <c r="D229" s="2" t="s">
        <v>980</v>
      </c>
      <c r="E229" s="4" t="s">
        <v>981</v>
      </c>
      <c r="F229" s="5">
        <v>37</v>
      </c>
      <c r="G229" s="5">
        <v>8</v>
      </c>
      <c r="H229" s="5">
        <v>50</v>
      </c>
      <c r="I229" s="10">
        <v>6</v>
      </c>
      <c r="J229" s="11">
        <f t="shared" si="18"/>
        <v>222</v>
      </c>
      <c r="K229" s="12" t="str">
        <f t="shared" si="15"/>
        <v>Stock_Sufficient</v>
      </c>
      <c r="L229" s="12">
        <f t="shared" si="16"/>
        <v>300</v>
      </c>
      <c r="M229" s="6">
        <v>45479</v>
      </c>
      <c r="N229" s="6">
        <v>45429</v>
      </c>
      <c r="O229" s="6">
        <v>45680</v>
      </c>
      <c r="P229" s="7" t="s">
        <v>982</v>
      </c>
      <c r="Q229" s="5">
        <v>47</v>
      </c>
      <c r="R229" s="10">
        <f t="shared" si="17"/>
        <v>282</v>
      </c>
      <c r="S229" s="5">
        <v>62</v>
      </c>
      <c r="T229" s="5" t="s">
        <v>27</v>
      </c>
      <c r="U229" s="11">
        <f t="shared" si="19"/>
        <v>60</v>
      </c>
    </row>
    <row r="230" spans="1:21" ht="16" x14ac:dyDescent="0.4">
      <c r="A230" s="2" t="s">
        <v>983</v>
      </c>
      <c r="B230" s="3" t="s">
        <v>984</v>
      </c>
      <c r="C230" s="28" t="s">
        <v>90</v>
      </c>
      <c r="D230" s="2" t="s">
        <v>985</v>
      </c>
      <c r="E230" s="4" t="s">
        <v>986</v>
      </c>
      <c r="F230" s="5">
        <v>97</v>
      </c>
      <c r="G230" s="5">
        <v>99</v>
      </c>
      <c r="H230" s="5">
        <v>96</v>
      </c>
      <c r="I230" s="10">
        <v>4</v>
      </c>
      <c r="J230" s="11">
        <f t="shared" si="18"/>
        <v>388</v>
      </c>
      <c r="K230" s="12" t="str">
        <f t="shared" si="15"/>
        <v>Low Stock_Reorder Needed</v>
      </c>
      <c r="L230" s="12">
        <f t="shared" si="16"/>
        <v>384</v>
      </c>
      <c r="M230" s="6">
        <v>45407</v>
      </c>
      <c r="N230" s="6">
        <v>45679</v>
      </c>
      <c r="O230" s="6">
        <v>45623</v>
      </c>
      <c r="P230" s="7" t="s">
        <v>987</v>
      </c>
      <c r="Q230" s="5">
        <v>57</v>
      </c>
      <c r="R230" s="10">
        <f t="shared" si="17"/>
        <v>228</v>
      </c>
      <c r="S230" s="5">
        <v>42</v>
      </c>
      <c r="T230" s="5" t="s">
        <v>39</v>
      </c>
      <c r="U230" s="11">
        <f t="shared" si="19"/>
        <v>-160</v>
      </c>
    </row>
    <row r="231" spans="1:21" ht="16" x14ac:dyDescent="0.4">
      <c r="A231" s="2" t="s">
        <v>988</v>
      </c>
      <c r="B231" s="3" t="s">
        <v>29</v>
      </c>
      <c r="C231" s="28" t="s">
        <v>30</v>
      </c>
      <c r="D231" s="2" t="s">
        <v>989</v>
      </c>
      <c r="E231" s="4" t="s">
        <v>111</v>
      </c>
      <c r="F231" s="5">
        <v>97</v>
      </c>
      <c r="G231" s="5">
        <v>77</v>
      </c>
      <c r="H231" s="5">
        <v>99</v>
      </c>
      <c r="I231" s="10">
        <v>20</v>
      </c>
      <c r="J231" s="11">
        <f t="shared" si="18"/>
        <v>1940</v>
      </c>
      <c r="K231" s="12" t="str">
        <f t="shared" si="15"/>
        <v>Stock_Sufficient</v>
      </c>
      <c r="L231" s="12">
        <f t="shared" si="16"/>
        <v>1980</v>
      </c>
      <c r="M231" s="6">
        <v>45618</v>
      </c>
      <c r="N231" s="6">
        <v>45406</v>
      </c>
      <c r="O231" s="6">
        <v>45369</v>
      </c>
      <c r="P231" s="7" t="s">
        <v>990</v>
      </c>
      <c r="Q231" s="5">
        <v>74</v>
      </c>
      <c r="R231" s="10">
        <f t="shared" si="17"/>
        <v>1480</v>
      </c>
      <c r="S231" s="5">
        <v>98</v>
      </c>
      <c r="T231" s="5" t="s">
        <v>39</v>
      </c>
      <c r="U231" s="11">
        <f t="shared" si="19"/>
        <v>-460</v>
      </c>
    </row>
    <row r="232" spans="1:21" ht="16" x14ac:dyDescent="0.4">
      <c r="A232" s="2" t="s">
        <v>991</v>
      </c>
      <c r="B232" s="3" t="s">
        <v>230</v>
      </c>
      <c r="C232" s="28" t="s">
        <v>48</v>
      </c>
      <c r="D232" s="2" t="s">
        <v>992</v>
      </c>
      <c r="E232" s="4" t="s">
        <v>268</v>
      </c>
      <c r="F232" s="5">
        <v>90</v>
      </c>
      <c r="G232" s="5">
        <v>92</v>
      </c>
      <c r="H232" s="5">
        <v>56</v>
      </c>
      <c r="I232" s="10">
        <v>2.5</v>
      </c>
      <c r="J232" s="11">
        <f t="shared" si="18"/>
        <v>225</v>
      </c>
      <c r="K232" s="12" t="str">
        <f t="shared" si="15"/>
        <v>Low Stock_Reorder Needed</v>
      </c>
      <c r="L232" s="12">
        <f t="shared" si="16"/>
        <v>140</v>
      </c>
      <c r="M232" s="6">
        <v>45501</v>
      </c>
      <c r="N232" s="6">
        <v>45409</v>
      </c>
      <c r="O232" s="6">
        <v>45365</v>
      </c>
      <c r="P232" s="7" t="s">
        <v>993</v>
      </c>
      <c r="Q232" s="5">
        <v>71</v>
      </c>
      <c r="R232" s="10">
        <f t="shared" si="17"/>
        <v>177.5</v>
      </c>
      <c r="S232" s="5">
        <v>13</v>
      </c>
      <c r="T232" s="5" t="s">
        <v>45</v>
      </c>
      <c r="U232" s="11">
        <f t="shared" si="19"/>
        <v>-47.5</v>
      </c>
    </row>
    <row r="233" spans="1:21" ht="16" x14ac:dyDescent="0.4">
      <c r="A233" s="2" t="s">
        <v>994</v>
      </c>
      <c r="B233" s="3" t="s">
        <v>29</v>
      </c>
      <c r="C233" s="28" t="s">
        <v>30</v>
      </c>
      <c r="D233" s="2" t="s">
        <v>995</v>
      </c>
      <c r="E233" s="4" t="s">
        <v>996</v>
      </c>
      <c r="F233" s="5">
        <v>46</v>
      </c>
      <c r="G233" s="5">
        <v>31</v>
      </c>
      <c r="H233" s="5">
        <v>89</v>
      </c>
      <c r="I233" s="10">
        <v>20</v>
      </c>
      <c r="J233" s="11">
        <f t="shared" si="18"/>
        <v>920</v>
      </c>
      <c r="K233" s="12" t="str">
        <f t="shared" si="15"/>
        <v>Stock_Sufficient</v>
      </c>
      <c r="L233" s="12">
        <f t="shared" si="16"/>
        <v>1780</v>
      </c>
      <c r="M233" s="6">
        <v>45661</v>
      </c>
      <c r="N233" s="6">
        <v>45372</v>
      </c>
      <c r="O233" s="6">
        <v>45357</v>
      </c>
      <c r="P233" s="7" t="s">
        <v>997</v>
      </c>
      <c r="Q233" s="5">
        <v>59</v>
      </c>
      <c r="R233" s="10">
        <f t="shared" si="17"/>
        <v>1180</v>
      </c>
      <c r="S233" s="5">
        <v>65</v>
      </c>
      <c r="T233" s="5" t="s">
        <v>39</v>
      </c>
      <c r="U233" s="11">
        <f t="shared" si="19"/>
        <v>260</v>
      </c>
    </row>
    <row r="234" spans="1:21" ht="16" x14ac:dyDescent="0.4">
      <c r="A234" s="2" t="s">
        <v>998</v>
      </c>
      <c r="B234" s="3" t="s">
        <v>350</v>
      </c>
      <c r="C234" s="28" t="s">
        <v>48</v>
      </c>
      <c r="D234" s="2" t="s">
        <v>999</v>
      </c>
      <c r="E234" s="4" t="s">
        <v>1000</v>
      </c>
      <c r="F234" s="5">
        <v>40</v>
      </c>
      <c r="G234" s="5">
        <v>8</v>
      </c>
      <c r="H234" s="5">
        <v>98</v>
      </c>
      <c r="I234" s="10">
        <v>4</v>
      </c>
      <c r="J234" s="11">
        <f t="shared" si="18"/>
        <v>160</v>
      </c>
      <c r="K234" s="12" t="str">
        <f t="shared" si="15"/>
        <v>Stock_Sufficient</v>
      </c>
      <c r="L234" s="12">
        <f t="shared" si="16"/>
        <v>392</v>
      </c>
      <c r="M234" s="6">
        <v>45499</v>
      </c>
      <c r="N234" s="6">
        <v>45694</v>
      </c>
      <c r="O234" s="6">
        <v>45452</v>
      </c>
      <c r="P234" s="7" t="s">
        <v>1001</v>
      </c>
      <c r="Q234" s="5">
        <v>86</v>
      </c>
      <c r="R234" s="10">
        <f t="shared" si="17"/>
        <v>344</v>
      </c>
      <c r="S234" s="5">
        <v>12</v>
      </c>
      <c r="T234" s="5" t="s">
        <v>27</v>
      </c>
      <c r="U234" s="11">
        <f t="shared" si="19"/>
        <v>184</v>
      </c>
    </row>
    <row r="235" spans="1:21" ht="16" x14ac:dyDescent="0.4">
      <c r="A235" s="2" t="s">
        <v>1002</v>
      </c>
      <c r="B235" s="3" t="s">
        <v>1003</v>
      </c>
      <c r="C235" s="28" t="s">
        <v>48</v>
      </c>
      <c r="D235" s="2" t="s">
        <v>1004</v>
      </c>
      <c r="E235" s="4" t="s">
        <v>1005</v>
      </c>
      <c r="F235" s="5">
        <v>77</v>
      </c>
      <c r="G235" s="5">
        <v>52</v>
      </c>
      <c r="H235" s="5">
        <v>28</v>
      </c>
      <c r="I235" s="10">
        <v>4</v>
      </c>
      <c r="J235" s="11">
        <f t="shared" si="18"/>
        <v>308</v>
      </c>
      <c r="K235" s="12" t="str">
        <f t="shared" si="15"/>
        <v>Stock_Sufficient</v>
      </c>
      <c r="L235" s="12">
        <f t="shared" si="16"/>
        <v>112</v>
      </c>
      <c r="M235" s="6">
        <v>45645</v>
      </c>
      <c r="N235" s="6">
        <v>45615</v>
      </c>
      <c r="O235" s="6">
        <v>45413</v>
      </c>
      <c r="P235" s="7" t="s">
        <v>1006</v>
      </c>
      <c r="Q235" s="5">
        <v>48</v>
      </c>
      <c r="R235" s="10">
        <f t="shared" si="17"/>
        <v>192</v>
      </c>
      <c r="S235" s="5">
        <v>43</v>
      </c>
      <c r="T235" s="5" t="s">
        <v>45</v>
      </c>
      <c r="U235" s="11">
        <f t="shared" si="19"/>
        <v>-116</v>
      </c>
    </row>
    <row r="236" spans="1:21" ht="16" x14ac:dyDescent="0.4">
      <c r="A236" s="2" t="s">
        <v>1007</v>
      </c>
      <c r="B236" s="3" t="s">
        <v>109</v>
      </c>
      <c r="C236" s="28" t="s">
        <v>23</v>
      </c>
      <c r="D236" s="2" t="s">
        <v>1008</v>
      </c>
      <c r="E236" s="4" t="s">
        <v>940</v>
      </c>
      <c r="F236" s="5">
        <v>62</v>
      </c>
      <c r="G236" s="5">
        <v>79</v>
      </c>
      <c r="H236" s="5">
        <v>23</v>
      </c>
      <c r="I236" s="10">
        <v>1.5</v>
      </c>
      <c r="J236" s="11">
        <f t="shared" si="18"/>
        <v>93</v>
      </c>
      <c r="K236" s="12" t="str">
        <f t="shared" si="15"/>
        <v>Low Stock_Reorder Needed</v>
      </c>
      <c r="L236" s="12">
        <f t="shared" si="16"/>
        <v>34.5</v>
      </c>
      <c r="M236" s="6">
        <v>45495</v>
      </c>
      <c r="N236" s="6">
        <v>45350</v>
      </c>
      <c r="O236" s="6">
        <v>45583</v>
      </c>
      <c r="P236" s="7" t="s">
        <v>1009</v>
      </c>
      <c r="Q236" s="5">
        <v>32</v>
      </c>
      <c r="R236" s="10">
        <f t="shared" si="17"/>
        <v>48</v>
      </c>
      <c r="S236" s="5">
        <v>80</v>
      </c>
      <c r="T236" s="5" t="s">
        <v>45</v>
      </c>
      <c r="U236" s="11">
        <f t="shared" si="19"/>
        <v>-45</v>
      </c>
    </row>
    <row r="237" spans="1:21" ht="16" x14ac:dyDescent="0.4">
      <c r="A237" s="2" t="s">
        <v>1010</v>
      </c>
      <c r="B237" s="3" t="s">
        <v>192</v>
      </c>
      <c r="C237" s="28" t="s">
        <v>30</v>
      </c>
      <c r="D237" s="2" t="s">
        <v>1011</v>
      </c>
      <c r="E237" s="4" t="s">
        <v>1012</v>
      </c>
      <c r="F237" s="5">
        <v>59</v>
      </c>
      <c r="G237" s="5">
        <v>17</v>
      </c>
      <c r="H237" s="5">
        <v>1</v>
      </c>
      <c r="I237" s="10">
        <v>30</v>
      </c>
      <c r="J237" s="11">
        <f t="shared" si="18"/>
        <v>1770</v>
      </c>
      <c r="K237" s="12" t="str">
        <f t="shared" si="15"/>
        <v>Stock_Sufficient</v>
      </c>
      <c r="L237" s="12">
        <f t="shared" si="16"/>
        <v>30</v>
      </c>
      <c r="M237" s="6">
        <v>45494</v>
      </c>
      <c r="N237" s="6">
        <v>45530</v>
      </c>
      <c r="O237" s="6">
        <v>45629</v>
      </c>
      <c r="P237" s="7" t="s">
        <v>1013</v>
      </c>
      <c r="Q237" s="5">
        <v>69</v>
      </c>
      <c r="R237" s="10">
        <f t="shared" si="17"/>
        <v>2070</v>
      </c>
      <c r="S237" s="5">
        <v>82</v>
      </c>
      <c r="T237" s="5" t="s">
        <v>45</v>
      </c>
      <c r="U237" s="11">
        <f t="shared" si="19"/>
        <v>300</v>
      </c>
    </row>
    <row r="238" spans="1:21" ht="16" x14ac:dyDescent="0.4">
      <c r="A238" s="2" t="s">
        <v>1014</v>
      </c>
      <c r="B238" s="3" t="s">
        <v>441</v>
      </c>
      <c r="C238" s="28" t="s">
        <v>48</v>
      </c>
      <c r="D238" s="2" t="s">
        <v>1015</v>
      </c>
      <c r="E238" s="4" t="s">
        <v>208</v>
      </c>
      <c r="F238" s="5">
        <v>23</v>
      </c>
      <c r="G238" s="5">
        <v>38</v>
      </c>
      <c r="H238" s="5">
        <v>54</v>
      </c>
      <c r="I238" s="10">
        <v>10</v>
      </c>
      <c r="J238" s="11">
        <f t="shared" si="18"/>
        <v>230</v>
      </c>
      <c r="K238" s="12" t="str">
        <f t="shared" si="15"/>
        <v>Low Stock_Reorder Needed</v>
      </c>
      <c r="L238" s="12">
        <f t="shared" si="16"/>
        <v>540</v>
      </c>
      <c r="M238" s="6">
        <v>45674</v>
      </c>
      <c r="N238" s="6">
        <v>45487</v>
      </c>
      <c r="O238" s="6">
        <v>45397</v>
      </c>
      <c r="P238" s="7" t="s">
        <v>1016</v>
      </c>
      <c r="Q238" s="5">
        <v>40</v>
      </c>
      <c r="R238" s="10">
        <f t="shared" si="17"/>
        <v>400</v>
      </c>
      <c r="S238" s="5">
        <v>15</v>
      </c>
      <c r="T238" s="5" t="s">
        <v>45</v>
      </c>
      <c r="U238" s="11">
        <f t="shared" si="19"/>
        <v>170</v>
      </c>
    </row>
    <row r="239" spans="1:21" ht="16" x14ac:dyDescent="0.4">
      <c r="A239" s="2" t="s">
        <v>1017</v>
      </c>
      <c r="B239" s="3" t="s">
        <v>984</v>
      </c>
      <c r="C239" s="28" t="s">
        <v>90</v>
      </c>
      <c r="D239" s="2" t="s">
        <v>1018</v>
      </c>
      <c r="E239" s="4" t="s">
        <v>548</v>
      </c>
      <c r="F239" s="5">
        <v>39</v>
      </c>
      <c r="G239" s="5">
        <v>16</v>
      </c>
      <c r="H239" s="5">
        <v>57</v>
      </c>
      <c r="I239" s="10">
        <v>4</v>
      </c>
      <c r="J239" s="11">
        <f t="shared" si="18"/>
        <v>156</v>
      </c>
      <c r="K239" s="12" t="str">
        <f t="shared" si="15"/>
        <v>Stock_Sufficient</v>
      </c>
      <c r="L239" s="12">
        <f t="shared" si="16"/>
        <v>228</v>
      </c>
      <c r="M239" s="6">
        <v>45647</v>
      </c>
      <c r="N239" s="6">
        <v>45391</v>
      </c>
      <c r="O239" s="6">
        <v>45465</v>
      </c>
      <c r="P239" s="7" t="s">
        <v>1019</v>
      </c>
      <c r="Q239" s="5">
        <v>98</v>
      </c>
      <c r="R239" s="10">
        <f t="shared" si="17"/>
        <v>392</v>
      </c>
      <c r="S239" s="5">
        <v>12</v>
      </c>
      <c r="T239" s="5" t="s">
        <v>45</v>
      </c>
      <c r="U239" s="11">
        <f t="shared" si="19"/>
        <v>236</v>
      </c>
    </row>
    <row r="240" spans="1:21" ht="16" x14ac:dyDescent="0.4">
      <c r="A240" s="2" t="s">
        <v>1020</v>
      </c>
      <c r="B240" s="3" t="s">
        <v>613</v>
      </c>
      <c r="C240" s="28" t="s">
        <v>65</v>
      </c>
      <c r="D240" s="2" t="s">
        <v>1021</v>
      </c>
      <c r="E240" s="4" t="s">
        <v>189</v>
      </c>
      <c r="F240" s="5">
        <v>68</v>
      </c>
      <c r="G240" s="5">
        <v>29</v>
      </c>
      <c r="H240" s="5">
        <v>31</v>
      </c>
      <c r="I240" s="10">
        <v>7</v>
      </c>
      <c r="J240" s="11">
        <f t="shared" si="18"/>
        <v>476</v>
      </c>
      <c r="K240" s="12" t="str">
        <f t="shared" si="15"/>
        <v>Stock_Sufficient</v>
      </c>
      <c r="L240" s="12">
        <f t="shared" si="16"/>
        <v>217</v>
      </c>
      <c r="M240" s="6">
        <v>45510</v>
      </c>
      <c r="N240" s="6">
        <v>45446</v>
      </c>
      <c r="O240" s="6">
        <v>45544</v>
      </c>
      <c r="P240" s="7" t="s">
        <v>1022</v>
      </c>
      <c r="Q240" s="5">
        <v>53</v>
      </c>
      <c r="R240" s="10">
        <f t="shared" si="17"/>
        <v>371</v>
      </c>
      <c r="S240" s="5">
        <v>20</v>
      </c>
      <c r="T240" s="5" t="s">
        <v>39</v>
      </c>
      <c r="U240" s="11">
        <f t="shared" si="19"/>
        <v>-105</v>
      </c>
    </row>
    <row r="241" spans="1:21" ht="16" x14ac:dyDescent="0.4">
      <c r="A241" s="2" t="s">
        <v>1023</v>
      </c>
      <c r="B241" s="3" t="s">
        <v>502</v>
      </c>
      <c r="C241" s="28" t="s">
        <v>23</v>
      </c>
      <c r="D241" s="2" t="s">
        <v>1024</v>
      </c>
      <c r="E241" s="4" t="s">
        <v>1025</v>
      </c>
      <c r="F241" s="5">
        <v>75</v>
      </c>
      <c r="G241" s="5">
        <v>46</v>
      </c>
      <c r="H241" s="5">
        <v>75</v>
      </c>
      <c r="I241" s="10">
        <v>9.5</v>
      </c>
      <c r="J241" s="11">
        <f t="shared" si="18"/>
        <v>712.5</v>
      </c>
      <c r="K241" s="12" t="str">
        <f t="shared" si="15"/>
        <v>Stock_Sufficient</v>
      </c>
      <c r="L241" s="12">
        <f t="shared" si="16"/>
        <v>712.5</v>
      </c>
      <c r="M241" s="6">
        <v>45530</v>
      </c>
      <c r="N241" s="6">
        <v>45565</v>
      </c>
      <c r="O241" s="6">
        <v>45591</v>
      </c>
      <c r="P241" s="7" t="s">
        <v>1026</v>
      </c>
      <c r="Q241" s="5">
        <v>43</v>
      </c>
      <c r="R241" s="10">
        <f t="shared" si="17"/>
        <v>408.5</v>
      </c>
      <c r="S241" s="5">
        <v>77</v>
      </c>
      <c r="T241" s="5" t="s">
        <v>39</v>
      </c>
      <c r="U241" s="11">
        <f t="shared" si="19"/>
        <v>-304</v>
      </c>
    </row>
    <row r="242" spans="1:21" ht="16" x14ac:dyDescent="0.4">
      <c r="A242" s="2" t="s">
        <v>1027</v>
      </c>
      <c r="B242" s="3" t="s">
        <v>446</v>
      </c>
      <c r="C242" s="28" t="s">
        <v>90</v>
      </c>
      <c r="D242" s="2" t="s">
        <v>1028</v>
      </c>
      <c r="E242" s="4" t="s">
        <v>1029</v>
      </c>
      <c r="F242" s="5">
        <v>96</v>
      </c>
      <c r="G242" s="5">
        <v>16</v>
      </c>
      <c r="H242" s="5">
        <v>48</v>
      </c>
      <c r="I242" s="10">
        <v>5</v>
      </c>
      <c r="J242" s="11">
        <f t="shared" si="18"/>
        <v>480</v>
      </c>
      <c r="K242" s="12" t="str">
        <f t="shared" si="15"/>
        <v>Stock_Sufficient</v>
      </c>
      <c r="L242" s="12">
        <f t="shared" si="16"/>
        <v>240</v>
      </c>
      <c r="M242" s="6">
        <v>45600</v>
      </c>
      <c r="N242" s="6">
        <v>45386</v>
      </c>
      <c r="O242" s="6">
        <v>45683</v>
      </c>
      <c r="P242" s="7" t="s">
        <v>1030</v>
      </c>
      <c r="Q242" s="5">
        <v>45</v>
      </c>
      <c r="R242" s="10">
        <f t="shared" si="17"/>
        <v>225</v>
      </c>
      <c r="S242" s="5">
        <v>68</v>
      </c>
      <c r="T242" s="5" t="s">
        <v>45</v>
      </c>
      <c r="U242" s="11">
        <f t="shared" si="19"/>
        <v>-255</v>
      </c>
    </row>
    <row r="243" spans="1:21" ht="16" x14ac:dyDescent="0.4">
      <c r="A243" s="2" t="s">
        <v>1031</v>
      </c>
      <c r="B243" s="3" t="s">
        <v>197</v>
      </c>
      <c r="C243" s="28" t="s">
        <v>133</v>
      </c>
      <c r="D243" s="2" t="s">
        <v>1032</v>
      </c>
      <c r="E243" s="4" t="s">
        <v>1033</v>
      </c>
      <c r="F243" s="5">
        <v>17</v>
      </c>
      <c r="G243" s="5">
        <v>38</v>
      </c>
      <c r="H243" s="5">
        <v>93</v>
      </c>
      <c r="I243" s="10">
        <v>9</v>
      </c>
      <c r="J243" s="11">
        <f t="shared" si="18"/>
        <v>153</v>
      </c>
      <c r="K243" s="12" t="str">
        <f t="shared" si="15"/>
        <v>Low Stock_Reorder Needed</v>
      </c>
      <c r="L243" s="12">
        <f t="shared" si="16"/>
        <v>837</v>
      </c>
      <c r="M243" s="6">
        <v>45702</v>
      </c>
      <c r="N243" s="6">
        <v>45524</v>
      </c>
      <c r="O243" s="6">
        <v>45501</v>
      </c>
      <c r="P243" s="7" t="s">
        <v>1034</v>
      </c>
      <c r="Q243" s="5">
        <v>100</v>
      </c>
      <c r="R243" s="10">
        <f t="shared" si="17"/>
        <v>900</v>
      </c>
      <c r="S243" s="5">
        <v>63</v>
      </c>
      <c r="T243" s="5" t="s">
        <v>45</v>
      </c>
      <c r="U243" s="11">
        <f t="shared" si="19"/>
        <v>747</v>
      </c>
    </row>
    <row r="244" spans="1:21" ht="16" x14ac:dyDescent="0.4">
      <c r="A244" s="2" t="s">
        <v>1035</v>
      </c>
      <c r="B244" s="3" t="s">
        <v>75</v>
      </c>
      <c r="C244" s="28" t="s">
        <v>65</v>
      </c>
      <c r="D244" s="2" t="s">
        <v>1036</v>
      </c>
      <c r="E244" s="4" t="s">
        <v>1037</v>
      </c>
      <c r="F244" s="5">
        <v>23</v>
      </c>
      <c r="G244" s="5">
        <v>38</v>
      </c>
      <c r="H244" s="5">
        <v>25</v>
      </c>
      <c r="I244" s="10">
        <v>1</v>
      </c>
      <c r="J244" s="11">
        <f t="shared" si="18"/>
        <v>23</v>
      </c>
      <c r="K244" s="12" t="str">
        <f t="shared" si="15"/>
        <v>Low Stock_Reorder Needed</v>
      </c>
      <c r="L244" s="12">
        <f t="shared" si="16"/>
        <v>25</v>
      </c>
      <c r="M244" s="6">
        <v>45425</v>
      </c>
      <c r="N244" s="6">
        <v>45709</v>
      </c>
      <c r="O244" s="6">
        <v>45672</v>
      </c>
      <c r="P244" s="7" t="s">
        <v>1038</v>
      </c>
      <c r="Q244" s="5">
        <v>84</v>
      </c>
      <c r="R244" s="10">
        <f t="shared" si="17"/>
        <v>84</v>
      </c>
      <c r="S244" s="5">
        <v>78</v>
      </c>
      <c r="T244" s="5" t="s">
        <v>27</v>
      </c>
      <c r="U244" s="11">
        <f t="shared" si="19"/>
        <v>61</v>
      </c>
    </row>
    <row r="245" spans="1:21" ht="16" x14ac:dyDescent="0.4">
      <c r="A245" s="2" t="s">
        <v>1039</v>
      </c>
      <c r="B245" s="3" t="s">
        <v>555</v>
      </c>
      <c r="C245" s="28" t="s">
        <v>48</v>
      </c>
      <c r="D245" s="2" t="s">
        <v>1040</v>
      </c>
      <c r="E245" s="4" t="s">
        <v>383</v>
      </c>
      <c r="F245" s="5">
        <v>15</v>
      </c>
      <c r="G245" s="5">
        <v>27</v>
      </c>
      <c r="H245" s="5">
        <v>21</v>
      </c>
      <c r="I245" s="10">
        <v>4</v>
      </c>
      <c r="J245" s="11">
        <f t="shared" si="18"/>
        <v>60</v>
      </c>
      <c r="K245" s="12" t="str">
        <f t="shared" si="15"/>
        <v>Low Stock_Reorder Needed</v>
      </c>
      <c r="L245" s="12">
        <f t="shared" si="16"/>
        <v>84</v>
      </c>
      <c r="M245" s="6">
        <v>45454</v>
      </c>
      <c r="N245" s="6">
        <v>45709</v>
      </c>
      <c r="O245" s="6">
        <v>45538</v>
      </c>
      <c r="P245" s="7" t="s">
        <v>1041</v>
      </c>
      <c r="Q245" s="5">
        <v>37</v>
      </c>
      <c r="R245" s="10">
        <f t="shared" si="17"/>
        <v>148</v>
      </c>
      <c r="S245" s="5">
        <v>67</v>
      </c>
      <c r="T245" s="5" t="s">
        <v>39</v>
      </c>
      <c r="U245" s="11">
        <f t="shared" si="19"/>
        <v>88</v>
      </c>
    </row>
    <row r="246" spans="1:21" ht="16" x14ac:dyDescent="0.4">
      <c r="A246" s="2" t="s">
        <v>1042</v>
      </c>
      <c r="B246" s="3" t="s">
        <v>1043</v>
      </c>
      <c r="C246" s="28" t="s">
        <v>133</v>
      </c>
      <c r="D246" s="2" t="s">
        <v>1044</v>
      </c>
      <c r="E246" s="4" t="s">
        <v>1045</v>
      </c>
      <c r="F246" s="5">
        <v>71</v>
      </c>
      <c r="G246" s="5">
        <v>7</v>
      </c>
      <c r="H246" s="5">
        <v>6</v>
      </c>
      <c r="I246" s="10">
        <v>7.5</v>
      </c>
      <c r="J246" s="11">
        <f t="shared" si="18"/>
        <v>532.5</v>
      </c>
      <c r="K246" s="12" t="str">
        <f t="shared" si="15"/>
        <v>Stock_Sufficient</v>
      </c>
      <c r="L246" s="12">
        <f t="shared" si="16"/>
        <v>45</v>
      </c>
      <c r="M246" s="6">
        <v>45533</v>
      </c>
      <c r="N246" s="6">
        <v>45628</v>
      </c>
      <c r="O246" s="6">
        <v>45539</v>
      </c>
      <c r="P246" s="7" t="s">
        <v>1046</v>
      </c>
      <c r="Q246" s="5">
        <v>52</v>
      </c>
      <c r="R246" s="10">
        <f t="shared" si="17"/>
        <v>390</v>
      </c>
      <c r="S246" s="5">
        <v>68</v>
      </c>
      <c r="T246" s="5" t="s">
        <v>39</v>
      </c>
      <c r="U246" s="11">
        <f t="shared" si="19"/>
        <v>-142.5</v>
      </c>
    </row>
    <row r="247" spans="1:21" ht="16" x14ac:dyDescent="0.4">
      <c r="A247" s="2" t="s">
        <v>1047</v>
      </c>
      <c r="B247" s="3" t="s">
        <v>64</v>
      </c>
      <c r="C247" s="28" t="s">
        <v>65</v>
      </c>
      <c r="D247" s="2" t="s">
        <v>1048</v>
      </c>
      <c r="E247" s="4" t="s">
        <v>1049</v>
      </c>
      <c r="F247" s="5">
        <v>97</v>
      </c>
      <c r="G247" s="5">
        <v>26</v>
      </c>
      <c r="H247" s="5">
        <v>15</v>
      </c>
      <c r="I247" s="10">
        <v>2.5</v>
      </c>
      <c r="J247" s="11">
        <f t="shared" si="18"/>
        <v>242.5</v>
      </c>
      <c r="K247" s="12" t="str">
        <f t="shared" si="15"/>
        <v>Stock_Sufficient</v>
      </c>
      <c r="L247" s="12">
        <f t="shared" si="16"/>
        <v>37.5</v>
      </c>
      <c r="M247" s="6">
        <v>45525</v>
      </c>
      <c r="N247" s="6">
        <v>45691</v>
      </c>
      <c r="O247" s="6">
        <v>45606</v>
      </c>
      <c r="P247" s="7" t="s">
        <v>1050</v>
      </c>
      <c r="Q247" s="5">
        <v>33</v>
      </c>
      <c r="R247" s="10">
        <f t="shared" si="17"/>
        <v>82.5</v>
      </c>
      <c r="S247" s="5">
        <v>58</v>
      </c>
      <c r="T247" s="5" t="s">
        <v>27</v>
      </c>
      <c r="U247" s="11">
        <f t="shared" si="19"/>
        <v>-160</v>
      </c>
    </row>
    <row r="248" spans="1:21" ht="16" x14ac:dyDescent="0.4">
      <c r="A248" s="2" t="s">
        <v>1051</v>
      </c>
      <c r="B248" s="3" t="s">
        <v>215</v>
      </c>
      <c r="C248" s="28" t="s">
        <v>48</v>
      </c>
      <c r="D248" s="2" t="s">
        <v>1052</v>
      </c>
      <c r="E248" s="4" t="s">
        <v>272</v>
      </c>
      <c r="F248" s="5">
        <v>29</v>
      </c>
      <c r="G248" s="5">
        <v>18</v>
      </c>
      <c r="H248" s="5">
        <v>86</v>
      </c>
      <c r="I248" s="10">
        <v>2.5</v>
      </c>
      <c r="J248" s="11">
        <f t="shared" si="18"/>
        <v>72.5</v>
      </c>
      <c r="K248" s="12" t="str">
        <f t="shared" si="15"/>
        <v>Stock_Sufficient</v>
      </c>
      <c r="L248" s="12">
        <f t="shared" si="16"/>
        <v>215</v>
      </c>
      <c r="M248" s="6">
        <v>45589</v>
      </c>
      <c r="N248" s="6">
        <v>45612</v>
      </c>
      <c r="O248" s="6">
        <v>45423</v>
      </c>
      <c r="P248" s="7" t="s">
        <v>1053</v>
      </c>
      <c r="Q248" s="5">
        <v>53</v>
      </c>
      <c r="R248" s="10">
        <f t="shared" si="17"/>
        <v>132.5</v>
      </c>
      <c r="S248" s="5">
        <v>69</v>
      </c>
      <c r="T248" s="5" t="s">
        <v>45</v>
      </c>
      <c r="U248" s="11">
        <f t="shared" si="19"/>
        <v>60</v>
      </c>
    </row>
    <row r="249" spans="1:21" ht="16" x14ac:dyDescent="0.4">
      <c r="A249" s="2" t="s">
        <v>1054</v>
      </c>
      <c r="B249" s="3" t="s">
        <v>369</v>
      </c>
      <c r="C249" s="28" t="s">
        <v>48</v>
      </c>
      <c r="D249" s="2" t="s">
        <v>1055</v>
      </c>
      <c r="E249" s="4" t="s">
        <v>1025</v>
      </c>
      <c r="F249" s="5">
        <v>46</v>
      </c>
      <c r="G249" s="5">
        <v>64</v>
      </c>
      <c r="H249" s="5">
        <v>17</v>
      </c>
      <c r="I249" s="10">
        <v>4.5999999999999996</v>
      </c>
      <c r="J249" s="11">
        <f t="shared" si="18"/>
        <v>211.6</v>
      </c>
      <c r="K249" s="12" t="str">
        <f t="shared" si="15"/>
        <v>Low Stock_Reorder Needed</v>
      </c>
      <c r="L249" s="12">
        <f t="shared" si="16"/>
        <v>78.199999999999989</v>
      </c>
      <c r="M249" s="6">
        <v>45352</v>
      </c>
      <c r="N249" s="6">
        <v>45663</v>
      </c>
      <c r="O249" s="6">
        <v>45688</v>
      </c>
      <c r="P249" s="7" t="s">
        <v>1056</v>
      </c>
      <c r="Q249" s="5">
        <v>96</v>
      </c>
      <c r="R249" s="10">
        <f t="shared" si="17"/>
        <v>441.59999999999997</v>
      </c>
      <c r="S249" s="5">
        <v>55</v>
      </c>
      <c r="T249" s="5" t="s">
        <v>27</v>
      </c>
      <c r="U249" s="11">
        <f t="shared" si="19"/>
        <v>229.99999999999997</v>
      </c>
    </row>
    <row r="250" spans="1:21" ht="16" x14ac:dyDescent="0.4">
      <c r="A250" s="2" t="s">
        <v>1057</v>
      </c>
      <c r="B250" s="3" t="s">
        <v>451</v>
      </c>
      <c r="C250" s="28" t="s">
        <v>65</v>
      </c>
      <c r="D250" s="2" t="s">
        <v>1058</v>
      </c>
      <c r="E250" s="4" t="s">
        <v>803</v>
      </c>
      <c r="F250" s="5">
        <v>76</v>
      </c>
      <c r="G250" s="5">
        <v>15</v>
      </c>
      <c r="H250" s="5">
        <v>99</v>
      </c>
      <c r="I250" s="10">
        <v>9.5</v>
      </c>
      <c r="J250" s="11">
        <f t="shared" si="18"/>
        <v>722</v>
      </c>
      <c r="K250" s="12" t="str">
        <f t="shared" si="15"/>
        <v>Stock_Sufficient</v>
      </c>
      <c r="L250" s="12">
        <f t="shared" si="16"/>
        <v>940.5</v>
      </c>
      <c r="M250" s="6">
        <v>45689</v>
      </c>
      <c r="N250" s="6">
        <v>45499</v>
      </c>
      <c r="O250" s="6">
        <v>45418</v>
      </c>
      <c r="P250" s="7" t="s">
        <v>1059</v>
      </c>
      <c r="Q250" s="5">
        <v>60</v>
      </c>
      <c r="R250" s="10">
        <f t="shared" si="17"/>
        <v>570</v>
      </c>
      <c r="S250" s="5">
        <v>49</v>
      </c>
      <c r="T250" s="5" t="s">
        <v>27</v>
      </c>
      <c r="U250" s="11">
        <f t="shared" si="19"/>
        <v>-152</v>
      </c>
    </row>
    <row r="251" spans="1:21" ht="16" x14ac:dyDescent="0.4">
      <c r="A251" s="2" t="s">
        <v>1060</v>
      </c>
      <c r="B251" s="3" t="s">
        <v>215</v>
      </c>
      <c r="C251" s="28" t="s">
        <v>48</v>
      </c>
      <c r="D251" s="2" t="s">
        <v>1061</v>
      </c>
      <c r="E251" s="4" t="s">
        <v>803</v>
      </c>
      <c r="F251" s="5">
        <v>59</v>
      </c>
      <c r="G251" s="5">
        <v>91</v>
      </c>
      <c r="H251" s="5">
        <v>24</v>
      </c>
      <c r="I251" s="10">
        <v>2.5</v>
      </c>
      <c r="J251" s="11">
        <f t="shared" si="18"/>
        <v>147.5</v>
      </c>
      <c r="K251" s="12" t="str">
        <f t="shared" si="15"/>
        <v>Low Stock_Reorder Needed</v>
      </c>
      <c r="L251" s="12">
        <f t="shared" si="16"/>
        <v>60</v>
      </c>
      <c r="M251" s="6">
        <v>45592</v>
      </c>
      <c r="N251" s="6">
        <v>45472</v>
      </c>
      <c r="O251" s="6">
        <v>45642</v>
      </c>
      <c r="P251" s="7" t="s">
        <v>1062</v>
      </c>
      <c r="Q251" s="5">
        <v>54</v>
      </c>
      <c r="R251" s="10">
        <f t="shared" si="17"/>
        <v>135</v>
      </c>
      <c r="S251" s="5">
        <v>87</v>
      </c>
      <c r="T251" s="5" t="s">
        <v>45</v>
      </c>
      <c r="U251" s="11">
        <f t="shared" si="19"/>
        <v>-12.5</v>
      </c>
    </row>
    <row r="252" spans="1:21" ht="16" x14ac:dyDescent="0.4">
      <c r="A252" s="2" t="s">
        <v>1063</v>
      </c>
      <c r="B252" s="3" t="s">
        <v>275</v>
      </c>
      <c r="C252" s="28" t="s">
        <v>48</v>
      </c>
      <c r="D252" s="2" t="s">
        <v>1064</v>
      </c>
      <c r="E252" s="4" t="s">
        <v>1065</v>
      </c>
      <c r="F252" s="5">
        <v>92</v>
      </c>
      <c r="G252" s="5">
        <v>54</v>
      </c>
      <c r="H252" s="5">
        <v>73</v>
      </c>
      <c r="I252" s="10">
        <v>3.1</v>
      </c>
      <c r="J252" s="11">
        <f t="shared" si="18"/>
        <v>285.2</v>
      </c>
      <c r="K252" s="12" t="str">
        <f t="shared" si="15"/>
        <v>Stock_Sufficient</v>
      </c>
      <c r="L252" s="12">
        <f t="shared" si="16"/>
        <v>226.3</v>
      </c>
      <c r="M252" s="6">
        <v>45695</v>
      </c>
      <c r="N252" s="6">
        <v>45674</v>
      </c>
      <c r="O252" s="6">
        <v>45639</v>
      </c>
      <c r="P252" s="7" t="s">
        <v>1066</v>
      </c>
      <c r="Q252" s="5">
        <v>79</v>
      </c>
      <c r="R252" s="10">
        <f t="shared" si="17"/>
        <v>244.9</v>
      </c>
      <c r="S252" s="5">
        <v>1</v>
      </c>
      <c r="T252" s="5" t="s">
        <v>39</v>
      </c>
      <c r="U252" s="11">
        <f t="shared" si="19"/>
        <v>-40.299999999999983</v>
      </c>
    </row>
    <row r="253" spans="1:21" ht="16" x14ac:dyDescent="0.4">
      <c r="A253" s="2" t="s">
        <v>1067</v>
      </c>
      <c r="B253" s="3" t="s">
        <v>257</v>
      </c>
      <c r="C253" s="28" t="s">
        <v>48</v>
      </c>
      <c r="D253" s="2" t="s">
        <v>1068</v>
      </c>
      <c r="E253" s="4" t="s">
        <v>948</v>
      </c>
      <c r="F253" s="5">
        <v>28</v>
      </c>
      <c r="G253" s="5">
        <v>27</v>
      </c>
      <c r="H253" s="5">
        <v>22</v>
      </c>
      <c r="I253" s="10">
        <v>6</v>
      </c>
      <c r="J253" s="11">
        <f t="shared" si="18"/>
        <v>168</v>
      </c>
      <c r="K253" s="12" t="str">
        <f t="shared" si="15"/>
        <v>Stock_Sufficient</v>
      </c>
      <c r="L253" s="12">
        <f t="shared" si="16"/>
        <v>132</v>
      </c>
      <c r="M253" s="6">
        <v>45427</v>
      </c>
      <c r="N253" s="6">
        <v>45519</v>
      </c>
      <c r="O253" s="6">
        <v>45423</v>
      </c>
      <c r="P253" s="7" t="s">
        <v>1069</v>
      </c>
      <c r="Q253" s="5">
        <v>70</v>
      </c>
      <c r="R253" s="10">
        <f t="shared" si="17"/>
        <v>420</v>
      </c>
      <c r="S253" s="5">
        <v>30</v>
      </c>
      <c r="T253" s="5" t="s">
        <v>27</v>
      </c>
      <c r="U253" s="11">
        <f t="shared" si="19"/>
        <v>252</v>
      </c>
    </row>
    <row r="254" spans="1:21" ht="16" x14ac:dyDescent="0.4">
      <c r="A254" s="2" t="s">
        <v>1070</v>
      </c>
      <c r="B254" s="3" t="s">
        <v>529</v>
      </c>
      <c r="C254" s="28" t="s">
        <v>48</v>
      </c>
      <c r="D254" s="2" t="s">
        <v>1071</v>
      </c>
      <c r="E254" s="4" t="s">
        <v>1072</v>
      </c>
      <c r="F254" s="5">
        <v>19</v>
      </c>
      <c r="G254" s="5">
        <v>47</v>
      </c>
      <c r="H254" s="5">
        <v>25</v>
      </c>
      <c r="I254" s="10">
        <v>5</v>
      </c>
      <c r="J254" s="11">
        <f t="shared" si="18"/>
        <v>95</v>
      </c>
      <c r="K254" s="12" t="str">
        <f t="shared" si="15"/>
        <v>Low Stock_Reorder Needed</v>
      </c>
      <c r="L254" s="12">
        <f t="shared" si="16"/>
        <v>125</v>
      </c>
      <c r="M254" s="6">
        <v>45644</v>
      </c>
      <c r="N254" s="6">
        <v>45712</v>
      </c>
      <c r="O254" s="6">
        <v>45685</v>
      </c>
      <c r="P254" s="7" t="s">
        <v>1073</v>
      </c>
      <c r="Q254" s="5">
        <v>96</v>
      </c>
      <c r="R254" s="10">
        <f t="shared" si="17"/>
        <v>480</v>
      </c>
      <c r="S254" s="5">
        <v>37</v>
      </c>
      <c r="T254" s="5" t="s">
        <v>27</v>
      </c>
      <c r="U254" s="11">
        <f t="shared" si="19"/>
        <v>385</v>
      </c>
    </row>
    <row r="255" spans="1:21" ht="16" x14ac:dyDescent="0.4">
      <c r="A255" s="2" t="s">
        <v>1074</v>
      </c>
      <c r="B255" s="3" t="s">
        <v>239</v>
      </c>
      <c r="C255" s="28" t="s">
        <v>65</v>
      </c>
      <c r="D255" s="2" t="s">
        <v>1075</v>
      </c>
      <c r="E255" s="4" t="s">
        <v>743</v>
      </c>
      <c r="F255" s="5">
        <v>85</v>
      </c>
      <c r="G255" s="5">
        <v>28</v>
      </c>
      <c r="H255" s="5">
        <v>21</v>
      </c>
      <c r="I255" s="10">
        <v>3</v>
      </c>
      <c r="J255" s="11">
        <f t="shared" si="18"/>
        <v>255</v>
      </c>
      <c r="K255" s="12" t="str">
        <f t="shared" si="15"/>
        <v>Stock_Sufficient</v>
      </c>
      <c r="L255" s="12">
        <f t="shared" si="16"/>
        <v>63</v>
      </c>
      <c r="M255" s="6">
        <v>45524</v>
      </c>
      <c r="N255" s="6">
        <v>45473</v>
      </c>
      <c r="O255" s="6">
        <v>45455</v>
      </c>
      <c r="P255" s="7" t="s">
        <v>1076</v>
      </c>
      <c r="Q255" s="5">
        <v>45</v>
      </c>
      <c r="R255" s="10">
        <f t="shared" si="17"/>
        <v>135</v>
      </c>
      <c r="S255" s="5">
        <v>89</v>
      </c>
      <c r="T255" s="5" t="s">
        <v>45</v>
      </c>
      <c r="U255" s="11">
        <f t="shared" si="19"/>
        <v>-120</v>
      </c>
    </row>
    <row r="256" spans="1:21" ht="16" x14ac:dyDescent="0.4">
      <c r="A256" s="2" t="s">
        <v>1077</v>
      </c>
      <c r="B256" s="3" t="s">
        <v>109</v>
      </c>
      <c r="C256" s="28" t="s">
        <v>23</v>
      </c>
      <c r="D256" s="2" t="s">
        <v>1078</v>
      </c>
      <c r="E256" s="4" t="s">
        <v>1079</v>
      </c>
      <c r="F256" s="5">
        <v>57</v>
      </c>
      <c r="G256" s="5">
        <v>63</v>
      </c>
      <c r="H256" s="5">
        <v>41</v>
      </c>
      <c r="I256" s="10">
        <v>1.5</v>
      </c>
      <c r="J256" s="11">
        <f t="shared" si="18"/>
        <v>85.5</v>
      </c>
      <c r="K256" s="12" t="str">
        <f t="shared" si="15"/>
        <v>Low Stock_Reorder Needed</v>
      </c>
      <c r="L256" s="12">
        <f t="shared" si="16"/>
        <v>61.5</v>
      </c>
      <c r="M256" s="6">
        <v>45529</v>
      </c>
      <c r="N256" s="6">
        <v>45705</v>
      </c>
      <c r="O256" s="6">
        <v>45595</v>
      </c>
      <c r="P256" s="7" t="s">
        <v>1080</v>
      </c>
      <c r="Q256" s="5">
        <v>53</v>
      </c>
      <c r="R256" s="10">
        <f t="shared" si="17"/>
        <v>79.5</v>
      </c>
      <c r="S256" s="5">
        <v>94</v>
      </c>
      <c r="T256" s="5" t="s">
        <v>27</v>
      </c>
      <c r="U256" s="11">
        <f t="shared" si="19"/>
        <v>-6</v>
      </c>
    </row>
    <row r="257" spans="1:21" ht="16" x14ac:dyDescent="0.4">
      <c r="A257" s="2" t="s">
        <v>1081</v>
      </c>
      <c r="B257" s="3" t="s">
        <v>350</v>
      </c>
      <c r="C257" s="28" t="s">
        <v>48</v>
      </c>
      <c r="D257" s="2" t="s">
        <v>1082</v>
      </c>
      <c r="E257" s="4" t="s">
        <v>1083</v>
      </c>
      <c r="F257" s="5">
        <v>95</v>
      </c>
      <c r="G257" s="5">
        <v>29</v>
      </c>
      <c r="H257" s="5">
        <v>28</v>
      </c>
      <c r="I257" s="10">
        <v>4</v>
      </c>
      <c r="J257" s="11">
        <f t="shared" si="18"/>
        <v>380</v>
      </c>
      <c r="K257" s="12" t="str">
        <f t="shared" si="15"/>
        <v>Stock_Sufficient</v>
      </c>
      <c r="L257" s="12">
        <f t="shared" si="16"/>
        <v>112</v>
      </c>
      <c r="M257" s="6">
        <v>45493</v>
      </c>
      <c r="N257" s="6">
        <v>45673</v>
      </c>
      <c r="O257" s="6">
        <v>45432</v>
      </c>
      <c r="P257" s="7" t="s">
        <v>1084</v>
      </c>
      <c r="Q257" s="5">
        <v>52</v>
      </c>
      <c r="R257" s="10">
        <f t="shared" si="17"/>
        <v>208</v>
      </c>
      <c r="S257" s="5">
        <v>46</v>
      </c>
      <c r="T257" s="5" t="s">
        <v>27</v>
      </c>
      <c r="U257" s="11">
        <f t="shared" si="19"/>
        <v>-172</v>
      </c>
    </row>
    <row r="258" spans="1:21" ht="16" x14ac:dyDescent="0.4">
      <c r="A258" s="2" t="s">
        <v>1085</v>
      </c>
      <c r="B258" s="3" t="s">
        <v>22</v>
      </c>
      <c r="C258" s="28" t="s">
        <v>23</v>
      </c>
      <c r="D258" s="2" t="s">
        <v>1086</v>
      </c>
      <c r="E258" s="4" t="s">
        <v>1087</v>
      </c>
      <c r="F258" s="5">
        <v>84</v>
      </c>
      <c r="G258" s="5">
        <v>69</v>
      </c>
      <c r="H258" s="5">
        <v>77</v>
      </c>
      <c r="I258" s="10">
        <v>4.5</v>
      </c>
      <c r="J258" s="11">
        <f t="shared" si="18"/>
        <v>378</v>
      </c>
      <c r="K258" s="12" t="str">
        <f t="shared" ref="K258:K321" si="20">IF(F258&lt;=G258,"Low Stock_Reorder Needed","Stock_Sufficient")</f>
        <v>Stock_Sufficient</v>
      </c>
      <c r="L258" s="12">
        <f t="shared" ref="L258:L321" si="21">H258*I258</f>
        <v>346.5</v>
      </c>
      <c r="M258" s="6">
        <v>45679</v>
      </c>
      <c r="N258" s="6">
        <v>45654</v>
      </c>
      <c r="O258" s="6">
        <v>45444</v>
      </c>
      <c r="P258" s="7" t="s">
        <v>1088</v>
      </c>
      <c r="Q258" s="5">
        <v>39</v>
      </c>
      <c r="R258" s="10">
        <f t="shared" ref="R258:R321" si="22">Q258*I258</f>
        <v>175.5</v>
      </c>
      <c r="S258" s="5">
        <v>69</v>
      </c>
      <c r="T258" s="5" t="s">
        <v>39</v>
      </c>
      <c r="U258" s="11">
        <f t="shared" si="19"/>
        <v>-202.5</v>
      </c>
    </row>
    <row r="259" spans="1:21" ht="16" x14ac:dyDescent="0.4">
      <c r="A259" s="2" t="s">
        <v>1089</v>
      </c>
      <c r="B259" s="3" t="s">
        <v>473</v>
      </c>
      <c r="C259" s="28" t="s">
        <v>23</v>
      </c>
      <c r="D259" s="2" t="s">
        <v>1090</v>
      </c>
      <c r="E259" s="4" t="s">
        <v>461</v>
      </c>
      <c r="F259" s="5">
        <v>31</v>
      </c>
      <c r="G259" s="5">
        <v>32</v>
      </c>
      <c r="H259" s="5">
        <v>69</v>
      </c>
      <c r="I259" s="10">
        <v>2</v>
      </c>
      <c r="J259" s="11">
        <f t="shared" ref="J259:J322" si="23">I259*F259</f>
        <v>62</v>
      </c>
      <c r="K259" s="12" t="str">
        <f t="shared" si="20"/>
        <v>Low Stock_Reorder Needed</v>
      </c>
      <c r="L259" s="12">
        <f t="shared" si="21"/>
        <v>138</v>
      </c>
      <c r="M259" s="6">
        <v>45351</v>
      </c>
      <c r="N259" s="6">
        <v>45447</v>
      </c>
      <c r="O259" s="6">
        <v>45617</v>
      </c>
      <c r="P259" s="7" t="s">
        <v>1091</v>
      </c>
      <c r="Q259" s="5">
        <v>38</v>
      </c>
      <c r="R259" s="10">
        <f t="shared" si="22"/>
        <v>76</v>
      </c>
      <c r="S259" s="5">
        <v>23</v>
      </c>
      <c r="T259" s="5" t="s">
        <v>45</v>
      </c>
      <c r="U259" s="11">
        <f t="shared" ref="U259:U322" si="24">R259-J259</f>
        <v>14</v>
      </c>
    </row>
    <row r="260" spans="1:21" ht="16" x14ac:dyDescent="0.4">
      <c r="A260" s="2" t="s">
        <v>1092</v>
      </c>
      <c r="B260" s="3" t="s">
        <v>172</v>
      </c>
      <c r="C260" s="28" t="s">
        <v>48</v>
      </c>
      <c r="D260" s="2" t="s">
        <v>1093</v>
      </c>
      <c r="E260" s="4" t="s">
        <v>1094</v>
      </c>
      <c r="F260" s="5">
        <v>41</v>
      </c>
      <c r="G260" s="5">
        <v>52</v>
      </c>
      <c r="H260" s="5">
        <v>75</v>
      </c>
      <c r="I260" s="10">
        <v>4.5</v>
      </c>
      <c r="J260" s="11">
        <f t="shared" si="23"/>
        <v>184.5</v>
      </c>
      <c r="K260" s="12" t="str">
        <f t="shared" si="20"/>
        <v>Low Stock_Reorder Needed</v>
      </c>
      <c r="L260" s="12">
        <f t="shared" si="21"/>
        <v>337.5</v>
      </c>
      <c r="M260" s="6">
        <v>45388</v>
      </c>
      <c r="N260" s="6">
        <v>45406</v>
      </c>
      <c r="O260" s="6">
        <v>45578</v>
      </c>
      <c r="P260" s="7" t="s">
        <v>1095</v>
      </c>
      <c r="Q260" s="5">
        <v>57</v>
      </c>
      <c r="R260" s="10">
        <f t="shared" si="22"/>
        <v>256.5</v>
      </c>
      <c r="S260" s="5">
        <v>62</v>
      </c>
      <c r="T260" s="5" t="s">
        <v>39</v>
      </c>
      <c r="U260" s="11">
        <f t="shared" si="24"/>
        <v>72</v>
      </c>
    </row>
    <row r="261" spans="1:21" ht="16" x14ac:dyDescent="0.4">
      <c r="A261" s="2" t="s">
        <v>1096</v>
      </c>
      <c r="B261" s="3" t="s">
        <v>104</v>
      </c>
      <c r="C261" s="28" t="s">
        <v>65</v>
      </c>
      <c r="D261" s="2" t="s">
        <v>1097</v>
      </c>
      <c r="E261" s="4" t="s">
        <v>314</v>
      </c>
      <c r="F261" s="5">
        <v>97</v>
      </c>
      <c r="G261" s="5">
        <v>57</v>
      </c>
      <c r="H261" s="5">
        <v>84</v>
      </c>
      <c r="I261" s="10">
        <v>7</v>
      </c>
      <c r="J261" s="11">
        <f t="shared" si="23"/>
        <v>679</v>
      </c>
      <c r="K261" s="12" t="str">
        <f t="shared" si="20"/>
        <v>Stock_Sufficient</v>
      </c>
      <c r="L261" s="12">
        <f t="shared" si="21"/>
        <v>588</v>
      </c>
      <c r="M261" s="6">
        <v>45562</v>
      </c>
      <c r="N261" s="6">
        <v>45533</v>
      </c>
      <c r="O261" s="6">
        <v>45694</v>
      </c>
      <c r="P261" s="7" t="s">
        <v>1098</v>
      </c>
      <c r="Q261" s="5">
        <v>95</v>
      </c>
      <c r="R261" s="10">
        <f t="shared" si="22"/>
        <v>665</v>
      </c>
      <c r="S261" s="5">
        <v>28</v>
      </c>
      <c r="T261" s="5" t="s">
        <v>45</v>
      </c>
      <c r="U261" s="11">
        <f t="shared" si="24"/>
        <v>-14</v>
      </c>
    </row>
    <row r="262" spans="1:21" ht="16" x14ac:dyDescent="0.4">
      <c r="A262" s="2" t="s">
        <v>1099</v>
      </c>
      <c r="B262" s="3" t="s">
        <v>1100</v>
      </c>
      <c r="C262" s="28" t="s">
        <v>65</v>
      </c>
      <c r="D262" s="2" t="s">
        <v>1101</v>
      </c>
      <c r="E262" s="4" t="s">
        <v>1102</v>
      </c>
      <c r="F262" s="5">
        <v>43</v>
      </c>
      <c r="G262" s="5">
        <v>88</v>
      </c>
      <c r="H262" s="5">
        <v>33</v>
      </c>
      <c r="I262" s="10">
        <v>1</v>
      </c>
      <c r="J262" s="11">
        <f t="shared" si="23"/>
        <v>43</v>
      </c>
      <c r="K262" s="12" t="str">
        <f t="shared" si="20"/>
        <v>Low Stock_Reorder Needed</v>
      </c>
      <c r="L262" s="12">
        <f t="shared" si="21"/>
        <v>33</v>
      </c>
      <c r="M262" s="6">
        <v>45492</v>
      </c>
      <c r="N262" s="6">
        <v>45691</v>
      </c>
      <c r="O262" s="6">
        <v>45649</v>
      </c>
      <c r="P262" s="7" t="s">
        <v>1103</v>
      </c>
      <c r="Q262" s="5">
        <v>84</v>
      </c>
      <c r="R262" s="10">
        <f t="shared" si="22"/>
        <v>84</v>
      </c>
      <c r="S262" s="5">
        <v>75</v>
      </c>
      <c r="T262" s="5" t="s">
        <v>27</v>
      </c>
      <c r="U262" s="11">
        <f t="shared" si="24"/>
        <v>41</v>
      </c>
    </row>
    <row r="263" spans="1:21" ht="16" x14ac:dyDescent="0.4">
      <c r="A263" s="2" t="s">
        <v>1104</v>
      </c>
      <c r="B263" s="3" t="s">
        <v>456</v>
      </c>
      <c r="C263" s="28" t="s">
        <v>59</v>
      </c>
      <c r="D263" s="2" t="s">
        <v>1105</v>
      </c>
      <c r="E263" s="4" t="s">
        <v>81</v>
      </c>
      <c r="F263" s="5">
        <v>74</v>
      </c>
      <c r="G263" s="5">
        <v>4</v>
      </c>
      <c r="H263" s="5">
        <v>67</v>
      </c>
      <c r="I263" s="10">
        <v>1.8</v>
      </c>
      <c r="J263" s="11">
        <f t="shared" si="23"/>
        <v>133.20000000000002</v>
      </c>
      <c r="K263" s="12" t="str">
        <f t="shared" si="20"/>
        <v>Stock_Sufficient</v>
      </c>
      <c r="L263" s="12">
        <f t="shared" si="21"/>
        <v>120.60000000000001</v>
      </c>
      <c r="M263" s="6">
        <v>45377</v>
      </c>
      <c r="N263" s="6">
        <v>45395</v>
      </c>
      <c r="O263" s="6">
        <v>45436</v>
      </c>
      <c r="P263" s="7" t="s">
        <v>1106</v>
      </c>
      <c r="Q263" s="5">
        <v>31</v>
      </c>
      <c r="R263" s="10">
        <f t="shared" si="22"/>
        <v>55.800000000000004</v>
      </c>
      <c r="S263" s="5">
        <v>34</v>
      </c>
      <c r="T263" s="5" t="s">
        <v>39</v>
      </c>
      <c r="U263" s="11">
        <f t="shared" si="24"/>
        <v>-77.400000000000006</v>
      </c>
    </row>
    <row r="264" spans="1:21" ht="16" x14ac:dyDescent="0.4">
      <c r="A264" s="2" t="s">
        <v>1107</v>
      </c>
      <c r="B264" s="3" t="s">
        <v>109</v>
      </c>
      <c r="C264" s="28" t="s">
        <v>23</v>
      </c>
      <c r="D264" s="2" t="s">
        <v>1108</v>
      </c>
      <c r="E264" s="4" t="s">
        <v>1109</v>
      </c>
      <c r="F264" s="5">
        <v>70</v>
      </c>
      <c r="G264" s="5">
        <v>96</v>
      </c>
      <c r="H264" s="5">
        <v>92</v>
      </c>
      <c r="I264" s="10">
        <v>1.5</v>
      </c>
      <c r="J264" s="11">
        <f t="shared" si="23"/>
        <v>105</v>
      </c>
      <c r="K264" s="12" t="str">
        <f t="shared" si="20"/>
        <v>Low Stock_Reorder Needed</v>
      </c>
      <c r="L264" s="12">
        <f t="shared" si="21"/>
        <v>138</v>
      </c>
      <c r="M264" s="6">
        <v>45400</v>
      </c>
      <c r="N264" s="6">
        <v>45590</v>
      </c>
      <c r="O264" s="6">
        <v>45440</v>
      </c>
      <c r="P264" s="7" t="s">
        <v>1110</v>
      </c>
      <c r="Q264" s="5">
        <v>27</v>
      </c>
      <c r="R264" s="10">
        <f t="shared" si="22"/>
        <v>40.5</v>
      </c>
      <c r="S264" s="5">
        <v>58</v>
      </c>
      <c r="T264" s="5" t="s">
        <v>39</v>
      </c>
      <c r="U264" s="11">
        <f t="shared" si="24"/>
        <v>-64.5</v>
      </c>
    </row>
    <row r="265" spans="1:21" ht="16" x14ac:dyDescent="0.4">
      <c r="A265" s="2" t="s">
        <v>1111</v>
      </c>
      <c r="B265" s="3" t="s">
        <v>451</v>
      </c>
      <c r="C265" s="28" t="s">
        <v>65</v>
      </c>
      <c r="D265" s="2" t="s">
        <v>1112</v>
      </c>
      <c r="E265" s="4" t="s">
        <v>929</v>
      </c>
      <c r="F265" s="5">
        <v>69</v>
      </c>
      <c r="G265" s="5">
        <v>53</v>
      </c>
      <c r="H265" s="5">
        <v>32</v>
      </c>
      <c r="I265" s="10">
        <v>9.1999999999999993</v>
      </c>
      <c r="J265" s="11">
        <f t="shared" si="23"/>
        <v>634.79999999999995</v>
      </c>
      <c r="K265" s="12" t="str">
        <f t="shared" si="20"/>
        <v>Stock_Sufficient</v>
      </c>
      <c r="L265" s="12">
        <f t="shared" si="21"/>
        <v>294.39999999999998</v>
      </c>
      <c r="M265" s="6">
        <v>45546</v>
      </c>
      <c r="N265" s="6">
        <v>45440</v>
      </c>
      <c r="O265" s="6">
        <v>45456</v>
      </c>
      <c r="P265" s="7" t="s">
        <v>1113</v>
      </c>
      <c r="Q265" s="5">
        <v>28</v>
      </c>
      <c r="R265" s="10">
        <f t="shared" si="22"/>
        <v>257.59999999999997</v>
      </c>
      <c r="S265" s="5">
        <v>56</v>
      </c>
      <c r="T265" s="5" t="s">
        <v>45</v>
      </c>
      <c r="U265" s="11">
        <f t="shared" si="24"/>
        <v>-377.2</v>
      </c>
    </row>
    <row r="266" spans="1:21" ht="16" x14ac:dyDescent="0.4">
      <c r="A266" s="2" t="s">
        <v>1114</v>
      </c>
      <c r="B266" s="3" t="s">
        <v>312</v>
      </c>
      <c r="C266" s="28" t="s">
        <v>48</v>
      </c>
      <c r="D266" s="2" t="s">
        <v>1115</v>
      </c>
      <c r="E266" s="4" t="s">
        <v>1116</v>
      </c>
      <c r="F266" s="5">
        <v>67</v>
      </c>
      <c r="G266" s="5">
        <v>68</v>
      </c>
      <c r="H266" s="5">
        <v>50</v>
      </c>
      <c r="I266" s="10">
        <v>1.5</v>
      </c>
      <c r="J266" s="11">
        <f t="shared" si="23"/>
        <v>100.5</v>
      </c>
      <c r="K266" s="12" t="str">
        <f t="shared" si="20"/>
        <v>Low Stock_Reorder Needed</v>
      </c>
      <c r="L266" s="12">
        <f t="shared" si="21"/>
        <v>75</v>
      </c>
      <c r="M266" s="6">
        <v>45558</v>
      </c>
      <c r="N266" s="6">
        <v>45617</v>
      </c>
      <c r="O266" s="6">
        <v>45391</v>
      </c>
      <c r="P266" s="7" t="s">
        <v>1117</v>
      </c>
      <c r="Q266" s="5">
        <v>67</v>
      </c>
      <c r="R266" s="10">
        <f t="shared" si="22"/>
        <v>100.5</v>
      </c>
      <c r="S266" s="5">
        <v>82</v>
      </c>
      <c r="T266" s="5" t="s">
        <v>27</v>
      </c>
      <c r="U266" s="11">
        <f t="shared" si="24"/>
        <v>0</v>
      </c>
    </row>
    <row r="267" spans="1:21" ht="16" x14ac:dyDescent="0.4">
      <c r="A267" s="2" t="s">
        <v>1118</v>
      </c>
      <c r="B267" s="3" t="s">
        <v>220</v>
      </c>
      <c r="C267" s="28" t="s">
        <v>23</v>
      </c>
      <c r="D267" s="2" t="s">
        <v>1119</v>
      </c>
      <c r="E267" s="4" t="s">
        <v>422</v>
      </c>
      <c r="F267" s="5">
        <v>18</v>
      </c>
      <c r="G267" s="5">
        <v>62</v>
      </c>
      <c r="H267" s="5">
        <v>2</v>
      </c>
      <c r="I267" s="10">
        <v>3</v>
      </c>
      <c r="J267" s="11">
        <f t="shared" si="23"/>
        <v>54</v>
      </c>
      <c r="K267" s="12" t="str">
        <f t="shared" si="20"/>
        <v>Low Stock_Reorder Needed</v>
      </c>
      <c r="L267" s="12">
        <f t="shared" si="21"/>
        <v>6</v>
      </c>
      <c r="M267" s="6">
        <v>45377</v>
      </c>
      <c r="N267" s="6">
        <v>45410</v>
      </c>
      <c r="O267" s="6">
        <v>45541</v>
      </c>
      <c r="P267" s="7" t="s">
        <v>1120</v>
      </c>
      <c r="Q267" s="5">
        <v>61</v>
      </c>
      <c r="R267" s="10">
        <f t="shared" si="22"/>
        <v>183</v>
      </c>
      <c r="S267" s="5">
        <v>78</v>
      </c>
      <c r="T267" s="5" t="s">
        <v>27</v>
      </c>
      <c r="U267" s="11">
        <f t="shared" si="24"/>
        <v>129</v>
      </c>
    </row>
    <row r="268" spans="1:21" ht="16" x14ac:dyDescent="0.4">
      <c r="A268" s="2" t="s">
        <v>1121</v>
      </c>
      <c r="B268" s="3" t="s">
        <v>29</v>
      </c>
      <c r="C268" s="28" t="s">
        <v>30</v>
      </c>
      <c r="D268" s="2" t="s">
        <v>1122</v>
      </c>
      <c r="E268" s="4" t="s">
        <v>1123</v>
      </c>
      <c r="F268" s="5">
        <v>22</v>
      </c>
      <c r="G268" s="5">
        <v>89</v>
      </c>
      <c r="H268" s="5">
        <v>25</v>
      </c>
      <c r="I268" s="10">
        <v>21</v>
      </c>
      <c r="J268" s="11">
        <f t="shared" si="23"/>
        <v>462</v>
      </c>
      <c r="K268" s="12" t="str">
        <f t="shared" si="20"/>
        <v>Low Stock_Reorder Needed</v>
      </c>
      <c r="L268" s="12">
        <f t="shared" si="21"/>
        <v>525</v>
      </c>
      <c r="M268" s="6">
        <v>45347</v>
      </c>
      <c r="N268" s="6">
        <v>45623</v>
      </c>
      <c r="O268" s="6">
        <v>45493</v>
      </c>
      <c r="P268" s="7" t="s">
        <v>1124</v>
      </c>
      <c r="Q268" s="5">
        <v>30</v>
      </c>
      <c r="R268" s="10">
        <f t="shared" si="22"/>
        <v>630</v>
      </c>
      <c r="S268" s="5">
        <v>62</v>
      </c>
      <c r="T268" s="5" t="s">
        <v>27</v>
      </c>
      <c r="U268" s="11">
        <f t="shared" si="24"/>
        <v>168</v>
      </c>
    </row>
    <row r="269" spans="1:21" ht="16" x14ac:dyDescent="0.4">
      <c r="A269" s="2" t="s">
        <v>1125</v>
      </c>
      <c r="B269" s="3" t="s">
        <v>1126</v>
      </c>
      <c r="C269" s="28" t="s">
        <v>48</v>
      </c>
      <c r="D269" s="2" t="s">
        <v>1127</v>
      </c>
      <c r="E269" s="4" t="s">
        <v>1128</v>
      </c>
      <c r="F269" s="5">
        <v>88</v>
      </c>
      <c r="G269" s="5">
        <v>99</v>
      </c>
      <c r="H269" s="5">
        <v>41</v>
      </c>
      <c r="I269" s="10">
        <v>5.5</v>
      </c>
      <c r="J269" s="11">
        <f t="shared" si="23"/>
        <v>484</v>
      </c>
      <c r="K269" s="12" t="str">
        <f t="shared" si="20"/>
        <v>Low Stock_Reorder Needed</v>
      </c>
      <c r="L269" s="12">
        <f t="shared" si="21"/>
        <v>225.5</v>
      </c>
      <c r="M269" s="6">
        <v>45503</v>
      </c>
      <c r="N269" s="6">
        <v>45432</v>
      </c>
      <c r="O269" s="6">
        <v>45494</v>
      </c>
      <c r="P269" s="7" t="s">
        <v>1129</v>
      </c>
      <c r="Q269" s="5">
        <v>93</v>
      </c>
      <c r="R269" s="10">
        <f t="shared" si="22"/>
        <v>511.5</v>
      </c>
      <c r="S269" s="5">
        <v>99</v>
      </c>
      <c r="T269" s="5" t="s">
        <v>39</v>
      </c>
      <c r="U269" s="11">
        <f t="shared" si="24"/>
        <v>27.5</v>
      </c>
    </row>
    <row r="270" spans="1:21" ht="16" x14ac:dyDescent="0.4">
      <c r="A270" s="2" t="s">
        <v>1130</v>
      </c>
      <c r="B270" s="3" t="s">
        <v>509</v>
      </c>
      <c r="C270" s="28" t="s">
        <v>133</v>
      </c>
      <c r="D270" s="2" t="s">
        <v>1131</v>
      </c>
      <c r="E270" s="4" t="s">
        <v>1132</v>
      </c>
      <c r="F270" s="5">
        <v>78</v>
      </c>
      <c r="G270" s="5">
        <v>75</v>
      </c>
      <c r="H270" s="5">
        <v>3</v>
      </c>
      <c r="I270" s="10">
        <v>7</v>
      </c>
      <c r="J270" s="11">
        <f t="shared" si="23"/>
        <v>546</v>
      </c>
      <c r="K270" s="12" t="str">
        <f t="shared" si="20"/>
        <v>Stock_Sufficient</v>
      </c>
      <c r="L270" s="12">
        <f t="shared" si="21"/>
        <v>21</v>
      </c>
      <c r="M270" s="6">
        <v>45512</v>
      </c>
      <c r="N270" s="6">
        <v>45644</v>
      </c>
      <c r="O270" s="6">
        <v>45478</v>
      </c>
      <c r="P270" s="7" t="s">
        <v>1133</v>
      </c>
      <c r="Q270" s="5">
        <v>63</v>
      </c>
      <c r="R270" s="10">
        <f t="shared" si="22"/>
        <v>441</v>
      </c>
      <c r="S270" s="5">
        <v>100</v>
      </c>
      <c r="T270" s="5" t="s">
        <v>45</v>
      </c>
      <c r="U270" s="11">
        <f t="shared" si="24"/>
        <v>-105</v>
      </c>
    </row>
    <row r="271" spans="1:21" ht="16" x14ac:dyDescent="0.4">
      <c r="A271" s="2" t="s">
        <v>1134</v>
      </c>
      <c r="B271" s="3" t="s">
        <v>187</v>
      </c>
      <c r="C271" s="28" t="s">
        <v>59</v>
      </c>
      <c r="D271" s="2" t="s">
        <v>1135</v>
      </c>
      <c r="E271" s="4" t="s">
        <v>1136</v>
      </c>
      <c r="F271" s="5">
        <v>83</v>
      </c>
      <c r="G271" s="5">
        <v>52</v>
      </c>
      <c r="H271" s="5">
        <v>32</v>
      </c>
      <c r="I271" s="10">
        <v>6</v>
      </c>
      <c r="J271" s="11">
        <f t="shared" si="23"/>
        <v>498</v>
      </c>
      <c r="K271" s="12" t="str">
        <f t="shared" si="20"/>
        <v>Stock_Sufficient</v>
      </c>
      <c r="L271" s="12">
        <f t="shared" si="21"/>
        <v>192</v>
      </c>
      <c r="M271" s="6">
        <v>45582</v>
      </c>
      <c r="N271" s="6">
        <v>45530</v>
      </c>
      <c r="O271" s="6">
        <v>45372</v>
      </c>
      <c r="P271" s="7" t="s">
        <v>1137</v>
      </c>
      <c r="Q271" s="5">
        <v>47</v>
      </c>
      <c r="R271" s="10">
        <f t="shared" si="22"/>
        <v>282</v>
      </c>
      <c r="S271" s="5">
        <v>7</v>
      </c>
      <c r="T271" s="5" t="s">
        <v>45</v>
      </c>
      <c r="U271" s="11">
        <f t="shared" si="24"/>
        <v>-216</v>
      </c>
    </row>
    <row r="272" spans="1:21" ht="16" x14ac:dyDescent="0.4">
      <c r="A272" s="2" t="s">
        <v>1138</v>
      </c>
      <c r="B272" s="3" t="s">
        <v>776</v>
      </c>
      <c r="C272" s="28" t="s">
        <v>30</v>
      </c>
      <c r="D272" s="2" t="s">
        <v>1139</v>
      </c>
      <c r="E272" s="4" t="s">
        <v>1140</v>
      </c>
      <c r="F272" s="5">
        <v>42</v>
      </c>
      <c r="G272" s="5">
        <v>88</v>
      </c>
      <c r="H272" s="5">
        <v>17</v>
      </c>
      <c r="I272" s="10">
        <v>10.5</v>
      </c>
      <c r="J272" s="11">
        <f t="shared" si="23"/>
        <v>441</v>
      </c>
      <c r="K272" s="12" t="str">
        <f t="shared" si="20"/>
        <v>Low Stock_Reorder Needed</v>
      </c>
      <c r="L272" s="12">
        <f t="shared" si="21"/>
        <v>178.5</v>
      </c>
      <c r="M272" s="6">
        <v>45584</v>
      </c>
      <c r="N272" s="6">
        <v>45632</v>
      </c>
      <c r="O272" s="6">
        <v>45467</v>
      </c>
      <c r="P272" s="7" t="s">
        <v>1141</v>
      </c>
      <c r="Q272" s="5">
        <v>34</v>
      </c>
      <c r="R272" s="10">
        <f t="shared" si="22"/>
        <v>357</v>
      </c>
      <c r="S272" s="5">
        <v>51</v>
      </c>
      <c r="T272" s="5" t="s">
        <v>27</v>
      </c>
      <c r="U272" s="11">
        <f t="shared" si="24"/>
        <v>-84</v>
      </c>
    </row>
    <row r="273" spans="1:21" ht="16" x14ac:dyDescent="0.4">
      <c r="A273" s="2" t="s">
        <v>1142</v>
      </c>
      <c r="B273" s="3" t="s">
        <v>403</v>
      </c>
      <c r="C273" s="28" t="s">
        <v>48</v>
      </c>
      <c r="D273" s="2" t="s">
        <v>1143</v>
      </c>
      <c r="E273" s="4" t="s">
        <v>263</v>
      </c>
      <c r="F273" s="5">
        <v>49</v>
      </c>
      <c r="G273" s="5">
        <v>46</v>
      </c>
      <c r="H273" s="5">
        <v>8</v>
      </c>
      <c r="I273" s="10">
        <v>3</v>
      </c>
      <c r="J273" s="11">
        <f t="shared" si="23"/>
        <v>147</v>
      </c>
      <c r="K273" s="12" t="str">
        <f t="shared" si="20"/>
        <v>Stock_Sufficient</v>
      </c>
      <c r="L273" s="12">
        <f t="shared" si="21"/>
        <v>24</v>
      </c>
      <c r="M273" s="6">
        <v>45587</v>
      </c>
      <c r="N273" s="6">
        <v>45382</v>
      </c>
      <c r="O273" s="6">
        <v>45636</v>
      </c>
      <c r="P273" s="7" t="s">
        <v>1144</v>
      </c>
      <c r="Q273" s="5">
        <v>82</v>
      </c>
      <c r="R273" s="10">
        <f t="shared" si="22"/>
        <v>246</v>
      </c>
      <c r="S273" s="5">
        <v>21</v>
      </c>
      <c r="T273" s="5" t="s">
        <v>27</v>
      </c>
      <c r="U273" s="11">
        <f t="shared" si="24"/>
        <v>99</v>
      </c>
    </row>
    <row r="274" spans="1:21" ht="16" x14ac:dyDescent="0.4">
      <c r="A274" s="2" t="s">
        <v>1145</v>
      </c>
      <c r="B274" s="3" t="s">
        <v>1146</v>
      </c>
      <c r="C274" s="28" t="s">
        <v>23</v>
      </c>
      <c r="D274" s="2" t="s">
        <v>1147</v>
      </c>
      <c r="E274" s="4" t="s">
        <v>410</v>
      </c>
      <c r="F274" s="5">
        <v>17</v>
      </c>
      <c r="G274" s="5">
        <v>88</v>
      </c>
      <c r="H274" s="5">
        <v>41</v>
      </c>
      <c r="I274" s="10">
        <v>2.5</v>
      </c>
      <c r="J274" s="11">
        <f t="shared" si="23"/>
        <v>42.5</v>
      </c>
      <c r="K274" s="12" t="str">
        <f t="shared" si="20"/>
        <v>Low Stock_Reorder Needed</v>
      </c>
      <c r="L274" s="12">
        <f t="shared" si="21"/>
        <v>102.5</v>
      </c>
      <c r="M274" s="6">
        <v>45586</v>
      </c>
      <c r="N274" s="6">
        <v>45707</v>
      </c>
      <c r="O274" s="6">
        <v>45675</v>
      </c>
      <c r="P274" s="7" t="s">
        <v>1148</v>
      </c>
      <c r="Q274" s="5">
        <v>45</v>
      </c>
      <c r="R274" s="10">
        <f t="shared" si="22"/>
        <v>112.5</v>
      </c>
      <c r="S274" s="5">
        <v>29</v>
      </c>
      <c r="T274" s="5" t="s">
        <v>39</v>
      </c>
      <c r="U274" s="11">
        <f t="shared" si="24"/>
        <v>70</v>
      </c>
    </row>
    <row r="275" spans="1:21" ht="16" x14ac:dyDescent="0.4">
      <c r="A275" s="2" t="s">
        <v>1149</v>
      </c>
      <c r="B275" s="3" t="s">
        <v>630</v>
      </c>
      <c r="C275" s="28" t="s">
        <v>65</v>
      </c>
      <c r="D275" s="2" t="s">
        <v>1150</v>
      </c>
      <c r="E275" s="4" t="s">
        <v>1151</v>
      </c>
      <c r="F275" s="5">
        <v>52</v>
      </c>
      <c r="G275" s="5">
        <v>64</v>
      </c>
      <c r="H275" s="5">
        <v>54</v>
      </c>
      <c r="I275" s="10">
        <v>2.4</v>
      </c>
      <c r="J275" s="11">
        <f t="shared" si="23"/>
        <v>124.8</v>
      </c>
      <c r="K275" s="12" t="str">
        <f t="shared" si="20"/>
        <v>Low Stock_Reorder Needed</v>
      </c>
      <c r="L275" s="12">
        <f t="shared" si="21"/>
        <v>129.6</v>
      </c>
      <c r="M275" s="6">
        <v>45618</v>
      </c>
      <c r="N275" s="6">
        <v>45544</v>
      </c>
      <c r="O275" s="6">
        <v>45588</v>
      </c>
      <c r="P275" s="7" t="s">
        <v>1152</v>
      </c>
      <c r="Q275" s="5">
        <v>21</v>
      </c>
      <c r="R275" s="10">
        <f t="shared" si="22"/>
        <v>50.4</v>
      </c>
      <c r="S275" s="5">
        <v>55</v>
      </c>
      <c r="T275" s="5" t="s">
        <v>39</v>
      </c>
      <c r="U275" s="11">
        <f t="shared" si="24"/>
        <v>-74.400000000000006</v>
      </c>
    </row>
    <row r="276" spans="1:21" ht="16" x14ac:dyDescent="0.4">
      <c r="A276" s="2" t="s">
        <v>1153</v>
      </c>
      <c r="B276" s="3" t="s">
        <v>163</v>
      </c>
      <c r="C276" s="28" t="s">
        <v>48</v>
      </c>
      <c r="D276" s="2" t="s">
        <v>1154</v>
      </c>
      <c r="E276" s="4" t="s">
        <v>1140</v>
      </c>
      <c r="F276" s="5">
        <v>79</v>
      </c>
      <c r="G276" s="5">
        <v>45</v>
      </c>
      <c r="H276" s="5">
        <v>39</v>
      </c>
      <c r="I276" s="10">
        <v>6</v>
      </c>
      <c r="J276" s="11">
        <f t="shared" si="23"/>
        <v>474</v>
      </c>
      <c r="K276" s="12" t="str">
        <f t="shared" si="20"/>
        <v>Stock_Sufficient</v>
      </c>
      <c r="L276" s="12">
        <f t="shared" si="21"/>
        <v>234</v>
      </c>
      <c r="M276" s="6">
        <v>45594</v>
      </c>
      <c r="N276" s="6">
        <v>45603</v>
      </c>
      <c r="O276" s="6">
        <v>45423</v>
      </c>
      <c r="P276" s="7" t="s">
        <v>1155</v>
      </c>
      <c r="Q276" s="5">
        <v>55</v>
      </c>
      <c r="R276" s="10">
        <f t="shared" si="22"/>
        <v>330</v>
      </c>
      <c r="S276" s="5">
        <v>20</v>
      </c>
      <c r="T276" s="5" t="s">
        <v>39</v>
      </c>
      <c r="U276" s="11">
        <f t="shared" si="24"/>
        <v>-144</v>
      </c>
    </row>
    <row r="277" spans="1:21" ht="16" x14ac:dyDescent="0.4">
      <c r="A277" s="2" t="s">
        <v>1156</v>
      </c>
      <c r="B277" s="3" t="s">
        <v>456</v>
      </c>
      <c r="C277" s="28" t="s">
        <v>59</v>
      </c>
      <c r="D277" s="2" t="s">
        <v>1157</v>
      </c>
      <c r="E277" s="4" t="s">
        <v>670</v>
      </c>
      <c r="F277" s="5">
        <v>35</v>
      </c>
      <c r="G277" s="5">
        <v>41</v>
      </c>
      <c r="H277" s="5">
        <v>84</v>
      </c>
      <c r="I277" s="10">
        <v>1.8</v>
      </c>
      <c r="J277" s="11">
        <f t="shared" si="23"/>
        <v>63</v>
      </c>
      <c r="K277" s="12" t="str">
        <f t="shared" si="20"/>
        <v>Low Stock_Reorder Needed</v>
      </c>
      <c r="L277" s="12">
        <f t="shared" si="21"/>
        <v>151.20000000000002</v>
      </c>
      <c r="M277" s="6">
        <v>45521</v>
      </c>
      <c r="N277" s="6">
        <v>45501</v>
      </c>
      <c r="O277" s="6">
        <v>45619</v>
      </c>
      <c r="P277" s="7" t="s">
        <v>1158</v>
      </c>
      <c r="Q277" s="5">
        <v>62</v>
      </c>
      <c r="R277" s="10">
        <f t="shared" si="22"/>
        <v>111.60000000000001</v>
      </c>
      <c r="S277" s="5">
        <v>14</v>
      </c>
      <c r="T277" s="5" t="s">
        <v>39</v>
      </c>
      <c r="U277" s="11">
        <f t="shared" si="24"/>
        <v>48.600000000000009</v>
      </c>
    </row>
    <row r="278" spans="1:21" ht="16" x14ac:dyDescent="0.4">
      <c r="A278" s="2" t="s">
        <v>1159</v>
      </c>
      <c r="B278" s="3" t="s">
        <v>177</v>
      </c>
      <c r="C278" s="28" t="s">
        <v>48</v>
      </c>
      <c r="D278" s="2" t="s">
        <v>1160</v>
      </c>
      <c r="E278" s="4" t="s">
        <v>1161</v>
      </c>
      <c r="F278" s="5">
        <v>76</v>
      </c>
      <c r="G278" s="5">
        <v>11</v>
      </c>
      <c r="H278" s="5">
        <v>15</v>
      </c>
      <c r="I278" s="10">
        <v>1.8</v>
      </c>
      <c r="J278" s="11">
        <f t="shared" si="23"/>
        <v>136.80000000000001</v>
      </c>
      <c r="K278" s="12" t="str">
        <f t="shared" si="20"/>
        <v>Stock_Sufficient</v>
      </c>
      <c r="L278" s="12">
        <f t="shared" si="21"/>
        <v>27</v>
      </c>
      <c r="M278" s="6">
        <v>45585</v>
      </c>
      <c r="N278" s="6">
        <v>45437</v>
      </c>
      <c r="O278" s="6">
        <v>45552</v>
      </c>
      <c r="P278" s="7" t="s">
        <v>1162</v>
      </c>
      <c r="Q278" s="5">
        <v>22</v>
      </c>
      <c r="R278" s="10">
        <f t="shared" si="22"/>
        <v>39.6</v>
      </c>
      <c r="S278" s="5">
        <v>91</v>
      </c>
      <c r="T278" s="5" t="s">
        <v>45</v>
      </c>
      <c r="U278" s="11">
        <f t="shared" si="24"/>
        <v>-97.200000000000017</v>
      </c>
    </row>
    <row r="279" spans="1:21" ht="16" x14ac:dyDescent="0.4">
      <c r="A279" s="2" t="s">
        <v>1163</v>
      </c>
      <c r="B279" s="3" t="s">
        <v>114</v>
      </c>
      <c r="C279" s="28" t="s">
        <v>65</v>
      </c>
      <c r="D279" s="2" t="s">
        <v>1164</v>
      </c>
      <c r="E279" s="4" t="s">
        <v>32</v>
      </c>
      <c r="F279" s="5">
        <v>93</v>
      </c>
      <c r="G279" s="5">
        <v>8</v>
      </c>
      <c r="H279" s="5">
        <v>51</v>
      </c>
      <c r="I279" s="10">
        <v>8</v>
      </c>
      <c r="J279" s="11">
        <f t="shared" si="23"/>
        <v>744</v>
      </c>
      <c r="K279" s="12" t="str">
        <f t="shared" si="20"/>
        <v>Stock_Sufficient</v>
      </c>
      <c r="L279" s="12">
        <f t="shared" si="21"/>
        <v>408</v>
      </c>
      <c r="M279" s="6">
        <v>45350</v>
      </c>
      <c r="N279" s="6">
        <v>45427</v>
      </c>
      <c r="O279" s="6">
        <v>45692</v>
      </c>
      <c r="P279" s="7" t="s">
        <v>1165</v>
      </c>
      <c r="Q279" s="5">
        <v>93</v>
      </c>
      <c r="R279" s="10">
        <f t="shared" si="22"/>
        <v>744</v>
      </c>
      <c r="S279" s="5">
        <v>85</v>
      </c>
      <c r="T279" s="5" t="s">
        <v>39</v>
      </c>
      <c r="U279" s="11">
        <f t="shared" si="24"/>
        <v>0</v>
      </c>
    </row>
    <row r="280" spans="1:21" ht="16" x14ac:dyDescent="0.4">
      <c r="A280" s="2" t="s">
        <v>1166</v>
      </c>
      <c r="B280" s="3" t="s">
        <v>1167</v>
      </c>
      <c r="C280" s="28" t="s">
        <v>133</v>
      </c>
      <c r="D280" s="2" t="s">
        <v>1168</v>
      </c>
      <c r="E280" s="4" t="s">
        <v>803</v>
      </c>
      <c r="F280" s="5">
        <v>40</v>
      </c>
      <c r="G280" s="5">
        <v>81</v>
      </c>
      <c r="H280" s="5">
        <v>78</v>
      </c>
      <c r="I280" s="10">
        <v>20</v>
      </c>
      <c r="J280" s="11">
        <f t="shared" si="23"/>
        <v>800</v>
      </c>
      <c r="K280" s="12" t="str">
        <f t="shared" si="20"/>
        <v>Low Stock_Reorder Needed</v>
      </c>
      <c r="L280" s="12">
        <f t="shared" si="21"/>
        <v>1560</v>
      </c>
      <c r="M280" s="6">
        <v>45705</v>
      </c>
      <c r="N280" s="6">
        <v>45489</v>
      </c>
      <c r="O280" s="6">
        <v>45355</v>
      </c>
      <c r="P280" s="7" t="s">
        <v>1169</v>
      </c>
      <c r="Q280" s="5">
        <v>39</v>
      </c>
      <c r="R280" s="10">
        <f t="shared" si="22"/>
        <v>780</v>
      </c>
      <c r="S280" s="5">
        <v>65</v>
      </c>
      <c r="T280" s="5" t="s">
        <v>39</v>
      </c>
      <c r="U280" s="11">
        <f t="shared" si="24"/>
        <v>-20</v>
      </c>
    </row>
    <row r="281" spans="1:21" ht="16" x14ac:dyDescent="0.4">
      <c r="A281" s="2" t="s">
        <v>1170</v>
      </c>
      <c r="B281" s="3" t="s">
        <v>132</v>
      </c>
      <c r="C281" s="28" t="s">
        <v>133</v>
      </c>
      <c r="D281" s="2" t="s">
        <v>1171</v>
      </c>
      <c r="E281" s="4" t="s">
        <v>212</v>
      </c>
      <c r="F281" s="5">
        <v>19</v>
      </c>
      <c r="G281" s="5">
        <v>94</v>
      </c>
      <c r="H281" s="5">
        <v>17</v>
      </c>
      <c r="I281" s="10">
        <v>11.5</v>
      </c>
      <c r="J281" s="11">
        <f t="shared" si="23"/>
        <v>218.5</v>
      </c>
      <c r="K281" s="12" t="str">
        <f t="shared" si="20"/>
        <v>Low Stock_Reorder Needed</v>
      </c>
      <c r="L281" s="12">
        <f t="shared" si="21"/>
        <v>195.5</v>
      </c>
      <c r="M281" s="6">
        <v>45526</v>
      </c>
      <c r="N281" s="6">
        <v>45451</v>
      </c>
      <c r="O281" s="6">
        <v>45457</v>
      </c>
      <c r="P281" s="7" t="s">
        <v>1172</v>
      </c>
      <c r="Q281" s="5">
        <v>96</v>
      </c>
      <c r="R281" s="10">
        <f t="shared" si="22"/>
        <v>1104</v>
      </c>
      <c r="S281" s="5">
        <v>74</v>
      </c>
      <c r="T281" s="5" t="s">
        <v>27</v>
      </c>
      <c r="U281" s="11">
        <f t="shared" si="24"/>
        <v>885.5</v>
      </c>
    </row>
    <row r="282" spans="1:21" ht="16" x14ac:dyDescent="0.4">
      <c r="A282" s="2" t="s">
        <v>1173</v>
      </c>
      <c r="B282" s="3" t="s">
        <v>711</v>
      </c>
      <c r="C282" s="28" t="s">
        <v>59</v>
      </c>
      <c r="D282" s="2" t="s">
        <v>1174</v>
      </c>
      <c r="E282" s="4" t="s">
        <v>1175</v>
      </c>
      <c r="F282" s="5">
        <v>70</v>
      </c>
      <c r="G282" s="5">
        <v>96</v>
      </c>
      <c r="H282" s="5">
        <v>21</v>
      </c>
      <c r="I282" s="10">
        <v>2</v>
      </c>
      <c r="J282" s="11">
        <f t="shared" si="23"/>
        <v>140</v>
      </c>
      <c r="K282" s="12" t="str">
        <f t="shared" si="20"/>
        <v>Low Stock_Reorder Needed</v>
      </c>
      <c r="L282" s="12">
        <f t="shared" si="21"/>
        <v>42</v>
      </c>
      <c r="M282" s="6">
        <v>45622</v>
      </c>
      <c r="N282" s="6">
        <v>45545</v>
      </c>
      <c r="O282" s="6">
        <v>45507</v>
      </c>
      <c r="P282" s="7" t="s">
        <v>1176</v>
      </c>
      <c r="Q282" s="5">
        <v>100</v>
      </c>
      <c r="R282" s="10">
        <f t="shared" si="22"/>
        <v>200</v>
      </c>
      <c r="S282" s="5">
        <v>15</v>
      </c>
      <c r="T282" s="5" t="s">
        <v>27</v>
      </c>
      <c r="U282" s="11">
        <f t="shared" si="24"/>
        <v>60</v>
      </c>
    </row>
    <row r="283" spans="1:21" ht="16" x14ac:dyDescent="0.4">
      <c r="A283" s="2" t="s">
        <v>1177</v>
      </c>
      <c r="B283" s="3" t="s">
        <v>984</v>
      </c>
      <c r="C283" s="28" t="s">
        <v>90</v>
      </c>
      <c r="D283" s="2" t="s">
        <v>1178</v>
      </c>
      <c r="E283" s="4" t="s">
        <v>1179</v>
      </c>
      <c r="F283" s="5">
        <v>90</v>
      </c>
      <c r="G283" s="5">
        <v>52</v>
      </c>
      <c r="H283" s="5">
        <v>50</v>
      </c>
      <c r="I283" s="10">
        <v>4</v>
      </c>
      <c r="J283" s="11">
        <f t="shared" si="23"/>
        <v>360</v>
      </c>
      <c r="K283" s="12" t="str">
        <f t="shared" si="20"/>
        <v>Stock_Sufficient</v>
      </c>
      <c r="L283" s="12">
        <f t="shared" si="21"/>
        <v>200</v>
      </c>
      <c r="M283" s="6">
        <v>45472</v>
      </c>
      <c r="N283" s="6">
        <v>45397</v>
      </c>
      <c r="O283" s="6">
        <v>45419</v>
      </c>
      <c r="P283" s="7" t="s">
        <v>1180</v>
      </c>
      <c r="Q283" s="5">
        <v>63</v>
      </c>
      <c r="R283" s="10">
        <f t="shared" si="22"/>
        <v>252</v>
      </c>
      <c r="S283" s="5">
        <v>14</v>
      </c>
      <c r="T283" s="5" t="s">
        <v>27</v>
      </c>
      <c r="U283" s="11">
        <f t="shared" si="24"/>
        <v>-108</v>
      </c>
    </row>
    <row r="284" spans="1:21" ht="16" x14ac:dyDescent="0.4">
      <c r="A284" s="2" t="s">
        <v>1181</v>
      </c>
      <c r="B284" s="3" t="s">
        <v>984</v>
      </c>
      <c r="C284" s="28" t="s">
        <v>90</v>
      </c>
      <c r="D284" s="2" t="s">
        <v>1182</v>
      </c>
      <c r="E284" s="4" t="s">
        <v>129</v>
      </c>
      <c r="F284" s="5">
        <v>77</v>
      </c>
      <c r="G284" s="5">
        <v>79</v>
      </c>
      <c r="H284" s="5">
        <v>65</v>
      </c>
      <c r="I284" s="10">
        <v>4</v>
      </c>
      <c r="J284" s="11">
        <f t="shared" si="23"/>
        <v>308</v>
      </c>
      <c r="K284" s="12" t="str">
        <f t="shared" si="20"/>
        <v>Low Stock_Reorder Needed</v>
      </c>
      <c r="L284" s="12">
        <f t="shared" si="21"/>
        <v>260</v>
      </c>
      <c r="M284" s="6">
        <v>45536</v>
      </c>
      <c r="N284" s="6">
        <v>45368</v>
      </c>
      <c r="O284" s="6">
        <v>45504</v>
      </c>
      <c r="P284" s="7" t="s">
        <v>1183</v>
      </c>
      <c r="Q284" s="5">
        <v>62</v>
      </c>
      <c r="R284" s="10">
        <f t="shared" si="22"/>
        <v>248</v>
      </c>
      <c r="S284" s="5">
        <v>75</v>
      </c>
      <c r="T284" s="5" t="s">
        <v>39</v>
      </c>
      <c r="U284" s="11">
        <f t="shared" si="24"/>
        <v>-60</v>
      </c>
    </row>
    <row r="285" spans="1:21" ht="16" x14ac:dyDescent="0.4">
      <c r="A285" s="2" t="s">
        <v>1184</v>
      </c>
      <c r="B285" s="3" t="s">
        <v>1185</v>
      </c>
      <c r="C285" s="28" t="s">
        <v>48</v>
      </c>
      <c r="D285" s="2" t="s">
        <v>1186</v>
      </c>
      <c r="E285" s="4" t="s">
        <v>1116</v>
      </c>
      <c r="F285" s="5">
        <v>38</v>
      </c>
      <c r="G285" s="5">
        <v>22</v>
      </c>
      <c r="H285" s="5">
        <v>71</v>
      </c>
      <c r="I285" s="10">
        <v>5</v>
      </c>
      <c r="J285" s="11">
        <f t="shared" si="23"/>
        <v>190</v>
      </c>
      <c r="K285" s="12" t="str">
        <f t="shared" si="20"/>
        <v>Stock_Sufficient</v>
      </c>
      <c r="L285" s="12">
        <f t="shared" si="21"/>
        <v>355</v>
      </c>
      <c r="M285" s="6">
        <v>45572</v>
      </c>
      <c r="N285" s="6">
        <v>45428</v>
      </c>
      <c r="O285" s="6">
        <v>45420</v>
      </c>
      <c r="P285" s="7" t="s">
        <v>1187</v>
      </c>
      <c r="Q285" s="5">
        <v>33</v>
      </c>
      <c r="R285" s="10">
        <f t="shared" si="22"/>
        <v>165</v>
      </c>
      <c r="S285" s="5">
        <v>62</v>
      </c>
      <c r="T285" s="5" t="s">
        <v>45</v>
      </c>
      <c r="U285" s="11">
        <f t="shared" si="24"/>
        <v>-25</v>
      </c>
    </row>
    <row r="286" spans="1:21" ht="16" x14ac:dyDescent="0.4">
      <c r="A286" s="2" t="s">
        <v>1188</v>
      </c>
      <c r="B286" s="3" t="s">
        <v>509</v>
      </c>
      <c r="C286" s="28" t="s">
        <v>133</v>
      </c>
      <c r="D286" s="2" t="s">
        <v>1189</v>
      </c>
      <c r="E286" s="4" t="s">
        <v>1190</v>
      </c>
      <c r="F286" s="5">
        <v>93</v>
      </c>
      <c r="G286" s="5">
        <v>25</v>
      </c>
      <c r="H286" s="5">
        <v>23</v>
      </c>
      <c r="I286" s="10">
        <v>7</v>
      </c>
      <c r="J286" s="11">
        <f t="shared" si="23"/>
        <v>651</v>
      </c>
      <c r="K286" s="12" t="str">
        <f t="shared" si="20"/>
        <v>Stock_Sufficient</v>
      </c>
      <c r="L286" s="12">
        <f t="shared" si="21"/>
        <v>161</v>
      </c>
      <c r="M286" s="6">
        <v>45464</v>
      </c>
      <c r="N286" s="6">
        <v>45521</v>
      </c>
      <c r="O286" s="6">
        <v>45411</v>
      </c>
      <c r="P286" s="7" t="s">
        <v>1191</v>
      </c>
      <c r="Q286" s="5">
        <v>72</v>
      </c>
      <c r="R286" s="10">
        <f t="shared" si="22"/>
        <v>504</v>
      </c>
      <c r="S286" s="5">
        <v>83</v>
      </c>
      <c r="T286" s="5" t="s">
        <v>39</v>
      </c>
      <c r="U286" s="11">
        <f t="shared" si="24"/>
        <v>-147</v>
      </c>
    </row>
    <row r="287" spans="1:21" ht="16" x14ac:dyDescent="0.4">
      <c r="A287" s="2" t="s">
        <v>1192</v>
      </c>
      <c r="B287" s="3" t="s">
        <v>1193</v>
      </c>
      <c r="C287" s="28" t="s">
        <v>65</v>
      </c>
      <c r="D287" s="2" t="s">
        <v>1194</v>
      </c>
      <c r="E287" s="4" t="s">
        <v>1195</v>
      </c>
      <c r="F287" s="5">
        <v>23</v>
      </c>
      <c r="G287" s="5">
        <v>100</v>
      </c>
      <c r="H287" s="5">
        <v>77</v>
      </c>
      <c r="I287" s="10">
        <v>2</v>
      </c>
      <c r="J287" s="11">
        <f t="shared" si="23"/>
        <v>46</v>
      </c>
      <c r="K287" s="12" t="str">
        <f t="shared" si="20"/>
        <v>Low Stock_Reorder Needed</v>
      </c>
      <c r="L287" s="12">
        <f t="shared" si="21"/>
        <v>154</v>
      </c>
      <c r="M287" s="6">
        <v>45422</v>
      </c>
      <c r="N287" s="6">
        <v>45514</v>
      </c>
      <c r="O287" s="6">
        <v>45355</v>
      </c>
      <c r="P287" s="7" t="s">
        <v>1196</v>
      </c>
      <c r="Q287" s="5">
        <v>63</v>
      </c>
      <c r="R287" s="10">
        <f t="shared" si="22"/>
        <v>126</v>
      </c>
      <c r="S287" s="5">
        <v>26</v>
      </c>
      <c r="T287" s="5" t="s">
        <v>27</v>
      </c>
      <c r="U287" s="11">
        <f t="shared" si="24"/>
        <v>80</v>
      </c>
    </row>
    <row r="288" spans="1:21" ht="16" x14ac:dyDescent="0.4">
      <c r="A288" s="2" t="s">
        <v>1197</v>
      </c>
      <c r="B288" s="3" t="s">
        <v>673</v>
      </c>
      <c r="C288" s="28" t="s">
        <v>30</v>
      </c>
      <c r="D288" s="2" t="s">
        <v>1198</v>
      </c>
      <c r="E288" s="4" t="s">
        <v>1199</v>
      </c>
      <c r="F288" s="5">
        <v>51</v>
      </c>
      <c r="G288" s="5">
        <v>1</v>
      </c>
      <c r="H288" s="5">
        <v>61</v>
      </c>
      <c r="I288" s="10">
        <v>7.6</v>
      </c>
      <c r="J288" s="11">
        <f t="shared" si="23"/>
        <v>387.59999999999997</v>
      </c>
      <c r="K288" s="12" t="str">
        <f t="shared" si="20"/>
        <v>Stock_Sufficient</v>
      </c>
      <c r="L288" s="12">
        <f t="shared" si="21"/>
        <v>463.59999999999997</v>
      </c>
      <c r="M288" s="6">
        <v>45380</v>
      </c>
      <c r="N288" s="6">
        <v>45461</v>
      </c>
      <c r="O288" s="6">
        <v>45613</v>
      </c>
      <c r="P288" s="7" t="s">
        <v>1200</v>
      </c>
      <c r="Q288" s="5">
        <v>96</v>
      </c>
      <c r="R288" s="10">
        <f t="shared" si="22"/>
        <v>729.59999999999991</v>
      </c>
      <c r="S288" s="5">
        <v>26</v>
      </c>
      <c r="T288" s="5" t="s">
        <v>45</v>
      </c>
      <c r="U288" s="11">
        <f t="shared" si="24"/>
        <v>341.99999999999994</v>
      </c>
    </row>
    <row r="289" spans="1:21" ht="16" x14ac:dyDescent="0.4">
      <c r="A289" s="2" t="s">
        <v>1201</v>
      </c>
      <c r="B289" s="3" t="s">
        <v>364</v>
      </c>
      <c r="C289" s="28" t="s">
        <v>65</v>
      </c>
      <c r="D289" s="2" t="s">
        <v>1202</v>
      </c>
      <c r="E289" s="4" t="s">
        <v>1203</v>
      </c>
      <c r="F289" s="5">
        <v>57</v>
      </c>
      <c r="G289" s="5">
        <v>62</v>
      </c>
      <c r="H289" s="5">
        <v>72</v>
      </c>
      <c r="I289" s="10">
        <v>4</v>
      </c>
      <c r="J289" s="11">
        <f t="shared" si="23"/>
        <v>228</v>
      </c>
      <c r="K289" s="12" t="str">
        <f t="shared" si="20"/>
        <v>Low Stock_Reorder Needed</v>
      </c>
      <c r="L289" s="12">
        <f t="shared" si="21"/>
        <v>288</v>
      </c>
      <c r="M289" s="6">
        <v>45709</v>
      </c>
      <c r="N289" s="6">
        <v>45560</v>
      </c>
      <c r="O289" s="6">
        <v>45514</v>
      </c>
      <c r="P289" s="7" t="s">
        <v>1204</v>
      </c>
      <c r="Q289" s="5">
        <v>23</v>
      </c>
      <c r="R289" s="10">
        <f t="shared" si="22"/>
        <v>92</v>
      </c>
      <c r="S289" s="5">
        <v>4</v>
      </c>
      <c r="T289" s="5" t="s">
        <v>39</v>
      </c>
      <c r="U289" s="11">
        <f t="shared" si="24"/>
        <v>-136</v>
      </c>
    </row>
    <row r="290" spans="1:21" ht="16" x14ac:dyDescent="0.4">
      <c r="A290" s="2" t="s">
        <v>1205</v>
      </c>
      <c r="B290" s="3" t="s">
        <v>1206</v>
      </c>
      <c r="C290" s="28" t="s">
        <v>48</v>
      </c>
      <c r="D290" s="2" t="s">
        <v>1207</v>
      </c>
      <c r="E290" s="4" t="s">
        <v>1140</v>
      </c>
      <c r="F290" s="5">
        <v>59</v>
      </c>
      <c r="G290" s="5">
        <v>74</v>
      </c>
      <c r="H290" s="5">
        <v>100</v>
      </c>
      <c r="I290" s="10">
        <v>4.5</v>
      </c>
      <c r="J290" s="11">
        <f t="shared" si="23"/>
        <v>265.5</v>
      </c>
      <c r="K290" s="12" t="str">
        <f t="shared" si="20"/>
        <v>Low Stock_Reorder Needed</v>
      </c>
      <c r="L290" s="12">
        <f t="shared" si="21"/>
        <v>450</v>
      </c>
      <c r="M290" s="6">
        <v>45377</v>
      </c>
      <c r="N290" s="6">
        <v>45550</v>
      </c>
      <c r="O290" s="6">
        <v>45608</v>
      </c>
      <c r="P290" s="7" t="s">
        <v>1208</v>
      </c>
      <c r="Q290" s="5">
        <v>63</v>
      </c>
      <c r="R290" s="10">
        <f t="shared" si="22"/>
        <v>283.5</v>
      </c>
      <c r="S290" s="5">
        <v>69</v>
      </c>
      <c r="T290" s="5" t="s">
        <v>45</v>
      </c>
      <c r="U290" s="11">
        <f t="shared" si="24"/>
        <v>18</v>
      </c>
    </row>
    <row r="291" spans="1:21" ht="16" x14ac:dyDescent="0.4">
      <c r="A291" s="2" t="s">
        <v>1209</v>
      </c>
      <c r="B291" s="3" t="s">
        <v>441</v>
      </c>
      <c r="C291" s="28" t="s">
        <v>48</v>
      </c>
      <c r="D291" s="2" t="s">
        <v>1210</v>
      </c>
      <c r="E291" s="4" t="s">
        <v>241</v>
      </c>
      <c r="F291" s="5">
        <v>89</v>
      </c>
      <c r="G291" s="5">
        <v>15</v>
      </c>
      <c r="H291" s="5">
        <v>22</v>
      </c>
      <c r="I291" s="10">
        <v>10</v>
      </c>
      <c r="J291" s="11">
        <f t="shared" si="23"/>
        <v>890</v>
      </c>
      <c r="K291" s="12" t="str">
        <f t="shared" si="20"/>
        <v>Stock_Sufficient</v>
      </c>
      <c r="L291" s="12">
        <f t="shared" si="21"/>
        <v>220</v>
      </c>
      <c r="M291" s="6">
        <v>45613</v>
      </c>
      <c r="N291" s="6">
        <v>45699</v>
      </c>
      <c r="O291" s="6">
        <v>45415</v>
      </c>
      <c r="P291" s="7" t="s">
        <v>1211</v>
      </c>
      <c r="Q291" s="5">
        <v>79</v>
      </c>
      <c r="R291" s="10">
        <f t="shared" si="22"/>
        <v>790</v>
      </c>
      <c r="S291" s="5">
        <v>42</v>
      </c>
      <c r="T291" s="5" t="s">
        <v>27</v>
      </c>
      <c r="U291" s="11">
        <f t="shared" si="24"/>
        <v>-100</v>
      </c>
    </row>
    <row r="292" spans="1:21" ht="16" x14ac:dyDescent="0.4">
      <c r="A292" s="2" t="s">
        <v>1212</v>
      </c>
      <c r="B292" s="3" t="s">
        <v>441</v>
      </c>
      <c r="C292" s="28" t="s">
        <v>48</v>
      </c>
      <c r="D292" s="2" t="s">
        <v>1213</v>
      </c>
      <c r="E292" s="4" t="s">
        <v>189</v>
      </c>
      <c r="F292" s="5">
        <v>53</v>
      </c>
      <c r="G292" s="5">
        <v>98</v>
      </c>
      <c r="H292" s="5">
        <v>25</v>
      </c>
      <c r="I292" s="10">
        <v>10</v>
      </c>
      <c r="J292" s="11">
        <f t="shared" si="23"/>
        <v>530</v>
      </c>
      <c r="K292" s="12" t="str">
        <f t="shared" si="20"/>
        <v>Low Stock_Reorder Needed</v>
      </c>
      <c r="L292" s="12">
        <f t="shared" si="21"/>
        <v>250</v>
      </c>
      <c r="M292" s="6">
        <v>45558</v>
      </c>
      <c r="N292" s="6">
        <v>45539</v>
      </c>
      <c r="O292" s="6">
        <v>45646</v>
      </c>
      <c r="P292" s="7" t="s">
        <v>1214</v>
      </c>
      <c r="Q292" s="5">
        <v>55</v>
      </c>
      <c r="R292" s="10">
        <f t="shared" si="22"/>
        <v>550</v>
      </c>
      <c r="S292" s="5">
        <v>51</v>
      </c>
      <c r="T292" s="5" t="s">
        <v>45</v>
      </c>
      <c r="U292" s="11">
        <f t="shared" si="24"/>
        <v>20</v>
      </c>
    </row>
    <row r="293" spans="1:21" ht="16" x14ac:dyDescent="0.4">
      <c r="A293" s="2" t="s">
        <v>1215</v>
      </c>
      <c r="B293" s="3" t="s">
        <v>47</v>
      </c>
      <c r="C293" s="28" t="s">
        <v>48</v>
      </c>
      <c r="D293" s="2" t="s">
        <v>1216</v>
      </c>
      <c r="E293" s="4" t="s">
        <v>606</v>
      </c>
      <c r="F293" s="5">
        <v>11</v>
      </c>
      <c r="G293" s="5">
        <v>56</v>
      </c>
      <c r="H293" s="5">
        <v>62</v>
      </c>
      <c r="I293" s="10">
        <v>3.9</v>
      </c>
      <c r="J293" s="11">
        <f t="shared" si="23"/>
        <v>42.9</v>
      </c>
      <c r="K293" s="12" t="str">
        <f t="shared" si="20"/>
        <v>Low Stock_Reorder Needed</v>
      </c>
      <c r="L293" s="12">
        <f t="shared" si="21"/>
        <v>241.79999999999998</v>
      </c>
      <c r="M293" s="6">
        <v>45396</v>
      </c>
      <c r="N293" s="6">
        <v>45667</v>
      </c>
      <c r="O293" s="6">
        <v>45575</v>
      </c>
      <c r="P293" s="7" t="s">
        <v>1217</v>
      </c>
      <c r="Q293" s="5">
        <v>40</v>
      </c>
      <c r="R293" s="10">
        <f t="shared" si="22"/>
        <v>156</v>
      </c>
      <c r="S293" s="5">
        <v>5</v>
      </c>
      <c r="T293" s="5" t="s">
        <v>39</v>
      </c>
      <c r="U293" s="11">
        <f t="shared" si="24"/>
        <v>113.1</v>
      </c>
    </row>
    <row r="294" spans="1:21" ht="16" x14ac:dyDescent="0.4">
      <c r="A294" s="2" t="s">
        <v>1218</v>
      </c>
      <c r="B294" s="3" t="s">
        <v>1219</v>
      </c>
      <c r="C294" s="28" t="s">
        <v>65</v>
      </c>
      <c r="D294" s="2" t="s">
        <v>1220</v>
      </c>
      <c r="E294" s="4" t="s">
        <v>1221</v>
      </c>
      <c r="F294" s="5">
        <v>59</v>
      </c>
      <c r="G294" s="5">
        <v>27</v>
      </c>
      <c r="H294" s="5">
        <v>63</v>
      </c>
      <c r="I294" s="10">
        <v>1.75</v>
      </c>
      <c r="J294" s="11">
        <f t="shared" si="23"/>
        <v>103.25</v>
      </c>
      <c r="K294" s="12" t="str">
        <f t="shared" si="20"/>
        <v>Stock_Sufficient</v>
      </c>
      <c r="L294" s="12">
        <f t="shared" si="21"/>
        <v>110.25</v>
      </c>
      <c r="M294" s="6">
        <v>45458</v>
      </c>
      <c r="N294" s="6">
        <v>45470</v>
      </c>
      <c r="O294" s="6">
        <v>45689</v>
      </c>
      <c r="P294" s="7" t="s">
        <v>1222</v>
      </c>
      <c r="Q294" s="5">
        <v>92</v>
      </c>
      <c r="R294" s="10">
        <f t="shared" si="22"/>
        <v>161</v>
      </c>
      <c r="S294" s="5">
        <v>82</v>
      </c>
      <c r="T294" s="5" t="s">
        <v>27</v>
      </c>
      <c r="U294" s="11">
        <f t="shared" si="24"/>
        <v>57.75</v>
      </c>
    </row>
    <row r="295" spans="1:21" ht="16" x14ac:dyDescent="0.4">
      <c r="A295" s="2" t="s">
        <v>1223</v>
      </c>
      <c r="B295" s="3" t="s">
        <v>202</v>
      </c>
      <c r="C295" s="28" t="s">
        <v>48</v>
      </c>
      <c r="D295" s="2" t="s">
        <v>1224</v>
      </c>
      <c r="E295" s="4" t="s">
        <v>1225</v>
      </c>
      <c r="F295" s="5">
        <v>34</v>
      </c>
      <c r="G295" s="5">
        <v>29</v>
      </c>
      <c r="H295" s="5">
        <v>65</v>
      </c>
      <c r="I295" s="10">
        <v>2</v>
      </c>
      <c r="J295" s="11">
        <f t="shared" si="23"/>
        <v>68</v>
      </c>
      <c r="K295" s="12" t="str">
        <f t="shared" si="20"/>
        <v>Stock_Sufficient</v>
      </c>
      <c r="L295" s="12">
        <f t="shared" si="21"/>
        <v>130</v>
      </c>
      <c r="M295" s="6">
        <v>45415</v>
      </c>
      <c r="N295" s="6">
        <v>45569</v>
      </c>
      <c r="O295" s="6">
        <v>45618</v>
      </c>
      <c r="P295" s="7" t="s">
        <v>1226</v>
      </c>
      <c r="Q295" s="5">
        <v>90</v>
      </c>
      <c r="R295" s="10">
        <f t="shared" si="22"/>
        <v>180</v>
      </c>
      <c r="S295" s="5">
        <v>23</v>
      </c>
      <c r="T295" s="5" t="s">
        <v>27</v>
      </c>
      <c r="U295" s="11">
        <f t="shared" si="24"/>
        <v>112</v>
      </c>
    </row>
    <row r="296" spans="1:21" ht="16" x14ac:dyDescent="0.4">
      <c r="A296" s="2" t="s">
        <v>1227</v>
      </c>
      <c r="B296" s="3" t="s">
        <v>625</v>
      </c>
      <c r="C296" s="28" t="s">
        <v>133</v>
      </c>
      <c r="D296" s="2" t="s">
        <v>1228</v>
      </c>
      <c r="E296" s="4" t="s">
        <v>72</v>
      </c>
      <c r="F296" s="5">
        <v>25</v>
      </c>
      <c r="G296" s="5">
        <v>75</v>
      </c>
      <c r="H296" s="5">
        <v>27</v>
      </c>
      <c r="I296" s="10">
        <v>18</v>
      </c>
      <c r="J296" s="11">
        <f t="shared" si="23"/>
        <v>450</v>
      </c>
      <c r="K296" s="12" t="str">
        <f t="shared" si="20"/>
        <v>Low Stock_Reorder Needed</v>
      </c>
      <c r="L296" s="12">
        <f t="shared" si="21"/>
        <v>486</v>
      </c>
      <c r="M296" s="6">
        <v>45659</v>
      </c>
      <c r="N296" s="6">
        <v>45570</v>
      </c>
      <c r="O296" s="6">
        <v>45416</v>
      </c>
      <c r="P296" s="7" t="s">
        <v>1229</v>
      </c>
      <c r="Q296" s="5">
        <v>31</v>
      </c>
      <c r="R296" s="10">
        <f t="shared" si="22"/>
        <v>558</v>
      </c>
      <c r="S296" s="5">
        <v>36</v>
      </c>
      <c r="T296" s="5" t="s">
        <v>45</v>
      </c>
      <c r="U296" s="11">
        <f t="shared" si="24"/>
        <v>108</v>
      </c>
    </row>
    <row r="297" spans="1:21" ht="16" x14ac:dyDescent="0.4">
      <c r="A297" s="2" t="s">
        <v>1230</v>
      </c>
      <c r="B297" s="3" t="s">
        <v>801</v>
      </c>
      <c r="C297" s="28" t="s">
        <v>133</v>
      </c>
      <c r="D297" s="2" t="s">
        <v>1231</v>
      </c>
      <c r="E297" s="4" t="s">
        <v>1232</v>
      </c>
      <c r="F297" s="5">
        <v>81</v>
      </c>
      <c r="G297" s="5">
        <v>22</v>
      </c>
      <c r="H297" s="5">
        <v>20</v>
      </c>
      <c r="I297" s="10">
        <v>10</v>
      </c>
      <c r="J297" s="11">
        <f t="shared" si="23"/>
        <v>810</v>
      </c>
      <c r="K297" s="12" t="str">
        <f t="shared" si="20"/>
        <v>Stock_Sufficient</v>
      </c>
      <c r="L297" s="12">
        <f t="shared" si="21"/>
        <v>200</v>
      </c>
      <c r="M297" s="6">
        <v>45444</v>
      </c>
      <c r="N297" s="6">
        <v>45711</v>
      </c>
      <c r="O297" s="6">
        <v>45526</v>
      </c>
      <c r="P297" s="7" t="s">
        <v>1233</v>
      </c>
      <c r="Q297" s="5">
        <v>95</v>
      </c>
      <c r="R297" s="10">
        <f t="shared" si="22"/>
        <v>950</v>
      </c>
      <c r="S297" s="5">
        <v>77</v>
      </c>
      <c r="T297" s="5" t="s">
        <v>27</v>
      </c>
      <c r="U297" s="11">
        <f t="shared" si="24"/>
        <v>140</v>
      </c>
    </row>
    <row r="298" spans="1:21" ht="16" x14ac:dyDescent="0.4">
      <c r="A298" s="2" t="s">
        <v>1234</v>
      </c>
      <c r="B298" s="3" t="s">
        <v>1235</v>
      </c>
      <c r="C298" s="28" t="s">
        <v>48</v>
      </c>
      <c r="D298" s="2" t="s">
        <v>1236</v>
      </c>
      <c r="E298" s="4" t="s">
        <v>1109</v>
      </c>
      <c r="F298" s="5">
        <v>81</v>
      </c>
      <c r="G298" s="5">
        <v>74</v>
      </c>
      <c r="H298" s="5">
        <v>45</v>
      </c>
      <c r="I298" s="10">
        <v>3.5</v>
      </c>
      <c r="J298" s="11">
        <f t="shared" si="23"/>
        <v>283.5</v>
      </c>
      <c r="K298" s="12" t="str">
        <f t="shared" si="20"/>
        <v>Stock_Sufficient</v>
      </c>
      <c r="L298" s="12">
        <f t="shared" si="21"/>
        <v>157.5</v>
      </c>
      <c r="M298" s="6">
        <v>45677</v>
      </c>
      <c r="N298" s="6">
        <v>45684</v>
      </c>
      <c r="O298" s="6">
        <v>45669</v>
      </c>
      <c r="P298" s="7" t="s">
        <v>1237</v>
      </c>
      <c r="Q298" s="5">
        <v>42</v>
      </c>
      <c r="R298" s="10">
        <f t="shared" si="22"/>
        <v>147</v>
      </c>
      <c r="S298" s="5">
        <v>23</v>
      </c>
      <c r="T298" s="5" t="s">
        <v>27</v>
      </c>
      <c r="U298" s="11">
        <f t="shared" si="24"/>
        <v>-136.5</v>
      </c>
    </row>
    <row r="299" spans="1:21" ht="16" x14ac:dyDescent="0.4">
      <c r="A299" s="2" t="s">
        <v>1238</v>
      </c>
      <c r="B299" s="3" t="s">
        <v>781</v>
      </c>
      <c r="C299" s="28" t="s">
        <v>48</v>
      </c>
      <c r="D299" s="2" t="s">
        <v>1239</v>
      </c>
      <c r="E299" s="4" t="s">
        <v>461</v>
      </c>
      <c r="F299" s="5">
        <v>71</v>
      </c>
      <c r="G299" s="5">
        <v>4</v>
      </c>
      <c r="H299" s="5">
        <v>37</v>
      </c>
      <c r="I299" s="10">
        <v>3</v>
      </c>
      <c r="J299" s="11">
        <f t="shared" si="23"/>
        <v>213</v>
      </c>
      <c r="K299" s="12" t="str">
        <f t="shared" si="20"/>
        <v>Stock_Sufficient</v>
      </c>
      <c r="L299" s="12">
        <f t="shared" si="21"/>
        <v>111</v>
      </c>
      <c r="M299" s="6">
        <v>45550</v>
      </c>
      <c r="N299" s="6">
        <v>45589</v>
      </c>
      <c r="O299" s="6">
        <v>45653</v>
      </c>
      <c r="P299" s="7" t="s">
        <v>1240</v>
      </c>
      <c r="Q299" s="5">
        <v>81</v>
      </c>
      <c r="R299" s="10">
        <f t="shared" si="22"/>
        <v>243</v>
      </c>
      <c r="S299" s="5">
        <v>25</v>
      </c>
      <c r="T299" s="5" t="s">
        <v>27</v>
      </c>
      <c r="U299" s="11">
        <f t="shared" si="24"/>
        <v>30</v>
      </c>
    </row>
    <row r="300" spans="1:21" ht="16" x14ac:dyDescent="0.4">
      <c r="A300" s="2" t="s">
        <v>1241</v>
      </c>
      <c r="B300" s="3" t="s">
        <v>595</v>
      </c>
      <c r="C300" s="28" t="s">
        <v>48</v>
      </c>
      <c r="D300" s="2" t="s">
        <v>1242</v>
      </c>
      <c r="E300" s="4" t="s">
        <v>1243</v>
      </c>
      <c r="F300" s="5">
        <v>52</v>
      </c>
      <c r="G300" s="5">
        <v>22</v>
      </c>
      <c r="H300" s="5">
        <v>37</v>
      </c>
      <c r="I300" s="10">
        <v>2.5</v>
      </c>
      <c r="J300" s="11">
        <f t="shared" si="23"/>
        <v>130</v>
      </c>
      <c r="K300" s="12" t="str">
        <f t="shared" si="20"/>
        <v>Stock_Sufficient</v>
      </c>
      <c r="L300" s="12">
        <f t="shared" si="21"/>
        <v>92.5</v>
      </c>
      <c r="M300" s="6">
        <v>45593</v>
      </c>
      <c r="N300" s="6">
        <v>45483</v>
      </c>
      <c r="O300" s="6">
        <v>45375</v>
      </c>
      <c r="P300" s="7" t="s">
        <v>1244</v>
      </c>
      <c r="Q300" s="5">
        <v>56</v>
      </c>
      <c r="R300" s="10">
        <f t="shared" si="22"/>
        <v>140</v>
      </c>
      <c r="S300" s="5">
        <v>44</v>
      </c>
      <c r="T300" s="5" t="s">
        <v>45</v>
      </c>
      <c r="U300" s="11">
        <f t="shared" si="24"/>
        <v>10</v>
      </c>
    </row>
    <row r="301" spans="1:21" ht="16" x14ac:dyDescent="0.4">
      <c r="A301" s="2" t="s">
        <v>1245</v>
      </c>
      <c r="B301" s="3" t="s">
        <v>70</v>
      </c>
      <c r="C301" s="28" t="s">
        <v>65</v>
      </c>
      <c r="D301" s="2" t="s">
        <v>1246</v>
      </c>
      <c r="E301" s="4" t="s">
        <v>1247</v>
      </c>
      <c r="F301" s="5">
        <v>26</v>
      </c>
      <c r="G301" s="5">
        <v>54</v>
      </c>
      <c r="H301" s="5">
        <v>90</v>
      </c>
      <c r="I301" s="10">
        <v>3</v>
      </c>
      <c r="J301" s="11">
        <f t="shared" si="23"/>
        <v>78</v>
      </c>
      <c r="K301" s="12" t="str">
        <f t="shared" si="20"/>
        <v>Low Stock_Reorder Needed</v>
      </c>
      <c r="L301" s="12">
        <f t="shared" si="21"/>
        <v>270</v>
      </c>
      <c r="M301" s="6">
        <v>45580</v>
      </c>
      <c r="N301" s="6">
        <v>45462</v>
      </c>
      <c r="O301" s="6">
        <v>45678</v>
      </c>
      <c r="P301" s="7" t="s">
        <v>1248</v>
      </c>
      <c r="Q301" s="5">
        <v>25</v>
      </c>
      <c r="R301" s="10">
        <f t="shared" si="22"/>
        <v>75</v>
      </c>
      <c r="S301" s="5">
        <v>81</v>
      </c>
      <c r="T301" s="5" t="s">
        <v>45</v>
      </c>
      <c r="U301" s="11">
        <f t="shared" si="24"/>
        <v>-3</v>
      </c>
    </row>
    <row r="302" spans="1:21" ht="16" x14ac:dyDescent="0.4">
      <c r="A302" s="2" t="s">
        <v>1249</v>
      </c>
      <c r="B302" s="3" t="s">
        <v>197</v>
      </c>
      <c r="C302" s="28" t="s">
        <v>133</v>
      </c>
      <c r="D302" s="2" t="s">
        <v>1250</v>
      </c>
      <c r="E302" s="4" t="s">
        <v>1251</v>
      </c>
      <c r="F302" s="5">
        <v>84</v>
      </c>
      <c r="G302" s="5">
        <v>8</v>
      </c>
      <c r="H302" s="5">
        <v>54</v>
      </c>
      <c r="I302" s="10">
        <v>9</v>
      </c>
      <c r="J302" s="11">
        <f t="shared" si="23"/>
        <v>756</v>
      </c>
      <c r="K302" s="12" t="str">
        <f t="shared" si="20"/>
        <v>Stock_Sufficient</v>
      </c>
      <c r="L302" s="12">
        <f t="shared" si="21"/>
        <v>486</v>
      </c>
      <c r="M302" s="6">
        <v>45671</v>
      </c>
      <c r="N302" s="6">
        <v>45405</v>
      </c>
      <c r="O302" s="6">
        <v>45360</v>
      </c>
      <c r="P302" s="7" t="s">
        <v>1252</v>
      </c>
      <c r="Q302" s="5">
        <v>60</v>
      </c>
      <c r="R302" s="10">
        <f t="shared" si="22"/>
        <v>540</v>
      </c>
      <c r="S302" s="5">
        <v>38</v>
      </c>
      <c r="T302" s="5" t="s">
        <v>45</v>
      </c>
      <c r="U302" s="11">
        <f t="shared" si="24"/>
        <v>-216</v>
      </c>
    </row>
    <row r="303" spans="1:21" ht="16" x14ac:dyDescent="0.4">
      <c r="A303" s="2" t="s">
        <v>1253</v>
      </c>
      <c r="B303" s="3" t="s">
        <v>441</v>
      </c>
      <c r="C303" s="28" t="s">
        <v>48</v>
      </c>
      <c r="D303" s="2" t="s">
        <v>1254</v>
      </c>
      <c r="E303" s="4" t="s">
        <v>610</v>
      </c>
      <c r="F303" s="5">
        <v>28</v>
      </c>
      <c r="G303" s="5">
        <v>86</v>
      </c>
      <c r="H303" s="5">
        <v>44</v>
      </c>
      <c r="I303" s="10">
        <v>10</v>
      </c>
      <c r="J303" s="11">
        <f t="shared" si="23"/>
        <v>280</v>
      </c>
      <c r="K303" s="12" t="str">
        <f t="shared" si="20"/>
        <v>Low Stock_Reorder Needed</v>
      </c>
      <c r="L303" s="12">
        <f t="shared" si="21"/>
        <v>440</v>
      </c>
      <c r="M303" s="6">
        <v>45435</v>
      </c>
      <c r="N303" s="6">
        <v>45614</v>
      </c>
      <c r="O303" s="6">
        <v>45502</v>
      </c>
      <c r="P303" s="7" t="s">
        <v>1255</v>
      </c>
      <c r="Q303" s="5">
        <v>48</v>
      </c>
      <c r="R303" s="10">
        <f t="shared" si="22"/>
        <v>480</v>
      </c>
      <c r="S303" s="5">
        <v>12</v>
      </c>
      <c r="T303" s="5" t="s">
        <v>39</v>
      </c>
      <c r="U303" s="11">
        <f t="shared" si="24"/>
        <v>200</v>
      </c>
    </row>
    <row r="304" spans="1:21" ht="16" x14ac:dyDescent="0.4">
      <c r="A304" s="2" t="s">
        <v>1256</v>
      </c>
      <c r="B304" s="3" t="s">
        <v>99</v>
      </c>
      <c r="C304" s="28" t="s">
        <v>48</v>
      </c>
      <c r="D304" s="2" t="s">
        <v>1257</v>
      </c>
      <c r="E304" s="4" t="s">
        <v>1258</v>
      </c>
      <c r="F304" s="5">
        <v>94</v>
      </c>
      <c r="G304" s="5">
        <v>77</v>
      </c>
      <c r="H304" s="5">
        <v>89</v>
      </c>
      <c r="I304" s="10">
        <v>6</v>
      </c>
      <c r="J304" s="11">
        <f t="shared" si="23"/>
        <v>564</v>
      </c>
      <c r="K304" s="12" t="str">
        <f t="shared" si="20"/>
        <v>Stock_Sufficient</v>
      </c>
      <c r="L304" s="12">
        <f t="shared" si="21"/>
        <v>534</v>
      </c>
      <c r="M304" s="6">
        <v>45565</v>
      </c>
      <c r="N304" s="6">
        <v>45463</v>
      </c>
      <c r="O304" s="6">
        <v>45464</v>
      </c>
      <c r="P304" s="7" t="s">
        <v>1259</v>
      </c>
      <c r="Q304" s="5">
        <v>40</v>
      </c>
      <c r="R304" s="10">
        <f t="shared" si="22"/>
        <v>240</v>
      </c>
      <c r="S304" s="5">
        <v>84</v>
      </c>
      <c r="T304" s="5" t="s">
        <v>27</v>
      </c>
      <c r="U304" s="11">
        <f t="shared" si="24"/>
        <v>-324</v>
      </c>
    </row>
    <row r="305" spans="1:21" ht="16" x14ac:dyDescent="0.4">
      <c r="A305" s="2" t="s">
        <v>1260</v>
      </c>
      <c r="B305" s="3" t="s">
        <v>257</v>
      </c>
      <c r="C305" s="28" t="s">
        <v>48</v>
      </c>
      <c r="D305" s="2" t="s">
        <v>1261</v>
      </c>
      <c r="E305" s="4" t="s">
        <v>1262</v>
      </c>
      <c r="F305" s="5">
        <v>47</v>
      </c>
      <c r="G305" s="5">
        <v>75</v>
      </c>
      <c r="H305" s="5">
        <v>53</v>
      </c>
      <c r="I305" s="10">
        <v>6</v>
      </c>
      <c r="J305" s="11">
        <f t="shared" si="23"/>
        <v>282</v>
      </c>
      <c r="K305" s="12" t="str">
        <f t="shared" si="20"/>
        <v>Low Stock_Reorder Needed</v>
      </c>
      <c r="L305" s="12">
        <f t="shared" si="21"/>
        <v>318</v>
      </c>
      <c r="M305" s="6">
        <v>45694</v>
      </c>
      <c r="N305" s="6">
        <v>45568</v>
      </c>
      <c r="O305" s="6">
        <v>45476</v>
      </c>
      <c r="P305" s="7" t="s">
        <v>1263</v>
      </c>
      <c r="Q305" s="5">
        <v>70</v>
      </c>
      <c r="R305" s="10">
        <f t="shared" si="22"/>
        <v>420</v>
      </c>
      <c r="S305" s="5">
        <v>20</v>
      </c>
      <c r="T305" s="5" t="s">
        <v>27</v>
      </c>
      <c r="U305" s="11">
        <f t="shared" si="24"/>
        <v>138</v>
      </c>
    </row>
    <row r="306" spans="1:21" ht="16" x14ac:dyDescent="0.4">
      <c r="A306" s="2" t="s">
        <v>1264</v>
      </c>
      <c r="B306" s="3" t="s">
        <v>1265</v>
      </c>
      <c r="C306" s="28" t="s">
        <v>23</v>
      </c>
      <c r="D306" s="2" t="s">
        <v>1266</v>
      </c>
      <c r="E306" s="4" t="s">
        <v>973</v>
      </c>
      <c r="F306" s="5">
        <v>20</v>
      </c>
      <c r="G306" s="5">
        <v>51</v>
      </c>
      <c r="H306" s="5">
        <v>21</v>
      </c>
      <c r="I306" s="10">
        <v>5</v>
      </c>
      <c r="J306" s="11">
        <f t="shared" si="23"/>
        <v>100</v>
      </c>
      <c r="K306" s="12" t="str">
        <f t="shared" si="20"/>
        <v>Low Stock_Reorder Needed</v>
      </c>
      <c r="L306" s="12">
        <f t="shared" si="21"/>
        <v>105</v>
      </c>
      <c r="M306" s="6">
        <v>45370</v>
      </c>
      <c r="N306" s="6">
        <v>45501</v>
      </c>
      <c r="O306" s="6">
        <v>45461</v>
      </c>
      <c r="P306" s="7" t="s">
        <v>1267</v>
      </c>
      <c r="Q306" s="5">
        <v>71</v>
      </c>
      <c r="R306" s="10">
        <f t="shared" si="22"/>
        <v>355</v>
      </c>
      <c r="S306" s="5">
        <v>26</v>
      </c>
      <c r="T306" s="5" t="s">
        <v>39</v>
      </c>
      <c r="U306" s="11">
        <f t="shared" si="24"/>
        <v>255</v>
      </c>
    </row>
    <row r="307" spans="1:21" ht="16" x14ac:dyDescent="0.4">
      <c r="A307" s="2" t="s">
        <v>1268</v>
      </c>
      <c r="B307" s="3" t="s">
        <v>1269</v>
      </c>
      <c r="C307" s="28" t="s">
        <v>48</v>
      </c>
      <c r="D307" s="2" t="s">
        <v>1270</v>
      </c>
      <c r="E307" s="4" t="s">
        <v>908</v>
      </c>
      <c r="F307" s="5">
        <v>84</v>
      </c>
      <c r="G307" s="5">
        <v>20</v>
      </c>
      <c r="H307" s="5">
        <v>58</v>
      </c>
      <c r="I307" s="10">
        <v>2.5</v>
      </c>
      <c r="J307" s="11">
        <f t="shared" si="23"/>
        <v>210</v>
      </c>
      <c r="K307" s="12" t="str">
        <f t="shared" si="20"/>
        <v>Stock_Sufficient</v>
      </c>
      <c r="L307" s="12">
        <f t="shared" si="21"/>
        <v>145</v>
      </c>
      <c r="M307" s="6">
        <v>45390</v>
      </c>
      <c r="N307" s="6">
        <v>45667</v>
      </c>
      <c r="O307" s="6">
        <v>45384</v>
      </c>
      <c r="P307" s="7" t="s">
        <v>1271</v>
      </c>
      <c r="Q307" s="5">
        <v>86</v>
      </c>
      <c r="R307" s="10">
        <f t="shared" si="22"/>
        <v>215</v>
      </c>
      <c r="S307" s="5">
        <v>64</v>
      </c>
      <c r="T307" s="5" t="s">
        <v>39</v>
      </c>
      <c r="U307" s="11">
        <f t="shared" si="24"/>
        <v>5</v>
      </c>
    </row>
    <row r="308" spans="1:21" ht="16" x14ac:dyDescent="0.4">
      <c r="A308" s="2" t="s">
        <v>1272</v>
      </c>
      <c r="B308" s="3" t="s">
        <v>451</v>
      </c>
      <c r="C308" s="28" t="s">
        <v>65</v>
      </c>
      <c r="D308" s="2" t="s">
        <v>1273</v>
      </c>
      <c r="E308" s="4" t="s">
        <v>124</v>
      </c>
      <c r="F308" s="5">
        <v>100</v>
      </c>
      <c r="G308" s="5">
        <v>31</v>
      </c>
      <c r="H308" s="5">
        <v>43</v>
      </c>
      <c r="I308" s="10">
        <v>9</v>
      </c>
      <c r="J308" s="11">
        <f t="shared" si="23"/>
        <v>900</v>
      </c>
      <c r="K308" s="12" t="str">
        <f t="shared" si="20"/>
        <v>Stock_Sufficient</v>
      </c>
      <c r="L308" s="12">
        <f t="shared" si="21"/>
        <v>387</v>
      </c>
      <c r="M308" s="6">
        <v>45548</v>
      </c>
      <c r="N308" s="6">
        <v>45663</v>
      </c>
      <c r="O308" s="6">
        <v>45652</v>
      </c>
      <c r="P308" s="7" t="s">
        <v>1274</v>
      </c>
      <c r="Q308" s="5">
        <v>88</v>
      </c>
      <c r="R308" s="10">
        <f t="shared" si="22"/>
        <v>792</v>
      </c>
      <c r="S308" s="5">
        <v>52</v>
      </c>
      <c r="T308" s="5" t="s">
        <v>39</v>
      </c>
      <c r="U308" s="11">
        <f t="shared" si="24"/>
        <v>-108</v>
      </c>
    </row>
    <row r="309" spans="1:21" ht="16" x14ac:dyDescent="0.4">
      <c r="A309" s="2" t="s">
        <v>1275</v>
      </c>
      <c r="B309" s="3" t="s">
        <v>1100</v>
      </c>
      <c r="C309" s="28" t="s">
        <v>65</v>
      </c>
      <c r="D309" s="2" t="s">
        <v>1276</v>
      </c>
      <c r="E309" s="4" t="s">
        <v>986</v>
      </c>
      <c r="F309" s="5">
        <v>74</v>
      </c>
      <c r="G309" s="5">
        <v>90</v>
      </c>
      <c r="H309" s="5">
        <v>26</v>
      </c>
      <c r="I309" s="10">
        <v>1</v>
      </c>
      <c r="J309" s="11">
        <f t="shared" si="23"/>
        <v>74</v>
      </c>
      <c r="K309" s="12" t="str">
        <f t="shared" si="20"/>
        <v>Low Stock_Reorder Needed</v>
      </c>
      <c r="L309" s="12">
        <f t="shared" si="21"/>
        <v>26</v>
      </c>
      <c r="M309" s="6">
        <v>45435</v>
      </c>
      <c r="N309" s="6">
        <v>45695</v>
      </c>
      <c r="O309" s="6">
        <v>45490</v>
      </c>
      <c r="P309" s="7" t="s">
        <v>1277</v>
      </c>
      <c r="Q309" s="5">
        <v>24</v>
      </c>
      <c r="R309" s="10">
        <f t="shared" si="22"/>
        <v>24</v>
      </c>
      <c r="S309" s="5">
        <v>11</v>
      </c>
      <c r="T309" s="5" t="s">
        <v>27</v>
      </c>
      <c r="U309" s="11">
        <f t="shared" si="24"/>
        <v>-50</v>
      </c>
    </row>
    <row r="310" spans="1:21" ht="16" x14ac:dyDescent="0.4">
      <c r="A310" s="2" t="s">
        <v>1278</v>
      </c>
      <c r="B310" s="3" t="s">
        <v>287</v>
      </c>
      <c r="C310" s="28" t="s">
        <v>30</v>
      </c>
      <c r="D310" s="2" t="s">
        <v>1279</v>
      </c>
      <c r="E310" s="4" t="s">
        <v>1280</v>
      </c>
      <c r="F310" s="5">
        <v>27</v>
      </c>
      <c r="G310" s="5">
        <v>12</v>
      </c>
      <c r="H310" s="5">
        <v>93</v>
      </c>
      <c r="I310" s="10">
        <v>12</v>
      </c>
      <c r="J310" s="11">
        <f t="shared" si="23"/>
        <v>324</v>
      </c>
      <c r="K310" s="12" t="str">
        <f t="shared" si="20"/>
        <v>Stock_Sufficient</v>
      </c>
      <c r="L310" s="12">
        <f t="shared" si="21"/>
        <v>1116</v>
      </c>
      <c r="M310" s="6">
        <v>45355</v>
      </c>
      <c r="N310" s="6">
        <v>45485</v>
      </c>
      <c r="O310" s="6">
        <v>45378</v>
      </c>
      <c r="P310" s="7" t="s">
        <v>1281</v>
      </c>
      <c r="Q310" s="5">
        <v>88</v>
      </c>
      <c r="R310" s="10">
        <f t="shared" si="22"/>
        <v>1056</v>
      </c>
      <c r="S310" s="5">
        <v>83</v>
      </c>
      <c r="T310" s="5" t="s">
        <v>27</v>
      </c>
      <c r="U310" s="11">
        <f t="shared" si="24"/>
        <v>732</v>
      </c>
    </row>
    <row r="311" spans="1:21" ht="16" x14ac:dyDescent="0.4">
      <c r="A311" s="2" t="s">
        <v>1282</v>
      </c>
      <c r="B311" s="3" t="s">
        <v>355</v>
      </c>
      <c r="C311" s="28" t="s">
        <v>48</v>
      </c>
      <c r="D311" s="2" t="s">
        <v>1283</v>
      </c>
      <c r="E311" s="4" t="s">
        <v>1284</v>
      </c>
      <c r="F311" s="5">
        <v>91</v>
      </c>
      <c r="G311" s="5">
        <v>55</v>
      </c>
      <c r="H311" s="5">
        <v>94</v>
      </c>
      <c r="I311" s="10">
        <v>3</v>
      </c>
      <c r="J311" s="11">
        <f t="shared" si="23"/>
        <v>273</v>
      </c>
      <c r="K311" s="12" t="str">
        <f t="shared" si="20"/>
        <v>Stock_Sufficient</v>
      </c>
      <c r="L311" s="12">
        <f t="shared" si="21"/>
        <v>282</v>
      </c>
      <c r="M311" s="6">
        <v>45362</v>
      </c>
      <c r="N311" s="6">
        <v>45392</v>
      </c>
      <c r="O311" s="6">
        <v>45408</v>
      </c>
      <c r="P311" s="7" t="s">
        <v>1285</v>
      </c>
      <c r="Q311" s="5">
        <v>42</v>
      </c>
      <c r="R311" s="10">
        <f t="shared" si="22"/>
        <v>126</v>
      </c>
      <c r="S311" s="5">
        <v>93</v>
      </c>
      <c r="T311" s="5" t="s">
        <v>45</v>
      </c>
      <c r="U311" s="11">
        <f t="shared" si="24"/>
        <v>-147</v>
      </c>
    </row>
    <row r="312" spans="1:21" ht="16" x14ac:dyDescent="0.4">
      <c r="A312" s="2" t="s">
        <v>1286</v>
      </c>
      <c r="B312" s="3" t="s">
        <v>1126</v>
      </c>
      <c r="C312" s="28" t="s">
        <v>48</v>
      </c>
      <c r="D312" s="2" t="s">
        <v>1287</v>
      </c>
      <c r="E312" s="4" t="s">
        <v>1288</v>
      </c>
      <c r="F312" s="5">
        <v>82</v>
      </c>
      <c r="G312" s="5">
        <v>21</v>
      </c>
      <c r="H312" s="5">
        <v>85</v>
      </c>
      <c r="I312" s="10">
        <v>5.5</v>
      </c>
      <c r="J312" s="11">
        <f t="shared" si="23"/>
        <v>451</v>
      </c>
      <c r="K312" s="12" t="str">
        <f t="shared" si="20"/>
        <v>Stock_Sufficient</v>
      </c>
      <c r="L312" s="12">
        <f t="shared" si="21"/>
        <v>467.5</v>
      </c>
      <c r="M312" s="6">
        <v>45396</v>
      </c>
      <c r="N312" s="6">
        <v>45370</v>
      </c>
      <c r="O312" s="6">
        <v>45481</v>
      </c>
      <c r="P312" s="7" t="s">
        <v>1289</v>
      </c>
      <c r="Q312" s="5">
        <v>39</v>
      </c>
      <c r="R312" s="10">
        <f t="shared" si="22"/>
        <v>214.5</v>
      </c>
      <c r="S312" s="5">
        <v>18</v>
      </c>
      <c r="T312" s="5" t="s">
        <v>39</v>
      </c>
      <c r="U312" s="11">
        <f t="shared" si="24"/>
        <v>-236.5</v>
      </c>
    </row>
    <row r="313" spans="1:21" ht="16" x14ac:dyDescent="0.4">
      <c r="A313" s="2" t="s">
        <v>1290</v>
      </c>
      <c r="B313" s="3" t="s">
        <v>109</v>
      </c>
      <c r="C313" s="28" t="s">
        <v>23</v>
      </c>
      <c r="D313" s="2" t="s">
        <v>1291</v>
      </c>
      <c r="E313" s="4" t="s">
        <v>352</v>
      </c>
      <c r="F313" s="5">
        <v>84</v>
      </c>
      <c r="G313" s="5">
        <v>91</v>
      </c>
      <c r="H313" s="5">
        <v>86</v>
      </c>
      <c r="I313" s="10">
        <v>1.5</v>
      </c>
      <c r="J313" s="11">
        <f t="shared" si="23"/>
        <v>126</v>
      </c>
      <c r="K313" s="12" t="str">
        <f t="shared" si="20"/>
        <v>Low Stock_Reorder Needed</v>
      </c>
      <c r="L313" s="12">
        <f t="shared" si="21"/>
        <v>129</v>
      </c>
      <c r="M313" s="6">
        <v>45665</v>
      </c>
      <c r="N313" s="6">
        <v>45633</v>
      </c>
      <c r="O313" s="6">
        <v>45618</v>
      </c>
      <c r="P313" s="7" t="s">
        <v>1292</v>
      </c>
      <c r="Q313" s="5">
        <v>83</v>
      </c>
      <c r="R313" s="10">
        <f t="shared" si="22"/>
        <v>124.5</v>
      </c>
      <c r="S313" s="5">
        <v>95</v>
      </c>
      <c r="T313" s="5" t="s">
        <v>39</v>
      </c>
      <c r="U313" s="11">
        <f t="shared" si="24"/>
        <v>-1.5</v>
      </c>
    </row>
    <row r="314" spans="1:21" ht="16" x14ac:dyDescent="0.4">
      <c r="A314" s="2" t="s">
        <v>1293</v>
      </c>
      <c r="B314" s="3" t="s">
        <v>1167</v>
      </c>
      <c r="C314" s="28" t="s">
        <v>133</v>
      </c>
      <c r="D314" s="2" t="s">
        <v>1294</v>
      </c>
      <c r="E314" s="4" t="s">
        <v>1295</v>
      </c>
      <c r="F314" s="5">
        <v>18</v>
      </c>
      <c r="G314" s="5">
        <v>46</v>
      </c>
      <c r="H314" s="5">
        <v>26</v>
      </c>
      <c r="I314" s="10">
        <v>20</v>
      </c>
      <c r="J314" s="11">
        <f t="shared" si="23"/>
        <v>360</v>
      </c>
      <c r="K314" s="12" t="str">
        <f t="shared" si="20"/>
        <v>Low Stock_Reorder Needed</v>
      </c>
      <c r="L314" s="12">
        <f t="shared" si="21"/>
        <v>520</v>
      </c>
      <c r="M314" s="6">
        <v>45392</v>
      </c>
      <c r="N314" s="6">
        <v>45575</v>
      </c>
      <c r="O314" s="6">
        <v>45548</v>
      </c>
      <c r="P314" s="7" t="s">
        <v>1296</v>
      </c>
      <c r="Q314" s="5">
        <v>57</v>
      </c>
      <c r="R314" s="10">
        <f t="shared" si="22"/>
        <v>1140</v>
      </c>
      <c r="S314" s="5">
        <v>95</v>
      </c>
      <c r="T314" s="5" t="s">
        <v>39</v>
      </c>
      <c r="U314" s="11">
        <f t="shared" si="24"/>
        <v>780</v>
      </c>
    </row>
    <row r="315" spans="1:21" ht="16" x14ac:dyDescent="0.4">
      <c r="A315" s="2" t="s">
        <v>1297</v>
      </c>
      <c r="B315" s="3" t="s">
        <v>266</v>
      </c>
      <c r="C315" s="28" t="s">
        <v>90</v>
      </c>
      <c r="D315" s="2" t="s">
        <v>1298</v>
      </c>
      <c r="E315" s="4" t="s">
        <v>1247</v>
      </c>
      <c r="F315" s="5">
        <v>12</v>
      </c>
      <c r="G315" s="5">
        <v>59</v>
      </c>
      <c r="H315" s="5">
        <v>62</v>
      </c>
      <c r="I315" s="10">
        <v>4.5</v>
      </c>
      <c r="J315" s="11">
        <f t="shared" si="23"/>
        <v>54</v>
      </c>
      <c r="K315" s="12" t="str">
        <f t="shared" si="20"/>
        <v>Low Stock_Reorder Needed</v>
      </c>
      <c r="L315" s="12">
        <f t="shared" si="21"/>
        <v>279</v>
      </c>
      <c r="M315" s="6">
        <v>45446</v>
      </c>
      <c r="N315" s="6">
        <v>45673</v>
      </c>
      <c r="O315" s="6">
        <v>45509</v>
      </c>
      <c r="P315" s="7" t="s">
        <v>1299</v>
      </c>
      <c r="Q315" s="5">
        <v>75</v>
      </c>
      <c r="R315" s="10">
        <f t="shared" si="22"/>
        <v>337.5</v>
      </c>
      <c r="S315" s="5">
        <v>92</v>
      </c>
      <c r="T315" s="5" t="s">
        <v>39</v>
      </c>
      <c r="U315" s="11">
        <f t="shared" si="24"/>
        <v>283.5</v>
      </c>
    </row>
    <row r="316" spans="1:21" ht="16" x14ac:dyDescent="0.4">
      <c r="A316" s="2" t="s">
        <v>1300</v>
      </c>
      <c r="B316" s="3" t="s">
        <v>35</v>
      </c>
      <c r="C316" s="28" t="s">
        <v>23</v>
      </c>
      <c r="D316" s="2" t="s">
        <v>1301</v>
      </c>
      <c r="E316" s="4" t="s">
        <v>96</v>
      </c>
      <c r="F316" s="5">
        <v>85</v>
      </c>
      <c r="G316" s="5">
        <v>4</v>
      </c>
      <c r="H316" s="5">
        <v>75</v>
      </c>
      <c r="I316" s="10">
        <v>6.5</v>
      </c>
      <c r="J316" s="11">
        <f t="shared" si="23"/>
        <v>552.5</v>
      </c>
      <c r="K316" s="12" t="str">
        <f t="shared" si="20"/>
        <v>Stock_Sufficient</v>
      </c>
      <c r="L316" s="12">
        <f t="shared" si="21"/>
        <v>487.5</v>
      </c>
      <c r="M316" s="6">
        <v>45522</v>
      </c>
      <c r="N316" s="6">
        <v>45385</v>
      </c>
      <c r="O316" s="6">
        <v>45599</v>
      </c>
      <c r="P316" s="7" t="s">
        <v>1302</v>
      </c>
      <c r="Q316" s="5">
        <v>95</v>
      </c>
      <c r="R316" s="10">
        <f t="shared" si="22"/>
        <v>617.5</v>
      </c>
      <c r="S316" s="5">
        <v>70</v>
      </c>
      <c r="T316" s="5" t="s">
        <v>39</v>
      </c>
      <c r="U316" s="11">
        <f t="shared" si="24"/>
        <v>65</v>
      </c>
    </row>
    <row r="317" spans="1:21" ht="16" x14ac:dyDescent="0.4">
      <c r="A317" s="2" t="s">
        <v>1303</v>
      </c>
      <c r="B317" s="3" t="s">
        <v>398</v>
      </c>
      <c r="C317" s="28" t="s">
        <v>90</v>
      </c>
      <c r="D317" s="2" t="s">
        <v>1304</v>
      </c>
      <c r="E317" s="4" t="s">
        <v>1305</v>
      </c>
      <c r="F317" s="5">
        <v>33</v>
      </c>
      <c r="G317" s="5">
        <v>60</v>
      </c>
      <c r="H317" s="5">
        <v>67</v>
      </c>
      <c r="I317" s="10">
        <v>6</v>
      </c>
      <c r="J317" s="11">
        <f t="shared" si="23"/>
        <v>198</v>
      </c>
      <c r="K317" s="12" t="str">
        <f t="shared" si="20"/>
        <v>Low Stock_Reorder Needed</v>
      </c>
      <c r="L317" s="12">
        <f t="shared" si="21"/>
        <v>402</v>
      </c>
      <c r="M317" s="6">
        <v>45459</v>
      </c>
      <c r="N317" s="6">
        <v>45436</v>
      </c>
      <c r="O317" s="6">
        <v>45654</v>
      </c>
      <c r="P317" s="7" t="s">
        <v>1306</v>
      </c>
      <c r="Q317" s="5">
        <v>20</v>
      </c>
      <c r="R317" s="10">
        <f t="shared" si="22"/>
        <v>120</v>
      </c>
      <c r="S317" s="5">
        <v>7</v>
      </c>
      <c r="T317" s="5" t="s">
        <v>27</v>
      </c>
      <c r="U317" s="11">
        <f t="shared" si="24"/>
        <v>-78</v>
      </c>
    </row>
    <row r="318" spans="1:21" ht="16" x14ac:dyDescent="0.4">
      <c r="A318" s="2" t="s">
        <v>1307</v>
      </c>
      <c r="B318" s="3" t="s">
        <v>509</v>
      </c>
      <c r="C318" s="28" t="s">
        <v>133</v>
      </c>
      <c r="D318" s="2" t="s">
        <v>1308</v>
      </c>
      <c r="E318" s="4" t="s">
        <v>639</v>
      </c>
      <c r="F318" s="5">
        <v>59</v>
      </c>
      <c r="G318" s="5">
        <v>59</v>
      </c>
      <c r="H318" s="5">
        <v>10</v>
      </c>
      <c r="I318" s="10">
        <v>7</v>
      </c>
      <c r="J318" s="11">
        <f t="shared" si="23"/>
        <v>413</v>
      </c>
      <c r="K318" s="12" t="str">
        <f t="shared" si="20"/>
        <v>Low Stock_Reorder Needed</v>
      </c>
      <c r="L318" s="12">
        <f t="shared" si="21"/>
        <v>70</v>
      </c>
      <c r="M318" s="6">
        <v>45522</v>
      </c>
      <c r="N318" s="6">
        <v>45606</v>
      </c>
      <c r="O318" s="6">
        <v>45366</v>
      </c>
      <c r="P318" s="7" t="s">
        <v>1309</v>
      </c>
      <c r="Q318" s="5">
        <v>57</v>
      </c>
      <c r="R318" s="10">
        <f t="shared" si="22"/>
        <v>399</v>
      </c>
      <c r="S318" s="5">
        <v>50</v>
      </c>
      <c r="T318" s="5" t="s">
        <v>45</v>
      </c>
      <c r="U318" s="11">
        <f t="shared" si="24"/>
        <v>-14</v>
      </c>
    </row>
    <row r="319" spans="1:21" ht="16" x14ac:dyDescent="0.4">
      <c r="A319" s="2" t="s">
        <v>1310</v>
      </c>
      <c r="B319" s="3" t="s">
        <v>1126</v>
      </c>
      <c r="C319" s="28" t="s">
        <v>48</v>
      </c>
      <c r="D319" s="2" t="s">
        <v>1311</v>
      </c>
      <c r="E319" s="4" t="s">
        <v>1312</v>
      </c>
      <c r="F319" s="5">
        <v>22</v>
      </c>
      <c r="G319" s="5">
        <v>69</v>
      </c>
      <c r="H319" s="5">
        <v>87</v>
      </c>
      <c r="I319" s="10">
        <v>5.5</v>
      </c>
      <c r="J319" s="11">
        <f t="shared" si="23"/>
        <v>121</v>
      </c>
      <c r="K319" s="12" t="str">
        <f t="shared" si="20"/>
        <v>Low Stock_Reorder Needed</v>
      </c>
      <c r="L319" s="12">
        <f t="shared" si="21"/>
        <v>478.5</v>
      </c>
      <c r="M319" s="6">
        <v>45697</v>
      </c>
      <c r="N319" s="6">
        <v>45458</v>
      </c>
      <c r="O319" s="6">
        <v>45708</v>
      </c>
      <c r="P319" s="7" t="s">
        <v>1313</v>
      </c>
      <c r="Q319" s="5">
        <v>34</v>
      </c>
      <c r="R319" s="10">
        <f t="shared" si="22"/>
        <v>187</v>
      </c>
      <c r="S319" s="5">
        <v>26</v>
      </c>
      <c r="T319" s="5" t="s">
        <v>39</v>
      </c>
      <c r="U319" s="11">
        <f t="shared" si="24"/>
        <v>66</v>
      </c>
    </row>
    <row r="320" spans="1:21" ht="16" x14ac:dyDescent="0.4">
      <c r="A320" s="2" t="s">
        <v>1314</v>
      </c>
      <c r="B320" s="3" t="s">
        <v>613</v>
      </c>
      <c r="C320" s="28" t="s">
        <v>65</v>
      </c>
      <c r="D320" s="2" t="s">
        <v>1315</v>
      </c>
      <c r="E320" s="4" t="s">
        <v>1316</v>
      </c>
      <c r="F320" s="5">
        <v>67</v>
      </c>
      <c r="G320" s="5">
        <v>79</v>
      </c>
      <c r="H320" s="5">
        <v>98</v>
      </c>
      <c r="I320" s="10">
        <v>7</v>
      </c>
      <c r="J320" s="11">
        <f t="shared" si="23"/>
        <v>469</v>
      </c>
      <c r="K320" s="12" t="str">
        <f t="shared" si="20"/>
        <v>Low Stock_Reorder Needed</v>
      </c>
      <c r="L320" s="12">
        <f t="shared" si="21"/>
        <v>686</v>
      </c>
      <c r="M320" s="6">
        <v>45701</v>
      </c>
      <c r="N320" s="6">
        <v>45515</v>
      </c>
      <c r="O320" s="6">
        <v>45388</v>
      </c>
      <c r="P320" s="7" t="s">
        <v>1317</v>
      </c>
      <c r="Q320" s="5">
        <v>73</v>
      </c>
      <c r="R320" s="10">
        <f t="shared" si="22"/>
        <v>511</v>
      </c>
      <c r="S320" s="5">
        <v>36</v>
      </c>
      <c r="T320" s="5" t="s">
        <v>45</v>
      </c>
      <c r="U320" s="11">
        <f t="shared" si="24"/>
        <v>42</v>
      </c>
    </row>
    <row r="321" spans="1:21" ht="16" x14ac:dyDescent="0.4">
      <c r="A321" s="2" t="s">
        <v>1318</v>
      </c>
      <c r="B321" s="3" t="s">
        <v>451</v>
      </c>
      <c r="C321" s="28" t="s">
        <v>65</v>
      </c>
      <c r="D321" s="2" t="s">
        <v>1319</v>
      </c>
      <c r="E321" s="4" t="s">
        <v>1320</v>
      </c>
      <c r="F321" s="5">
        <v>78</v>
      </c>
      <c r="G321" s="5">
        <v>24</v>
      </c>
      <c r="H321" s="5">
        <v>31</v>
      </c>
      <c r="I321" s="10">
        <v>9</v>
      </c>
      <c r="J321" s="11">
        <f t="shared" si="23"/>
        <v>702</v>
      </c>
      <c r="K321" s="12" t="str">
        <f t="shared" si="20"/>
        <v>Stock_Sufficient</v>
      </c>
      <c r="L321" s="12">
        <f t="shared" si="21"/>
        <v>279</v>
      </c>
      <c r="M321" s="6">
        <v>45444</v>
      </c>
      <c r="N321" s="6">
        <v>45446</v>
      </c>
      <c r="O321" s="6">
        <v>45358</v>
      </c>
      <c r="P321" s="7" t="s">
        <v>1321</v>
      </c>
      <c r="Q321" s="5">
        <v>60</v>
      </c>
      <c r="R321" s="10">
        <f t="shared" si="22"/>
        <v>540</v>
      </c>
      <c r="S321" s="5">
        <v>41</v>
      </c>
      <c r="T321" s="5" t="s">
        <v>45</v>
      </c>
      <c r="U321" s="11">
        <f t="shared" si="24"/>
        <v>-162</v>
      </c>
    </row>
    <row r="322" spans="1:21" ht="16" x14ac:dyDescent="0.4">
      <c r="A322" s="2" t="s">
        <v>1322</v>
      </c>
      <c r="B322" s="3" t="s">
        <v>230</v>
      </c>
      <c r="C322" s="28" t="s">
        <v>48</v>
      </c>
      <c r="D322" s="2" t="s">
        <v>1323</v>
      </c>
      <c r="E322" s="4" t="s">
        <v>1175</v>
      </c>
      <c r="F322" s="5">
        <v>72</v>
      </c>
      <c r="G322" s="5">
        <v>32</v>
      </c>
      <c r="H322" s="5">
        <v>80</v>
      </c>
      <c r="I322" s="10">
        <v>2.4500000000000002</v>
      </c>
      <c r="J322" s="11">
        <f t="shared" si="23"/>
        <v>176.4</v>
      </c>
      <c r="K322" s="12" t="str">
        <f t="shared" ref="K322:K385" si="25">IF(F322&lt;=G322,"Low Stock_Reorder Needed","Stock_Sufficient")</f>
        <v>Stock_Sufficient</v>
      </c>
      <c r="L322" s="12">
        <f t="shared" ref="L322:L385" si="26">H322*I322</f>
        <v>196</v>
      </c>
      <c r="M322" s="6">
        <v>45479</v>
      </c>
      <c r="N322" s="6">
        <v>45613</v>
      </c>
      <c r="O322" s="6">
        <v>45392</v>
      </c>
      <c r="P322" s="7" t="s">
        <v>1324</v>
      </c>
      <c r="Q322" s="5">
        <v>25</v>
      </c>
      <c r="R322" s="10">
        <f t="shared" ref="R322:R385" si="27">Q322*I322</f>
        <v>61.250000000000007</v>
      </c>
      <c r="S322" s="5">
        <v>9</v>
      </c>
      <c r="T322" s="5" t="s">
        <v>39</v>
      </c>
      <c r="U322" s="11">
        <f t="shared" si="24"/>
        <v>-115.15</v>
      </c>
    </row>
    <row r="323" spans="1:21" ht="16" x14ac:dyDescent="0.4">
      <c r="A323" s="2" t="s">
        <v>1325</v>
      </c>
      <c r="B323" s="3" t="s">
        <v>364</v>
      </c>
      <c r="C323" s="28" t="s">
        <v>65</v>
      </c>
      <c r="D323" s="2" t="s">
        <v>1326</v>
      </c>
      <c r="E323" s="4" t="s">
        <v>675</v>
      </c>
      <c r="F323" s="5">
        <v>63</v>
      </c>
      <c r="G323" s="5">
        <v>48</v>
      </c>
      <c r="H323" s="5">
        <v>22</v>
      </c>
      <c r="I323" s="10">
        <v>4</v>
      </c>
      <c r="J323" s="11">
        <f t="shared" ref="J323:J386" si="28">I323*F323</f>
        <v>252</v>
      </c>
      <c r="K323" s="12" t="str">
        <f t="shared" si="25"/>
        <v>Stock_Sufficient</v>
      </c>
      <c r="L323" s="12">
        <f t="shared" si="26"/>
        <v>88</v>
      </c>
      <c r="M323" s="6">
        <v>45442</v>
      </c>
      <c r="N323" s="6">
        <v>45706</v>
      </c>
      <c r="O323" s="6">
        <v>45491</v>
      </c>
      <c r="P323" s="7" t="s">
        <v>1327</v>
      </c>
      <c r="Q323" s="5">
        <v>21</v>
      </c>
      <c r="R323" s="10">
        <f t="shared" si="27"/>
        <v>84</v>
      </c>
      <c r="S323" s="5">
        <v>90</v>
      </c>
      <c r="T323" s="5" t="s">
        <v>27</v>
      </c>
      <c r="U323" s="11">
        <f t="shared" ref="U323:U386" si="29">R323-J323</f>
        <v>-168</v>
      </c>
    </row>
    <row r="324" spans="1:21" ht="16" x14ac:dyDescent="0.4">
      <c r="A324" s="2" t="s">
        <v>1328</v>
      </c>
      <c r="B324" s="3" t="s">
        <v>283</v>
      </c>
      <c r="C324" s="28" t="s">
        <v>90</v>
      </c>
      <c r="D324" s="2" t="s">
        <v>1329</v>
      </c>
      <c r="E324" s="4" t="s">
        <v>61</v>
      </c>
      <c r="F324" s="5">
        <v>30</v>
      </c>
      <c r="G324" s="5">
        <v>91</v>
      </c>
      <c r="H324" s="5">
        <v>34</v>
      </c>
      <c r="I324" s="10">
        <v>2.5</v>
      </c>
      <c r="J324" s="11">
        <f t="shared" si="28"/>
        <v>75</v>
      </c>
      <c r="K324" s="12" t="str">
        <f t="shared" si="25"/>
        <v>Low Stock_Reorder Needed</v>
      </c>
      <c r="L324" s="12">
        <f t="shared" si="26"/>
        <v>85</v>
      </c>
      <c r="M324" s="6">
        <v>45484</v>
      </c>
      <c r="N324" s="6">
        <v>45614</v>
      </c>
      <c r="O324" s="6">
        <v>45418</v>
      </c>
      <c r="P324" s="7" t="s">
        <v>1330</v>
      </c>
      <c r="Q324" s="5">
        <v>97</v>
      </c>
      <c r="R324" s="10">
        <f t="shared" si="27"/>
        <v>242.5</v>
      </c>
      <c r="S324" s="5">
        <v>88</v>
      </c>
      <c r="T324" s="5" t="s">
        <v>45</v>
      </c>
      <c r="U324" s="11">
        <f t="shared" si="29"/>
        <v>167.5</v>
      </c>
    </row>
    <row r="325" spans="1:21" ht="16" x14ac:dyDescent="0.4">
      <c r="A325" s="2" t="s">
        <v>1331</v>
      </c>
      <c r="B325" s="3" t="s">
        <v>29</v>
      </c>
      <c r="C325" s="28" t="s">
        <v>30</v>
      </c>
      <c r="D325" s="2" t="s">
        <v>1332</v>
      </c>
      <c r="E325" s="4" t="s">
        <v>807</v>
      </c>
      <c r="F325" s="5">
        <v>36</v>
      </c>
      <c r="G325" s="5">
        <v>64</v>
      </c>
      <c r="H325" s="5">
        <v>63</v>
      </c>
      <c r="I325" s="10">
        <v>20</v>
      </c>
      <c r="J325" s="11">
        <f t="shared" si="28"/>
        <v>720</v>
      </c>
      <c r="K325" s="12" t="str">
        <f t="shared" si="25"/>
        <v>Low Stock_Reorder Needed</v>
      </c>
      <c r="L325" s="12">
        <f t="shared" si="26"/>
        <v>1260</v>
      </c>
      <c r="M325" s="6">
        <v>45366</v>
      </c>
      <c r="N325" s="6">
        <v>45706</v>
      </c>
      <c r="O325" s="6">
        <v>45381</v>
      </c>
      <c r="P325" s="7" t="s">
        <v>1333</v>
      </c>
      <c r="Q325" s="5">
        <v>91</v>
      </c>
      <c r="R325" s="10">
        <f t="shared" si="27"/>
        <v>1820</v>
      </c>
      <c r="S325" s="5">
        <v>35</v>
      </c>
      <c r="T325" s="5" t="s">
        <v>39</v>
      </c>
      <c r="U325" s="11">
        <f t="shared" si="29"/>
        <v>1100</v>
      </c>
    </row>
    <row r="326" spans="1:21" ht="16" x14ac:dyDescent="0.4">
      <c r="A326" s="2" t="s">
        <v>1334</v>
      </c>
      <c r="B326" s="3" t="s">
        <v>1126</v>
      </c>
      <c r="C326" s="28" t="s">
        <v>48</v>
      </c>
      <c r="D326" s="2" t="s">
        <v>1335</v>
      </c>
      <c r="E326" s="4" t="s">
        <v>1336</v>
      </c>
      <c r="F326" s="5">
        <v>88</v>
      </c>
      <c r="G326" s="5">
        <v>27</v>
      </c>
      <c r="H326" s="5">
        <v>92</v>
      </c>
      <c r="I326" s="10">
        <v>5.5</v>
      </c>
      <c r="J326" s="11">
        <f t="shared" si="28"/>
        <v>484</v>
      </c>
      <c r="K326" s="12" t="str">
        <f t="shared" si="25"/>
        <v>Stock_Sufficient</v>
      </c>
      <c r="L326" s="12">
        <f t="shared" si="26"/>
        <v>506</v>
      </c>
      <c r="M326" s="6">
        <v>45623</v>
      </c>
      <c r="N326" s="6">
        <v>45412</v>
      </c>
      <c r="O326" s="6">
        <v>45465</v>
      </c>
      <c r="P326" s="7" t="s">
        <v>1337</v>
      </c>
      <c r="Q326" s="5">
        <v>57</v>
      </c>
      <c r="R326" s="10">
        <f t="shared" si="27"/>
        <v>313.5</v>
      </c>
      <c r="S326" s="5">
        <v>37</v>
      </c>
      <c r="T326" s="5" t="s">
        <v>27</v>
      </c>
      <c r="U326" s="11">
        <f t="shared" si="29"/>
        <v>-170.5</v>
      </c>
    </row>
    <row r="327" spans="1:21" ht="16" x14ac:dyDescent="0.4">
      <c r="A327" s="2" t="s">
        <v>1338</v>
      </c>
      <c r="B327" s="3" t="s">
        <v>538</v>
      </c>
      <c r="C327" s="28" t="s">
        <v>48</v>
      </c>
      <c r="D327" s="2" t="s">
        <v>1339</v>
      </c>
      <c r="E327" s="4" t="s">
        <v>106</v>
      </c>
      <c r="F327" s="5">
        <v>95</v>
      </c>
      <c r="G327" s="5">
        <v>25</v>
      </c>
      <c r="H327" s="5">
        <v>91</v>
      </c>
      <c r="I327" s="10">
        <v>53.82</v>
      </c>
      <c r="J327" s="11">
        <f t="shared" si="28"/>
        <v>5112.8999999999996</v>
      </c>
      <c r="K327" s="12" t="str">
        <f t="shared" si="25"/>
        <v>Stock_Sufficient</v>
      </c>
      <c r="L327" s="12">
        <f t="shared" si="26"/>
        <v>4897.62</v>
      </c>
      <c r="M327" s="6">
        <v>45539</v>
      </c>
      <c r="N327" s="6">
        <v>45406</v>
      </c>
      <c r="O327" s="6">
        <v>45583</v>
      </c>
      <c r="P327" s="7" t="s">
        <v>1340</v>
      </c>
      <c r="Q327" s="5">
        <v>87</v>
      </c>
      <c r="R327" s="10">
        <f t="shared" si="27"/>
        <v>4682.34</v>
      </c>
      <c r="S327" s="5">
        <v>5</v>
      </c>
      <c r="T327" s="5" t="s">
        <v>27</v>
      </c>
      <c r="U327" s="11">
        <f t="shared" si="29"/>
        <v>-430.55999999999949</v>
      </c>
    </row>
    <row r="328" spans="1:21" ht="16" x14ac:dyDescent="0.4">
      <c r="A328" s="2" t="s">
        <v>1341</v>
      </c>
      <c r="B328" s="3" t="s">
        <v>350</v>
      </c>
      <c r="C328" s="28" t="s">
        <v>48</v>
      </c>
      <c r="D328" s="2" t="s">
        <v>1342</v>
      </c>
      <c r="E328" s="4" t="s">
        <v>1343</v>
      </c>
      <c r="F328" s="5">
        <v>30</v>
      </c>
      <c r="G328" s="5">
        <v>59</v>
      </c>
      <c r="H328" s="5">
        <v>76</v>
      </c>
      <c r="I328" s="10">
        <v>4</v>
      </c>
      <c r="J328" s="11">
        <f t="shared" si="28"/>
        <v>120</v>
      </c>
      <c r="K328" s="12" t="str">
        <f t="shared" si="25"/>
        <v>Low Stock_Reorder Needed</v>
      </c>
      <c r="L328" s="12">
        <f t="shared" si="26"/>
        <v>304</v>
      </c>
      <c r="M328" s="6">
        <v>45371</v>
      </c>
      <c r="N328" s="6">
        <v>45671</v>
      </c>
      <c r="O328" s="6">
        <v>45393</v>
      </c>
      <c r="P328" s="7" t="s">
        <v>1344</v>
      </c>
      <c r="Q328" s="5">
        <v>61</v>
      </c>
      <c r="R328" s="10">
        <f t="shared" si="27"/>
        <v>244</v>
      </c>
      <c r="S328" s="5">
        <v>3</v>
      </c>
      <c r="T328" s="5" t="s">
        <v>27</v>
      </c>
      <c r="U328" s="11">
        <f t="shared" si="29"/>
        <v>124</v>
      </c>
    </row>
    <row r="329" spans="1:21" ht="16" x14ac:dyDescent="0.4">
      <c r="A329" s="2" t="s">
        <v>1345</v>
      </c>
      <c r="B329" s="3" t="s">
        <v>138</v>
      </c>
      <c r="C329" s="28" t="s">
        <v>48</v>
      </c>
      <c r="D329" s="2" t="s">
        <v>1346</v>
      </c>
      <c r="E329" s="4" t="s">
        <v>952</v>
      </c>
      <c r="F329" s="5">
        <v>31</v>
      </c>
      <c r="G329" s="5">
        <v>55</v>
      </c>
      <c r="H329" s="5">
        <v>5</v>
      </c>
      <c r="I329" s="10">
        <v>2</v>
      </c>
      <c r="J329" s="11">
        <f t="shared" si="28"/>
        <v>62</v>
      </c>
      <c r="K329" s="12" t="str">
        <f t="shared" si="25"/>
        <v>Low Stock_Reorder Needed</v>
      </c>
      <c r="L329" s="12">
        <f t="shared" si="26"/>
        <v>10</v>
      </c>
      <c r="M329" s="6">
        <v>45545</v>
      </c>
      <c r="N329" s="6">
        <v>45706</v>
      </c>
      <c r="O329" s="6">
        <v>45594</v>
      </c>
      <c r="P329" s="7" t="s">
        <v>1347</v>
      </c>
      <c r="Q329" s="5">
        <v>71</v>
      </c>
      <c r="R329" s="10">
        <f t="shared" si="27"/>
        <v>142</v>
      </c>
      <c r="S329" s="5">
        <v>46</v>
      </c>
      <c r="T329" s="5" t="s">
        <v>45</v>
      </c>
      <c r="U329" s="11">
        <f t="shared" si="29"/>
        <v>80</v>
      </c>
    </row>
    <row r="330" spans="1:21" ht="16" x14ac:dyDescent="0.4">
      <c r="A330" s="2" t="s">
        <v>1348</v>
      </c>
      <c r="B330" s="3" t="s">
        <v>533</v>
      </c>
      <c r="C330" s="28" t="s">
        <v>133</v>
      </c>
      <c r="D330" s="2" t="s">
        <v>1349</v>
      </c>
      <c r="E330" s="4" t="s">
        <v>1083</v>
      </c>
      <c r="F330" s="5">
        <v>16</v>
      </c>
      <c r="G330" s="5">
        <v>20</v>
      </c>
      <c r="H330" s="5">
        <v>45</v>
      </c>
      <c r="I330" s="10">
        <v>8</v>
      </c>
      <c r="J330" s="11">
        <f t="shared" si="28"/>
        <v>128</v>
      </c>
      <c r="K330" s="12" t="str">
        <f t="shared" si="25"/>
        <v>Low Stock_Reorder Needed</v>
      </c>
      <c r="L330" s="12">
        <f t="shared" si="26"/>
        <v>360</v>
      </c>
      <c r="M330" s="6">
        <v>45412</v>
      </c>
      <c r="N330" s="6">
        <v>45583</v>
      </c>
      <c r="O330" s="6">
        <v>45450</v>
      </c>
      <c r="P330" s="7" t="s">
        <v>1350</v>
      </c>
      <c r="Q330" s="5">
        <v>81</v>
      </c>
      <c r="R330" s="10">
        <f t="shared" si="27"/>
        <v>648</v>
      </c>
      <c r="S330" s="5">
        <v>62</v>
      </c>
      <c r="T330" s="5" t="s">
        <v>45</v>
      </c>
      <c r="U330" s="11">
        <f t="shared" si="29"/>
        <v>520</v>
      </c>
    </row>
    <row r="331" spans="1:21" ht="16" x14ac:dyDescent="0.4">
      <c r="A331" s="2" t="s">
        <v>1351</v>
      </c>
      <c r="B331" s="3" t="s">
        <v>84</v>
      </c>
      <c r="C331" s="28" t="s">
        <v>23</v>
      </c>
      <c r="D331" s="2" t="s">
        <v>1352</v>
      </c>
      <c r="E331" s="4" t="s">
        <v>1353</v>
      </c>
      <c r="F331" s="5">
        <v>14</v>
      </c>
      <c r="G331" s="5">
        <v>16</v>
      </c>
      <c r="H331" s="5">
        <v>93</v>
      </c>
      <c r="I331" s="10">
        <v>2</v>
      </c>
      <c r="J331" s="11">
        <f t="shared" si="28"/>
        <v>28</v>
      </c>
      <c r="K331" s="12" t="str">
        <f t="shared" si="25"/>
        <v>Low Stock_Reorder Needed</v>
      </c>
      <c r="L331" s="12">
        <f t="shared" si="26"/>
        <v>186</v>
      </c>
      <c r="M331" s="6">
        <v>45496</v>
      </c>
      <c r="N331" s="6">
        <v>45354</v>
      </c>
      <c r="O331" s="6">
        <v>45464</v>
      </c>
      <c r="P331" s="7" t="s">
        <v>1354</v>
      </c>
      <c r="Q331" s="5">
        <v>39</v>
      </c>
      <c r="R331" s="10">
        <f t="shared" si="27"/>
        <v>78</v>
      </c>
      <c r="S331" s="5">
        <v>30</v>
      </c>
      <c r="T331" s="5" t="s">
        <v>45</v>
      </c>
      <c r="U331" s="11">
        <f t="shared" si="29"/>
        <v>50</v>
      </c>
    </row>
    <row r="332" spans="1:21" ht="16" x14ac:dyDescent="0.4">
      <c r="A332" s="2" t="s">
        <v>1355</v>
      </c>
      <c r="B332" s="3" t="s">
        <v>1269</v>
      </c>
      <c r="C332" s="28" t="s">
        <v>48</v>
      </c>
      <c r="D332" s="2" t="s">
        <v>1356</v>
      </c>
      <c r="E332" s="4" t="s">
        <v>453</v>
      </c>
      <c r="F332" s="5">
        <v>44</v>
      </c>
      <c r="G332" s="5">
        <v>67</v>
      </c>
      <c r="H332" s="5">
        <v>15</v>
      </c>
      <c r="I332" s="10">
        <v>2.5</v>
      </c>
      <c r="J332" s="11">
        <f t="shared" si="28"/>
        <v>110</v>
      </c>
      <c r="K332" s="12" t="str">
        <f t="shared" si="25"/>
        <v>Low Stock_Reorder Needed</v>
      </c>
      <c r="L332" s="12">
        <f t="shared" si="26"/>
        <v>37.5</v>
      </c>
      <c r="M332" s="6">
        <v>45364</v>
      </c>
      <c r="N332" s="6">
        <v>45361</v>
      </c>
      <c r="O332" s="6">
        <v>45374</v>
      </c>
      <c r="P332" s="7" t="s">
        <v>1357</v>
      </c>
      <c r="Q332" s="5">
        <v>82</v>
      </c>
      <c r="R332" s="10">
        <f t="shared" si="27"/>
        <v>205</v>
      </c>
      <c r="S332" s="5">
        <v>51</v>
      </c>
      <c r="T332" s="5" t="s">
        <v>45</v>
      </c>
      <c r="U332" s="11">
        <f t="shared" si="29"/>
        <v>95</v>
      </c>
    </row>
    <row r="333" spans="1:21" ht="16" x14ac:dyDescent="0.4">
      <c r="A333" s="2" t="s">
        <v>1358</v>
      </c>
      <c r="B333" s="3" t="s">
        <v>41</v>
      </c>
      <c r="C333" s="28" t="s">
        <v>23</v>
      </c>
      <c r="D333" s="2" t="s">
        <v>1359</v>
      </c>
      <c r="E333" s="4" t="s">
        <v>1005</v>
      </c>
      <c r="F333" s="5">
        <v>69</v>
      </c>
      <c r="G333" s="5">
        <v>82</v>
      </c>
      <c r="H333" s="5">
        <v>58</v>
      </c>
      <c r="I333" s="10">
        <v>1.5</v>
      </c>
      <c r="J333" s="11">
        <f t="shared" si="28"/>
        <v>103.5</v>
      </c>
      <c r="K333" s="12" t="str">
        <f t="shared" si="25"/>
        <v>Low Stock_Reorder Needed</v>
      </c>
      <c r="L333" s="12">
        <f t="shared" si="26"/>
        <v>87</v>
      </c>
      <c r="M333" s="6">
        <v>45480</v>
      </c>
      <c r="N333" s="6">
        <v>45411</v>
      </c>
      <c r="O333" s="6">
        <v>45412</v>
      </c>
      <c r="P333" s="7" t="s">
        <v>1360</v>
      </c>
      <c r="Q333" s="5">
        <v>34</v>
      </c>
      <c r="R333" s="10">
        <f t="shared" si="27"/>
        <v>51</v>
      </c>
      <c r="S333" s="5">
        <v>22</v>
      </c>
      <c r="T333" s="5" t="s">
        <v>27</v>
      </c>
      <c r="U333" s="11">
        <f t="shared" si="29"/>
        <v>-52.5</v>
      </c>
    </row>
    <row r="334" spans="1:21" ht="16" x14ac:dyDescent="0.4">
      <c r="A334" s="2" t="s">
        <v>1361</v>
      </c>
      <c r="B334" s="3" t="s">
        <v>41</v>
      </c>
      <c r="C334" s="28" t="s">
        <v>23</v>
      </c>
      <c r="D334" s="2" t="s">
        <v>1362</v>
      </c>
      <c r="E334" s="4" t="s">
        <v>1094</v>
      </c>
      <c r="F334" s="5">
        <v>71</v>
      </c>
      <c r="G334" s="5">
        <v>10</v>
      </c>
      <c r="H334" s="5">
        <v>49</v>
      </c>
      <c r="I334" s="10">
        <v>1.5</v>
      </c>
      <c r="J334" s="11">
        <f t="shared" si="28"/>
        <v>106.5</v>
      </c>
      <c r="K334" s="12" t="str">
        <f t="shared" si="25"/>
        <v>Stock_Sufficient</v>
      </c>
      <c r="L334" s="12">
        <f t="shared" si="26"/>
        <v>73.5</v>
      </c>
      <c r="M334" s="6">
        <v>45515</v>
      </c>
      <c r="N334" s="6">
        <v>45367</v>
      </c>
      <c r="O334" s="6">
        <v>45438</v>
      </c>
      <c r="P334" s="7" t="s">
        <v>1363</v>
      </c>
      <c r="Q334" s="5">
        <v>66</v>
      </c>
      <c r="R334" s="10">
        <f t="shared" si="27"/>
        <v>99</v>
      </c>
      <c r="S334" s="5">
        <v>43</v>
      </c>
      <c r="T334" s="5" t="s">
        <v>45</v>
      </c>
      <c r="U334" s="11">
        <f t="shared" si="29"/>
        <v>-7.5</v>
      </c>
    </row>
    <row r="335" spans="1:21" ht="16" x14ac:dyDescent="0.4">
      <c r="A335" s="2" t="s">
        <v>1364</v>
      </c>
      <c r="B335" s="3" t="s">
        <v>312</v>
      </c>
      <c r="C335" s="28" t="s">
        <v>48</v>
      </c>
      <c r="D335" s="2" t="s">
        <v>1365</v>
      </c>
      <c r="E335" s="4" t="s">
        <v>490</v>
      </c>
      <c r="F335" s="5">
        <v>92</v>
      </c>
      <c r="G335" s="5">
        <v>39</v>
      </c>
      <c r="H335" s="5">
        <v>50</v>
      </c>
      <c r="I335" s="10">
        <v>1.6</v>
      </c>
      <c r="J335" s="11">
        <f t="shared" si="28"/>
        <v>147.20000000000002</v>
      </c>
      <c r="K335" s="12" t="str">
        <f t="shared" si="25"/>
        <v>Stock_Sufficient</v>
      </c>
      <c r="L335" s="12">
        <f t="shared" si="26"/>
        <v>80</v>
      </c>
      <c r="M335" s="6">
        <v>45653</v>
      </c>
      <c r="N335" s="6">
        <v>45633</v>
      </c>
      <c r="O335" s="6">
        <v>45605</v>
      </c>
      <c r="P335" s="7" t="s">
        <v>1366</v>
      </c>
      <c r="Q335" s="5">
        <v>30</v>
      </c>
      <c r="R335" s="10">
        <f t="shared" si="27"/>
        <v>48</v>
      </c>
      <c r="S335" s="5">
        <v>41</v>
      </c>
      <c r="T335" s="5" t="s">
        <v>39</v>
      </c>
      <c r="U335" s="11">
        <f t="shared" si="29"/>
        <v>-99.200000000000017</v>
      </c>
    </row>
    <row r="336" spans="1:21" ht="16" x14ac:dyDescent="0.4">
      <c r="A336" s="2" t="s">
        <v>1367</v>
      </c>
      <c r="B336" s="3" t="s">
        <v>436</v>
      </c>
      <c r="C336" s="28" t="s">
        <v>59</v>
      </c>
      <c r="D336" s="2" t="s">
        <v>1368</v>
      </c>
      <c r="E336" s="4" t="s">
        <v>101</v>
      </c>
      <c r="F336" s="5">
        <v>49</v>
      </c>
      <c r="G336" s="5">
        <v>17</v>
      </c>
      <c r="H336" s="5">
        <v>54</v>
      </c>
      <c r="I336" s="10">
        <v>4</v>
      </c>
      <c r="J336" s="11">
        <f t="shared" si="28"/>
        <v>196</v>
      </c>
      <c r="K336" s="12" t="str">
        <f t="shared" si="25"/>
        <v>Stock_Sufficient</v>
      </c>
      <c r="L336" s="12">
        <f t="shared" si="26"/>
        <v>216</v>
      </c>
      <c r="M336" s="6">
        <v>45558</v>
      </c>
      <c r="N336" s="6">
        <v>45626</v>
      </c>
      <c r="O336" s="6">
        <v>45623</v>
      </c>
      <c r="P336" s="7" t="s">
        <v>1369</v>
      </c>
      <c r="Q336" s="5">
        <v>45</v>
      </c>
      <c r="R336" s="10">
        <f t="shared" si="27"/>
        <v>180</v>
      </c>
      <c r="S336" s="5">
        <v>96</v>
      </c>
      <c r="T336" s="5" t="s">
        <v>27</v>
      </c>
      <c r="U336" s="11">
        <f t="shared" si="29"/>
        <v>-16</v>
      </c>
    </row>
    <row r="337" spans="1:21" ht="16" x14ac:dyDescent="0.4">
      <c r="A337" s="2" t="s">
        <v>1370</v>
      </c>
      <c r="B337" s="3" t="s">
        <v>546</v>
      </c>
      <c r="C337" s="28" t="s">
        <v>48</v>
      </c>
      <c r="D337" s="2" t="s">
        <v>1371</v>
      </c>
      <c r="E337" s="4" t="s">
        <v>898</v>
      </c>
      <c r="F337" s="5">
        <v>52</v>
      </c>
      <c r="G337" s="5">
        <v>8</v>
      </c>
      <c r="H337" s="5">
        <v>37</v>
      </c>
      <c r="I337" s="10">
        <v>6</v>
      </c>
      <c r="J337" s="11">
        <f t="shared" si="28"/>
        <v>312</v>
      </c>
      <c r="K337" s="12" t="str">
        <f t="shared" si="25"/>
        <v>Stock_Sufficient</v>
      </c>
      <c r="L337" s="12">
        <f t="shared" si="26"/>
        <v>222</v>
      </c>
      <c r="M337" s="6">
        <v>45535</v>
      </c>
      <c r="N337" s="6">
        <v>45519</v>
      </c>
      <c r="O337" s="6">
        <v>45520</v>
      </c>
      <c r="P337" s="7" t="s">
        <v>1372</v>
      </c>
      <c r="Q337" s="5">
        <v>38</v>
      </c>
      <c r="R337" s="10">
        <f t="shared" si="27"/>
        <v>228</v>
      </c>
      <c r="S337" s="5">
        <v>81</v>
      </c>
      <c r="T337" s="5" t="s">
        <v>45</v>
      </c>
      <c r="U337" s="11">
        <f t="shared" si="29"/>
        <v>-84</v>
      </c>
    </row>
    <row r="338" spans="1:21" ht="16" x14ac:dyDescent="0.4">
      <c r="A338" s="2" t="s">
        <v>1373</v>
      </c>
      <c r="B338" s="3" t="s">
        <v>729</v>
      </c>
      <c r="C338" s="28" t="s">
        <v>65</v>
      </c>
      <c r="D338" s="2" t="s">
        <v>1374</v>
      </c>
      <c r="E338" s="4" t="s">
        <v>1375</v>
      </c>
      <c r="F338" s="5">
        <v>56</v>
      </c>
      <c r="G338" s="5">
        <v>97</v>
      </c>
      <c r="H338" s="5">
        <v>29</v>
      </c>
      <c r="I338" s="10">
        <v>2.5</v>
      </c>
      <c r="J338" s="11">
        <f t="shared" si="28"/>
        <v>140</v>
      </c>
      <c r="K338" s="12" t="str">
        <f t="shared" si="25"/>
        <v>Low Stock_Reorder Needed</v>
      </c>
      <c r="L338" s="12">
        <f t="shared" si="26"/>
        <v>72.5</v>
      </c>
      <c r="M338" s="6">
        <v>45350</v>
      </c>
      <c r="N338" s="6">
        <v>45490</v>
      </c>
      <c r="O338" s="6">
        <v>45625</v>
      </c>
      <c r="P338" s="7" t="s">
        <v>1376</v>
      </c>
      <c r="Q338" s="5">
        <v>82</v>
      </c>
      <c r="R338" s="10">
        <f t="shared" si="27"/>
        <v>205</v>
      </c>
      <c r="S338" s="5">
        <v>100</v>
      </c>
      <c r="T338" s="5" t="s">
        <v>39</v>
      </c>
      <c r="U338" s="11">
        <f t="shared" si="29"/>
        <v>65</v>
      </c>
    </row>
    <row r="339" spans="1:21" ht="16" x14ac:dyDescent="0.4">
      <c r="A339" s="2" t="s">
        <v>1377</v>
      </c>
      <c r="B339" s="3" t="s">
        <v>99</v>
      </c>
      <c r="C339" s="28" t="s">
        <v>48</v>
      </c>
      <c r="D339" s="2" t="s">
        <v>1378</v>
      </c>
      <c r="E339" s="4" t="s">
        <v>685</v>
      </c>
      <c r="F339" s="5">
        <v>16</v>
      </c>
      <c r="G339" s="5">
        <v>23</v>
      </c>
      <c r="H339" s="5">
        <v>76</v>
      </c>
      <c r="I339" s="10">
        <v>6.1</v>
      </c>
      <c r="J339" s="11">
        <f t="shared" si="28"/>
        <v>97.6</v>
      </c>
      <c r="K339" s="12" t="str">
        <f t="shared" si="25"/>
        <v>Low Stock_Reorder Needed</v>
      </c>
      <c r="L339" s="12">
        <f t="shared" si="26"/>
        <v>463.59999999999997</v>
      </c>
      <c r="M339" s="6">
        <v>45494</v>
      </c>
      <c r="N339" s="6">
        <v>45697</v>
      </c>
      <c r="O339" s="6">
        <v>45696</v>
      </c>
      <c r="P339" s="7" t="s">
        <v>1379</v>
      </c>
      <c r="Q339" s="5">
        <v>50</v>
      </c>
      <c r="R339" s="10">
        <f t="shared" si="27"/>
        <v>305</v>
      </c>
      <c r="S339" s="5">
        <v>27</v>
      </c>
      <c r="T339" s="5" t="s">
        <v>39</v>
      </c>
      <c r="U339" s="11">
        <f t="shared" si="29"/>
        <v>207.4</v>
      </c>
    </row>
    <row r="340" spans="1:21" ht="16" x14ac:dyDescent="0.4">
      <c r="A340" s="2" t="s">
        <v>1380</v>
      </c>
      <c r="B340" s="3" t="s">
        <v>215</v>
      </c>
      <c r="C340" s="28" t="s">
        <v>48</v>
      </c>
      <c r="D340" s="2" t="s">
        <v>1381</v>
      </c>
      <c r="E340" s="4" t="s">
        <v>713</v>
      </c>
      <c r="F340" s="5">
        <v>52</v>
      </c>
      <c r="G340" s="5">
        <v>79</v>
      </c>
      <c r="H340" s="5">
        <v>87</v>
      </c>
      <c r="I340" s="10">
        <v>2.5</v>
      </c>
      <c r="J340" s="11">
        <f t="shared" si="28"/>
        <v>130</v>
      </c>
      <c r="K340" s="12" t="str">
        <f t="shared" si="25"/>
        <v>Low Stock_Reorder Needed</v>
      </c>
      <c r="L340" s="12">
        <f t="shared" si="26"/>
        <v>217.5</v>
      </c>
      <c r="M340" s="6">
        <v>45454</v>
      </c>
      <c r="N340" s="6">
        <v>45386</v>
      </c>
      <c r="O340" s="6">
        <v>45361</v>
      </c>
      <c r="P340" s="7" t="s">
        <v>1382</v>
      </c>
      <c r="Q340" s="5">
        <v>36</v>
      </c>
      <c r="R340" s="10">
        <f t="shared" si="27"/>
        <v>90</v>
      </c>
      <c r="S340" s="5">
        <v>100</v>
      </c>
      <c r="T340" s="5" t="s">
        <v>27</v>
      </c>
      <c r="U340" s="11">
        <f t="shared" si="29"/>
        <v>-40</v>
      </c>
    </row>
    <row r="341" spans="1:21" ht="16" x14ac:dyDescent="0.4">
      <c r="A341" s="2" t="s">
        <v>1383</v>
      </c>
      <c r="B341" s="3" t="s">
        <v>132</v>
      </c>
      <c r="C341" s="28" t="s">
        <v>133</v>
      </c>
      <c r="D341" s="2" t="s">
        <v>1384</v>
      </c>
      <c r="E341" s="4" t="s">
        <v>254</v>
      </c>
      <c r="F341" s="5">
        <v>91</v>
      </c>
      <c r="G341" s="5">
        <v>68</v>
      </c>
      <c r="H341" s="5">
        <v>80</v>
      </c>
      <c r="I341" s="10">
        <v>11.5</v>
      </c>
      <c r="J341" s="11">
        <f t="shared" si="28"/>
        <v>1046.5</v>
      </c>
      <c r="K341" s="12" t="str">
        <f t="shared" si="25"/>
        <v>Stock_Sufficient</v>
      </c>
      <c r="L341" s="12">
        <f t="shared" si="26"/>
        <v>920</v>
      </c>
      <c r="M341" s="6">
        <v>45516</v>
      </c>
      <c r="N341" s="6">
        <v>45579</v>
      </c>
      <c r="O341" s="6">
        <v>45615</v>
      </c>
      <c r="P341" s="7" t="s">
        <v>1385</v>
      </c>
      <c r="Q341" s="5">
        <v>81</v>
      </c>
      <c r="R341" s="10">
        <f t="shared" si="27"/>
        <v>931.5</v>
      </c>
      <c r="S341" s="5">
        <v>85</v>
      </c>
      <c r="T341" s="5" t="s">
        <v>39</v>
      </c>
      <c r="U341" s="11">
        <f t="shared" si="29"/>
        <v>-115</v>
      </c>
    </row>
    <row r="342" spans="1:21" ht="16" x14ac:dyDescent="0.4">
      <c r="A342" s="2" t="s">
        <v>1386</v>
      </c>
      <c r="B342" s="3" t="s">
        <v>225</v>
      </c>
      <c r="C342" s="28" t="s">
        <v>48</v>
      </c>
      <c r="D342" s="2" t="s">
        <v>1387</v>
      </c>
      <c r="E342" s="4" t="s">
        <v>1388</v>
      </c>
      <c r="F342" s="5">
        <v>58</v>
      </c>
      <c r="G342" s="5">
        <v>58</v>
      </c>
      <c r="H342" s="5">
        <v>28</v>
      </c>
      <c r="I342" s="10">
        <v>4.7</v>
      </c>
      <c r="J342" s="11">
        <f t="shared" si="28"/>
        <v>272.60000000000002</v>
      </c>
      <c r="K342" s="12" t="str">
        <f t="shared" si="25"/>
        <v>Low Stock_Reorder Needed</v>
      </c>
      <c r="L342" s="12">
        <f t="shared" si="26"/>
        <v>131.6</v>
      </c>
      <c r="M342" s="6">
        <v>45369</v>
      </c>
      <c r="N342" s="6">
        <v>45509</v>
      </c>
      <c r="O342" s="6">
        <v>45686</v>
      </c>
      <c r="P342" s="7" t="s">
        <v>1389</v>
      </c>
      <c r="Q342" s="5">
        <v>85</v>
      </c>
      <c r="R342" s="10">
        <f t="shared" si="27"/>
        <v>399.5</v>
      </c>
      <c r="S342" s="5">
        <v>63</v>
      </c>
      <c r="T342" s="5" t="s">
        <v>45</v>
      </c>
      <c r="U342" s="11">
        <f t="shared" si="29"/>
        <v>126.89999999999998</v>
      </c>
    </row>
    <row r="343" spans="1:21" ht="16" x14ac:dyDescent="0.4">
      <c r="A343" s="2" t="s">
        <v>1390</v>
      </c>
      <c r="B343" s="3" t="s">
        <v>1167</v>
      </c>
      <c r="C343" s="28" t="s">
        <v>133</v>
      </c>
      <c r="D343" s="2" t="s">
        <v>1391</v>
      </c>
      <c r="E343" s="4" t="s">
        <v>1392</v>
      </c>
      <c r="F343" s="5">
        <v>47</v>
      </c>
      <c r="G343" s="5">
        <v>29</v>
      </c>
      <c r="H343" s="5">
        <v>70</v>
      </c>
      <c r="I343" s="10">
        <v>20</v>
      </c>
      <c r="J343" s="11">
        <f t="shared" si="28"/>
        <v>940</v>
      </c>
      <c r="K343" s="12" t="str">
        <f t="shared" si="25"/>
        <v>Stock_Sufficient</v>
      </c>
      <c r="L343" s="12">
        <f t="shared" si="26"/>
        <v>1400</v>
      </c>
      <c r="M343" s="6">
        <v>45513</v>
      </c>
      <c r="N343" s="6">
        <v>45633</v>
      </c>
      <c r="O343" s="6">
        <v>45498</v>
      </c>
      <c r="P343" s="7" t="s">
        <v>1393</v>
      </c>
      <c r="Q343" s="5">
        <v>61</v>
      </c>
      <c r="R343" s="10">
        <f t="shared" si="27"/>
        <v>1220</v>
      </c>
      <c r="S343" s="5">
        <v>44</v>
      </c>
      <c r="T343" s="5" t="s">
        <v>45</v>
      </c>
      <c r="U343" s="11">
        <f t="shared" si="29"/>
        <v>280</v>
      </c>
    </row>
    <row r="344" spans="1:21" ht="16" x14ac:dyDescent="0.4">
      <c r="A344" s="2" t="s">
        <v>1394</v>
      </c>
      <c r="B344" s="3" t="s">
        <v>89</v>
      </c>
      <c r="C344" s="28" t="s">
        <v>90</v>
      </c>
      <c r="D344" s="2" t="s">
        <v>1395</v>
      </c>
      <c r="E344" s="4" t="s">
        <v>1396</v>
      </c>
      <c r="F344" s="5">
        <v>50</v>
      </c>
      <c r="G344" s="5">
        <v>56</v>
      </c>
      <c r="H344" s="5">
        <v>63</v>
      </c>
      <c r="I344" s="10">
        <v>3</v>
      </c>
      <c r="J344" s="11">
        <f t="shared" si="28"/>
        <v>150</v>
      </c>
      <c r="K344" s="12" t="str">
        <f t="shared" si="25"/>
        <v>Low Stock_Reorder Needed</v>
      </c>
      <c r="L344" s="12">
        <f t="shared" si="26"/>
        <v>189</v>
      </c>
      <c r="M344" s="6">
        <v>45378</v>
      </c>
      <c r="N344" s="6">
        <v>45428</v>
      </c>
      <c r="O344" s="6">
        <v>45552</v>
      </c>
      <c r="P344" s="7" t="s">
        <v>1397</v>
      </c>
      <c r="Q344" s="5">
        <v>70</v>
      </c>
      <c r="R344" s="10">
        <f t="shared" si="27"/>
        <v>210</v>
      </c>
      <c r="S344" s="5">
        <v>100</v>
      </c>
      <c r="T344" s="5" t="s">
        <v>27</v>
      </c>
      <c r="U344" s="11">
        <f t="shared" si="29"/>
        <v>60</v>
      </c>
    </row>
    <row r="345" spans="1:21" ht="16" x14ac:dyDescent="0.4">
      <c r="A345" s="2" t="s">
        <v>1398</v>
      </c>
      <c r="B345" s="3" t="s">
        <v>646</v>
      </c>
      <c r="C345" s="28" t="s">
        <v>65</v>
      </c>
      <c r="D345" s="2" t="s">
        <v>1399</v>
      </c>
      <c r="E345" s="4" t="s">
        <v>101</v>
      </c>
      <c r="F345" s="5">
        <v>43</v>
      </c>
      <c r="G345" s="5">
        <v>73</v>
      </c>
      <c r="H345" s="5">
        <v>14</v>
      </c>
      <c r="I345" s="10">
        <v>4</v>
      </c>
      <c r="J345" s="11">
        <f t="shared" si="28"/>
        <v>172</v>
      </c>
      <c r="K345" s="12" t="str">
        <f t="shared" si="25"/>
        <v>Low Stock_Reorder Needed</v>
      </c>
      <c r="L345" s="12">
        <f t="shared" si="26"/>
        <v>56</v>
      </c>
      <c r="M345" s="6">
        <v>45501</v>
      </c>
      <c r="N345" s="6">
        <v>45542</v>
      </c>
      <c r="O345" s="6">
        <v>45530</v>
      </c>
      <c r="P345" s="7" t="s">
        <v>1400</v>
      </c>
      <c r="Q345" s="5">
        <v>59</v>
      </c>
      <c r="R345" s="10">
        <f t="shared" si="27"/>
        <v>236</v>
      </c>
      <c r="S345" s="5">
        <v>65</v>
      </c>
      <c r="T345" s="5" t="s">
        <v>45</v>
      </c>
      <c r="U345" s="11">
        <f t="shared" si="29"/>
        <v>64</v>
      </c>
    </row>
    <row r="346" spans="1:21" ht="16" x14ac:dyDescent="0.4">
      <c r="A346" s="2" t="s">
        <v>1401</v>
      </c>
      <c r="B346" s="3" t="s">
        <v>720</v>
      </c>
      <c r="C346" s="28" t="s">
        <v>65</v>
      </c>
      <c r="D346" s="2" t="s">
        <v>1402</v>
      </c>
      <c r="E346" s="4" t="s">
        <v>1312</v>
      </c>
      <c r="F346" s="5">
        <v>68</v>
      </c>
      <c r="G346" s="5">
        <v>60</v>
      </c>
      <c r="H346" s="5">
        <v>21</v>
      </c>
      <c r="I346" s="10">
        <v>8.9</v>
      </c>
      <c r="J346" s="11">
        <f t="shared" si="28"/>
        <v>605.20000000000005</v>
      </c>
      <c r="K346" s="12" t="str">
        <f t="shared" si="25"/>
        <v>Stock_Sufficient</v>
      </c>
      <c r="L346" s="12">
        <f t="shared" si="26"/>
        <v>186.9</v>
      </c>
      <c r="M346" s="6">
        <v>45349</v>
      </c>
      <c r="N346" s="6">
        <v>45567</v>
      </c>
      <c r="O346" s="6">
        <v>45411</v>
      </c>
      <c r="P346" s="7" t="s">
        <v>1403</v>
      </c>
      <c r="Q346" s="5">
        <v>79</v>
      </c>
      <c r="R346" s="10">
        <f t="shared" si="27"/>
        <v>703.1</v>
      </c>
      <c r="S346" s="5">
        <v>46</v>
      </c>
      <c r="T346" s="5" t="s">
        <v>45</v>
      </c>
      <c r="U346" s="11">
        <f t="shared" si="29"/>
        <v>97.899999999999977</v>
      </c>
    </row>
    <row r="347" spans="1:21" ht="16" x14ac:dyDescent="0.4">
      <c r="A347" s="2" t="s">
        <v>1404</v>
      </c>
      <c r="B347" s="3" t="s">
        <v>729</v>
      </c>
      <c r="C347" s="28" t="s">
        <v>65</v>
      </c>
      <c r="D347" s="2" t="s">
        <v>1405</v>
      </c>
      <c r="E347" s="4" t="s">
        <v>956</v>
      </c>
      <c r="F347" s="5">
        <v>19</v>
      </c>
      <c r="G347" s="5">
        <v>100</v>
      </c>
      <c r="H347" s="5">
        <v>83</v>
      </c>
      <c r="I347" s="10">
        <v>2.5</v>
      </c>
      <c r="J347" s="11">
        <f t="shared" si="28"/>
        <v>47.5</v>
      </c>
      <c r="K347" s="12" t="str">
        <f t="shared" si="25"/>
        <v>Low Stock_Reorder Needed</v>
      </c>
      <c r="L347" s="12">
        <f t="shared" si="26"/>
        <v>207.5</v>
      </c>
      <c r="M347" s="6">
        <v>45407</v>
      </c>
      <c r="N347" s="6">
        <v>45494</v>
      </c>
      <c r="O347" s="6">
        <v>45373</v>
      </c>
      <c r="P347" s="7" t="s">
        <v>1406</v>
      </c>
      <c r="Q347" s="5">
        <v>66</v>
      </c>
      <c r="R347" s="10">
        <f t="shared" si="27"/>
        <v>165</v>
      </c>
      <c r="S347" s="5">
        <v>28</v>
      </c>
      <c r="T347" s="5" t="s">
        <v>27</v>
      </c>
      <c r="U347" s="11">
        <f t="shared" si="29"/>
        <v>117.5</v>
      </c>
    </row>
    <row r="348" spans="1:21" ht="16" x14ac:dyDescent="0.4">
      <c r="A348" s="2" t="s">
        <v>1407</v>
      </c>
      <c r="B348" s="3" t="s">
        <v>114</v>
      </c>
      <c r="C348" s="28" t="s">
        <v>65</v>
      </c>
      <c r="D348" s="2" t="s">
        <v>1408</v>
      </c>
      <c r="E348" s="4" t="s">
        <v>1116</v>
      </c>
      <c r="F348" s="5">
        <v>70</v>
      </c>
      <c r="G348" s="5">
        <v>84</v>
      </c>
      <c r="H348" s="5">
        <v>72</v>
      </c>
      <c r="I348" s="10">
        <v>8</v>
      </c>
      <c r="J348" s="11">
        <f t="shared" si="28"/>
        <v>560</v>
      </c>
      <c r="K348" s="12" t="str">
        <f t="shared" si="25"/>
        <v>Low Stock_Reorder Needed</v>
      </c>
      <c r="L348" s="12">
        <f t="shared" si="26"/>
        <v>576</v>
      </c>
      <c r="M348" s="6">
        <v>45493</v>
      </c>
      <c r="N348" s="6">
        <v>45634</v>
      </c>
      <c r="O348" s="6">
        <v>45487</v>
      </c>
      <c r="P348" s="7" t="s">
        <v>1409</v>
      </c>
      <c r="Q348" s="5">
        <v>71</v>
      </c>
      <c r="R348" s="10">
        <f t="shared" si="27"/>
        <v>568</v>
      </c>
      <c r="S348" s="5">
        <v>20</v>
      </c>
      <c r="T348" s="5" t="s">
        <v>45</v>
      </c>
      <c r="U348" s="11">
        <f t="shared" si="29"/>
        <v>8</v>
      </c>
    </row>
    <row r="349" spans="1:21" ht="16" x14ac:dyDescent="0.4">
      <c r="A349" s="2" t="s">
        <v>1410</v>
      </c>
      <c r="B349" s="3" t="s">
        <v>355</v>
      </c>
      <c r="C349" s="28" t="s">
        <v>48</v>
      </c>
      <c r="D349" s="2" t="s">
        <v>1411</v>
      </c>
      <c r="E349" s="4" t="s">
        <v>798</v>
      </c>
      <c r="F349" s="5">
        <v>97</v>
      </c>
      <c r="G349" s="5">
        <v>20</v>
      </c>
      <c r="H349" s="5">
        <v>72</v>
      </c>
      <c r="I349" s="10">
        <v>3</v>
      </c>
      <c r="J349" s="11">
        <f t="shared" si="28"/>
        <v>291</v>
      </c>
      <c r="K349" s="12" t="str">
        <f t="shared" si="25"/>
        <v>Stock_Sufficient</v>
      </c>
      <c r="L349" s="12">
        <f t="shared" si="26"/>
        <v>216</v>
      </c>
      <c r="M349" s="6">
        <v>45351</v>
      </c>
      <c r="N349" s="6">
        <v>45694</v>
      </c>
      <c r="O349" s="6">
        <v>45636</v>
      </c>
      <c r="P349" s="7" t="s">
        <v>1412</v>
      </c>
      <c r="Q349" s="5">
        <v>29</v>
      </c>
      <c r="R349" s="10">
        <f t="shared" si="27"/>
        <v>87</v>
      </c>
      <c r="S349" s="5">
        <v>59</v>
      </c>
      <c r="T349" s="5" t="s">
        <v>39</v>
      </c>
      <c r="U349" s="11">
        <f t="shared" si="29"/>
        <v>-204</v>
      </c>
    </row>
    <row r="350" spans="1:21" ht="16" x14ac:dyDescent="0.4">
      <c r="A350" s="2" t="s">
        <v>1413</v>
      </c>
      <c r="B350" s="3" t="s">
        <v>865</v>
      </c>
      <c r="C350" s="28" t="s">
        <v>59</v>
      </c>
      <c r="D350" s="2" t="s">
        <v>1414</v>
      </c>
      <c r="E350" s="4" t="s">
        <v>841</v>
      </c>
      <c r="F350" s="5">
        <v>87</v>
      </c>
      <c r="G350" s="5">
        <v>24</v>
      </c>
      <c r="H350" s="5">
        <v>19</v>
      </c>
      <c r="I350" s="10">
        <v>2.5</v>
      </c>
      <c r="J350" s="11">
        <f t="shared" si="28"/>
        <v>217.5</v>
      </c>
      <c r="K350" s="12" t="str">
        <f t="shared" si="25"/>
        <v>Stock_Sufficient</v>
      </c>
      <c r="L350" s="12">
        <f t="shared" si="26"/>
        <v>47.5</v>
      </c>
      <c r="M350" s="6">
        <v>45423</v>
      </c>
      <c r="N350" s="6">
        <v>45639</v>
      </c>
      <c r="O350" s="6">
        <v>45399</v>
      </c>
      <c r="P350" s="7" t="s">
        <v>1415</v>
      </c>
      <c r="Q350" s="5">
        <v>83</v>
      </c>
      <c r="R350" s="10">
        <f t="shared" si="27"/>
        <v>207.5</v>
      </c>
      <c r="S350" s="5">
        <v>3</v>
      </c>
      <c r="T350" s="5" t="s">
        <v>27</v>
      </c>
      <c r="U350" s="11">
        <f t="shared" si="29"/>
        <v>-10</v>
      </c>
    </row>
    <row r="351" spans="1:21" ht="16" x14ac:dyDescent="0.4">
      <c r="A351" s="2" t="s">
        <v>1416</v>
      </c>
      <c r="B351" s="3" t="s">
        <v>337</v>
      </c>
      <c r="C351" s="28" t="s">
        <v>30</v>
      </c>
      <c r="D351" s="2" t="s">
        <v>1417</v>
      </c>
      <c r="E351" s="4" t="s">
        <v>963</v>
      </c>
      <c r="F351" s="5">
        <v>58</v>
      </c>
      <c r="G351" s="5">
        <v>81</v>
      </c>
      <c r="H351" s="5">
        <v>66</v>
      </c>
      <c r="I351" s="10">
        <v>25</v>
      </c>
      <c r="J351" s="11">
        <f t="shared" si="28"/>
        <v>1450</v>
      </c>
      <c r="K351" s="12" t="str">
        <f t="shared" si="25"/>
        <v>Low Stock_Reorder Needed</v>
      </c>
      <c r="L351" s="12">
        <f t="shared" si="26"/>
        <v>1650</v>
      </c>
      <c r="M351" s="6">
        <v>45467</v>
      </c>
      <c r="N351" s="6">
        <v>45701</v>
      </c>
      <c r="O351" s="6">
        <v>45659</v>
      </c>
      <c r="P351" s="7" t="s">
        <v>1418</v>
      </c>
      <c r="Q351" s="5">
        <v>85</v>
      </c>
      <c r="R351" s="10">
        <f t="shared" si="27"/>
        <v>2125</v>
      </c>
      <c r="S351" s="5">
        <v>78</v>
      </c>
      <c r="T351" s="5" t="s">
        <v>45</v>
      </c>
      <c r="U351" s="11">
        <f t="shared" si="29"/>
        <v>675</v>
      </c>
    </row>
    <row r="352" spans="1:21" ht="16" x14ac:dyDescent="0.4">
      <c r="A352" s="2" t="s">
        <v>1419</v>
      </c>
      <c r="B352" s="3" t="s">
        <v>529</v>
      </c>
      <c r="C352" s="28" t="s">
        <v>48</v>
      </c>
      <c r="D352" s="2" t="s">
        <v>1420</v>
      </c>
      <c r="E352" s="4" t="s">
        <v>1421</v>
      </c>
      <c r="F352" s="5">
        <v>16</v>
      </c>
      <c r="G352" s="5">
        <v>53</v>
      </c>
      <c r="H352" s="5">
        <v>12</v>
      </c>
      <c r="I352" s="10">
        <v>5</v>
      </c>
      <c r="J352" s="11">
        <f t="shared" si="28"/>
        <v>80</v>
      </c>
      <c r="K352" s="12" t="str">
        <f t="shared" si="25"/>
        <v>Low Stock_Reorder Needed</v>
      </c>
      <c r="L352" s="12">
        <f t="shared" si="26"/>
        <v>60</v>
      </c>
      <c r="M352" s="6">
        <v>45454</v>
      </c>
      <c r="N352" s="6">
        <v>45677</v>
      </c>
      <c r="O352" s="6">
        <v>45449</v>
      </c>
      <c r="P352" s="7" t="s">
        <v>1422</v>
      </c>
      <c r="Q352" s="5">
        <v>21</v>
      </c>
      <c r="R352" s="10">
        <f t="shared" si="27"/>
        <v>105</v>
      </c>
      <c r="S352" s="5">
        <v>29</v>
      </c>
      <c r="T352" s="5" t="s">
        <v>27</v>
      </c>
      <c r="U352" s="11">
        <f t="shared" si="29"/>
        <v>25</v>
      </c>
    </row>
    <row r="353" spans="1:21" ht="16" x14ac:dyDescent="0.4">
      <c r="A353" s="2" t="s">
        <v>1423</v>
      </c>
      <c r="B353" s="3" t="s">
        <v>182</v>
      </c>
      <c r="C353" s="28" t="s">
        <v>48</v>
      </c>
      <c r="D353" s="2" t="s">
        <v>1424</v>
      </c>
      <c r="E353" s="4" t="s">
        <v>1116</v>
      </c>
      <c r="F353" s="5">
        <v>65</v>
      </c>
      <c r="G353" s="5">
        <v>35</v>
      </c>
      <c r="H353" s="5">
        <v>3</v>
      </c>
      <c r="I353" s="10">
        <v>3.5</v>
      </c>
      <c r="J353" s="11">
        <f t="shared" si="28"/>
        <v>227.5</v>
      </c>
      <c r="K353" s="12" t="str">
        <f t="shared" si="25"/>
        <v>Stock_Sufficient</v>
      </c>
      <c r="L353" s="12">
        <f t="shared" si="26"/>
        <v>10.5</v>
      </c>
      <c r="M353" s="6">
        <v>45515</v>
      </c>
      <c r="N353" s="6">
        <v>45675</v>
      </c>
      <c r="O353" s="6">
        <v>45562</v>
      </c>
      <c r="P353" s="7" t="s">
        <v>1425</v>
      </c>
      <c r="Q353" s="5">
        <v>25</v>
      </c>
      <c r="R353" s="10">
        <f t="shared" si="27"/>
        <v>87.5</v>
      </c>
      <c r="S353" s="5">
        <v>13</v>
      </c>
      <c r="T353" s="5" t="s">
        <v>45</v>
      </c>
      <c r="U353" s="11">
        <f t="shared" si="29"/>
        <v>-140</v>
      </c>
    </row>
    <row r="354" spans="1:21" ht="16" x14ac:dyDescent="0.4">
      <c r="A354" s="2" t="s">
        <v>1426</v>
      </c>
      <c r="B354" s="3" t="s">
        <v>829</v>
      </c>
      <c r="C354" s="28" t="s">
        <v>23</v>
      </c>
      <c r="D354" s="2" t="s">
        <v>1427</v>
      </c>
      <c r="E354" s="4" t="s">
        <v>635</v>
      </c>
      <c r="F354" s="5">
        <v>15</v>
      </c>
      <c r="G354" s="5">
        <v>49</v>
      </c>
      <c r="H354" s="5">
        <v>40</v>
      </c>
      <c r="I354" s="10">
        <v>4.5</v>
      </c>
      <c r="J354" s="11">
        <f t="shared" si="28"/>
        <v>67.5</v>
      </c>
      <c r="K354" s="12" t="str">
        <f t="shared" si="25"/>
        <v>Low Stock_Reorder Needed</v>
      </c>
      <c r="L354" s="12">
        <f t="shared" si="26"/>
        <v>180</v>
      </c>
      <c r="M354" s="6">
        <v>45632</v>
      </c>
      <c r="N354" s="6">
        <v>45457</v>
      </c>
      <c r="O354" s="6">
        <v>45549</v>
      </c>
      <c r="P354" s="7" t="s">
        <v>1428</v>
      </c>
      <c r="Q354" s="5">
        <v>68</v>
      </c>
      <c r="R354" s="10">
        <f t="shared" si="27"/>
        <v>306</v>
      </c>
      <c r="S354" s="5">
        <v>74</v>
      </c>
      <c r="T354" s="5" t="s">
        <v>27</v>
      </c>
      <c r="U354" s="11">
        <f t="shared" si="29"/>
        <v>238.5</v>
      </c>
    </row>
    <row r="355" spans="1:21" ht="16" x14ac:dyDescent="0.4">
      <c r="A355" s="2" t="s">
        <v>1429</v>
      </c>
      <c r="B355" s="3" t="s">
        <v>369</v>
      </c>
      <c r="C355" s="28" t="s">
        <v>48</v>
      </c>
      <c r="D355" s="2" t="s">
        <v>1430</v>
      </c>
      <c r="E355" s="4" t="s">
        <v>1431</v>
      </c>
      <c r="F355" s="5">
        <v>75</v>
      </c>
      <c r="G355" s="5">
        <v>85</v>
      </c>
      <c r="H355" s="5">
        <v>27</v>
      </c>
      <c r="I355" s="10">
        <v>4.5</v>
      </c>
      <c r="J355" s="11">
        <f t="shared" si="28"/>
        <v>337.5</v>
      </c>
      <c r="K355" s="12" t="str">
        <f t="shared" si="25"/>
        <v>Low Stock_Reorder Needed</v>
      </c>
      <c r="L355" s="12">
        <f t="shared" si="26"/>
        <v>121.5</v>
      </c>
      <c r="M355" s="6">
        <v>45442</v>
      </c>
      <c r="N355" s="6">
        <v>45452</v>
      </c>
      <c r="O355" s="6">
        <v>45467</v>
      </c>
      <c r="P355" s="7" t="s">
        <v>1432</v>
      </c>
      <c r="Q355" s="5">
        <v>26</v>
      </c>
      <c r="R355" s="10">
        <f t="shared" si="27"/>
        <v>117</v>
      </c>
      <c r="S355" s="5">
        <v>68</v>
      </c>
      <c r="T355" s="5" t="s">
        <v>27</v>
      </c>
      <c r="U355" s="11">
        <f t="shared" si="29"/>
        <v>-220.5</v>
      </c>
    </row>
    <row r="356" spans="1:21" ht="16" x14ac:dyDescent="0.4">
      <c r="A356" s="2" t="s">
        <v>1433</v>
      </c>
      <c r="B356" s="3" t="s">
        <v>1434</v>
      </c>
      <c r="C356" s="28" t="s">
        <v>90</v>
      </c>
      <c r="D356" s="2" t="s">
        <v>1435</v>
      </c>
      <c r="E356" s="4" t="s">
        <v>1436</v>
      </c>
      <c r="F356" s="5">
        <v>80</v>
      </c>
      <c r="G356" s="5">
        <v>61</v>
      </c>
      <c r="H356" s="5">
        <v>23</v>
      </c>
      <c r="I356" s="10">
        <v>5.5</v>
      </c>
      <c r="J356" s="11">
        <f t="shared" si="28"/>
        <v>440</v>
      </c>
      <c r="K356" s="12" t="str">
        <f t="shared" si="25"/>
        <v>Stock_Sufficient</v>
      </c>
      <c r="L356" s="12">
        <f t="shared" si="26"/>
        <v>126.5</v>
      </c>
      <c r="M356" s="6">
        <v>45500</v>
      </c>
      <c r="N356" s="6">
        <v>45504</v>
      </c>
      <c r="O356" s="6">
        <v>45355</v>
      </c>
      <c r="P356" s="7" t="s">
        <v>1437</v>
      </c>
      <c r="Q356" s="5">
        <v>63</v>
      </c>
      <c r="R356" s="10">
        <f t="shared" si="27"/>
        <v>346.5</v>
      </c>
      <c r="S356" s="5">
        <v>75</v>
      </c>
      <c r="T356" s="5" t="s">
        <v>39</v>
      </c>
      <c r="U356" s="11">
        <f t="shared" si="29"/>
        <v>-93.5</v>
      </c>
    </row>
    <row r="357" spans="1:21" ht="16" x14ac:dyDescent="0.4">
      <c r="A357" s="2" t="s">
        <v>1438</v>
      </c>
      <c r="B357" s="3" t="s">
        <v>275</v>
      </c>
      <c r="C357" s="28" t="s">
        <v>48</v>
      </c>
      <c r="D357" s="2" t="s">
        <v>1439</v>
      </c>
      <c r="E357" s="4" t="s">
        <v>1440</v>
      </c>
      <c r="F357" s="5">
        <v>84</v>
      </c>
      <c r="G357" s="5">
        <v>95</v>
      </c>
      <c r="H357" s="5">
        <v>22</v>
      </c>
      <c r="I357" s="10">
        <v>2.85</v>
      </c>
      <c r="J357" s="11">
        <f t="shared" si="28"/>
        <v>239.4</v>
      </c>
      <c r="K357" s="12" t="str">
        <f t="shared" si="25"/>
        <v>Low Stock_Reorder Needed</v>
      </c>
      <c r="L357" s="12">
        <f t="shared" si="26"/>
        <v>62.7</v>
      </c>
      <c r="M357" s="6">
        <v>45463</v>
      </c>
      <c r="N357" s="6">
        <v>45426</v>
      </c>
      <c r="O357" s="6">
        <v>45572</v>
      </c>
      <c r="P357" s="7" t="s">
        <v>1441</v>
      </c>
      <c r="Q357" s="5">
        <v>48</v>
      </c>
      <c r="R357" s="10">
        <f t="shared" si="27"/>
        <v>136.80000000000001</v>
      </c>
      <c r="S357" s="5">
        <v>82</v>
      </c>
      <c r="T357" s="5" t="s">
        <v>27</v>
      </c>
      <c r="U357" s="11">
        <f t="shared" si="29"/>
        <v>-102.6</v>
      </c>
    </row>
    <row r="358" spans="1:21" ht="16" x14ac:dyDescent="0.4">
      <c r="A358" s="2" t="s">
        <v>1442</v>
      </c>
      <c r="B358" s="3" t="s">
        <v>355</v>
      </c>
      <c r="C358" s="28" t="s">
        <v>48</v>
      </c>
      <c r="D358" s="2" t="s">
        <v>1443</v>
      </c>
      <c r="E358" s="4" t="s">
        <v>1444</v>
      </c>
      <c r="F358" s="5">
        <v>17</v>
      </c>
      <c r="G358" s="5">
        <v>3</v>
      </c>
      <c r="H358" s="5">
        <v>33</v>
      </c>
      <c r="I358" s="10">
        <v>3</v>
      </c>
      <c r="J358" s="11">
        <f t="shared" si="28"/>
        <v>51</v>
      </c>
      <c r="K358" s="12" t="str">
        <f t="shared" si="25"/>
        <v>Stock_Sufficient</v>
      </c>
      <c r="L358" s="12">
        <f t="shared" si="26"/>
        <v>99</v>
      </c>
      <c r="M358" s="6">
        <v>45372</v>
      </c>
      <c r="N358" s="6">
        <v>45549</v>
      </c>
      <c r="O358" s="6">
        <v>45443</v>
      </c>
      <c r="P358" s="7" t="s">
        <v>1445</v>
      </c>
      <c r="Q358" s="5">
        <v>49</v>
      </c>
      <c r="R358" s="10">
        <f t="shared" si="27"/>
        <v>147</v>
      </c>
      <c r="S358" s="5">
        <v>17</v>
      </c>
      <c r="T358" s="5" t="s">
        <v>39</v>
      </c>
      <c r="U358" s="11">
        <f t="shared" si="29"/>
        <v>96</v>
      </c>
    </row>
    <row r="359" spans="1:21" ht="16" x14ac:dyDescent="0.4">
      <c r="A359" s="2" t="s">
        <v>1446</v>
      </c>
      <c r="B359" s="3" t="s">
        <v>1193</v>
      </c>
      <c r="C359" s="28" t="s">
        <v>65</v>
      </c>
      <c r="D359" s="2" t="s">
        <v>1447</v>
      </c>
      <c r="E359" s="4" t="s">
        <v>1375</v>
      </c>
      <c r="F359" s="5">
        <v>64</v>
      </c>
      <c r="G359" s="5">
        <v>31</v>
      </c>
      <c r="H359" s="5">
        <v>91</v>
      </c>
      <c r="I359" s="10">
        <v>1.9</v>
      </c>
      <c r="J359" s="11">
        <f t="shared" si="28"/>
        <v>121.6</v>
      </c>
      <c r="K359" s="12" t="str">
        <f t="shared" si="25"/>
        <v>Stock_Sufficient</v>
      </c>
      <c r="L359" s="12">
        <f t="shared" si="26"/>
        <v>172.9</v>
      </c>
      <c r="M359" s="6">
        <v>45462</v>
      </c>
      <c r="N359" s="6">
        <v>45508</v>
      </c>
      <c r="O359" s="6">
        <v>45575</v>
      </c>
      <c r="P359" s="7" t="s">
        <v>1448</v>
      </c>
      <c r="Q359" s="5">
        <v>85</v>
      </c>
      <c r="R359" s="10">
        <f t="shared" si="27"/>
        <v>161.5</v>
      </c>
      <c r="S359" s="5">
        <v>42</v>
      </c>
      <c r="T359" s="5" t="s">
        <v>27</v>
      </c>
      <c r="U359" s="11">
        <f t="shared" si="29"/>
        <v>39.900000000000006</v>
      </c>
    </row>
    <row r="360" spans="1:21" ht="16" x14ac:dyDescent="0.4">
      <c r="A360" s="2" t="s">
        <v>1449</v>
      </c>
      <c r="B360" s="3" t="s">
        <v>497</v>
      </c>
      <c r="C360" s="28" t="s">
        <v>65</v>
      </c>
      <c r="D360" s="2" t="s">
        <v>1450</v>
      </c>
      <c r="E360" s="4" t="s">
        <v>1451</v>
      </c>
      <c r="F360" s="5">
        <v>76</v>
      </c>
      <c r="G360" s="5">
        <v>81</v>
      </c>
      <c r="H360" s="5">
        <v>85</v>
      </c>
      <c r="I360" s="10">
        <v>4</v>
      </c>
      <c r="J360" s="11">
        <f t="shared" si="28"/>
        <v>304</v>
      </c>
      <c r="K360" s="12" t="str">
        <f t="shared" si="25"/>
        <v>Low Stock_Reorder Needed</v>
      </c>
      <c r="L360" s="12">
        <f t="shared" si="26"/>
        <v>340</v>
      </c>
      <c r="M360" s="6">
        <v>45355</v>
      </c>
      <c r="N360" s="6">
        <v>45636</v>
      </c>
      <c r="O360" s="6">
        <v>45543</v>
      </c>
      <c r="P360" s="7" t="s">
        <v>1452</v>
      </c>
      <c r="Q360" s="5">
        <v>65</v>
      </c>
      <c r="R360" s="10">
        <f t="shared" si="27"/>
        <v>260</v>
      </c>
      <c r="S360" s="5">
        <v>68</v>
      </c>
      <c r="T360" s="5" t="s">
        <v>45</v>
      </c>
      <c r="U360" s="11">
        <f t="shared" si="29"/>
        <v>-44</v>
      </c>
    </row>
    <row r="361" spans="1:21" ht="16" x14ac:dyDescent="0.4">
      <c r="A361" s="2" t="s">
        <v>1453</v>
      </c>
      <c r="B361" s="3" t="s">
        <v>738</v>
      </c>
      <c r="C361" s="28" t="s">
        <v>59</v>
      </c>
      <c r="D361" s="2" t="s">
        <v>1454</v>
      </c>
      <c r="E361" s="4" t="s">
        <v>1455</v>
      </c>
      <c r="F361" s="5">
        <v>77</v>
      </c>
      <c r="G361" s="5">
        <v>95</v>
      </c>
      <c r="H361" s="5">
        <v>82</v>
      </c>
      <c r="I361" s="10">
        <v>6.5</v>
      </c>
      <c r="J361" s="11">
        <f t="shared" si="28"/>
        <v>500.5</v>
      </c>
      <c r="K361" s="12" t="str">
        <f t="shared" si="25"/>
        <v>Low Stock_Reorder Needed</v>
      </c>
      <c r="L361" s="12">
        <f t="shared" si="26"/>
        <v>533</v>
      </c>
      <c r="M361" s="6">
        <v>45399</v>
      </c>
      <c r="N361" s="6">
        <v>45584</v>
      </c>
      <c r="O361" s="6">
        <v>45491</v>
      </c>
      <c r="P361" s="7" t="s">
        <v>1456</v>
      </c>
      <c r="Q361" s="5">
        <v>29</v>
      </c>
      <c r="R361" s="10">
        <f t="shared" si="27"/>
        <v>188.5</v>
      </c>
      <c r="S361" s="5">
        <v>46</v>
      </c>
      <c r="T361" s="5" t="s">
        <v>39</v>
      </c>
      <c r="U361" s="11">
        <f t="shared" si="29"/>
        <v>-312</v>
      </c>
    </row>
    <row r="362" spans="1:21" ht="16" x14ac:dyDescent="0.4">
      <c r="A362" s="2" t="s">
        <v>1457</v>
      </c>
      <c r="B362" s="3" t="s">
        <v>408</v>
      </c>
      <c r="C362" s="28" t="s">
        <v>65</v>
      </c>
      <c r="D362" s="2" t="s">
        <v>1458</v>
      </c>
      <c r="E362" s="4" t="s">
        <v>615</v>
      </c>
      <c r="F362" s="5">
        <v>18</v>
      </c>
      <c r="G362" s="5">
        <v>14</v>
      </c>
      <c r="H362" s="5">
        <v>77</v>
      </c>
      <c r="I362" s="10">
        <v>2.5</v>
      </c>
      <c r="J362" s="11">
        <f t="shared" si="28"/>
        <v>45</v>
      </c>
      <c r="K362" s="12" t="str">
        <f t="shared" si="25"/>
        <v>Stock_Sufficient</v>
      </c>
      <c r="L362" s="12">
        <f t="shared" si="26"/>
        <v>192.5</v>
      </c>
      <c r="M362" s="6">
        <v>45662</v>
      </c>
      <c r="N362" s="6">
        <v>45424</v>
      </c>
      <c r="O362" s="6">
        <v>45437</v>
      </c>
      <c r="P362" s="7" t="s">
        <v>1459</v>
      </c>
      <c r="Q362" s="5">
        <v>78</v>
      </c>
      <c r="R362" s="10">
        <f t="shared" si="27"/>
        <v>195</v>
      </c>
      <c r="S362" s="5">
        <v>4</v>
      </c>
      <c r="T362" s="5" t="s">
        <v>39</v>
      </c>
      <c r="U362" s="11">
        <f t="shared" si="29"/>
        <v>150</v>
      </c>
    </row>
    <row r="363" spans="1:21" ht="16" x14ac:dyDescent="0.4">
      <c r="A363" s="2" t="s">
        <v>1460</v>
      </c>
      <c r="B363" s="3" t="s">
        <v>1265</v>
      </c>
      <c r="C363" s="28" t="s">
        <v>23</v>
      </c>
      <c r="D363" s="2" t="s">
        <v>1461</v>
      </c>
      <c r="E363" s="4" t="s">
        <v>1462</v>
      </c>
      <c r="F363" s="5">
        <v>51</v>
      </c>
      <c r="G363" s="5">
        <v>55</v>
      </c>
      <c r="H363" s="5">
        <v>76</v>
      </c>
      <c r="I363" s="10">
        <v>5</v>
      </c>
      <c r="J363" s="11">
        <f t="shared" si="28"/>
        <v>255</v>
      </c>
      <c r="K363" s="12" t="str">
        <f t="shared" si="25"/>
        <v>Low Stock_Reorder Needed</v>
      </c>
      <c r="L363" s="12">
        <f t="shared" si="26"/>
        <v>380</v>
      </c>
      <c r="M363" s="6">
        <v>45707</v>
      </c>
      <c r="N363" s="6">
        <v>45561</v>
      </c>
      <c r="O363" s="6">
        <v>45681</v>
      </c>
      <c r="P363" s="7" t="s">
        <v>1463</v>
      </c>
      <c r="Q363" s="5">
        <v>21</v>
      </c>
      <c r="R363" s="10">
        <f t="shared" si="27"/>
        <v>105</v>
      </c>
      <c r="S363" s="5">
        <v>13</v>
      </c>
      <c r="T363" s="5" t="s">
        <v>27</v>
      </c>
      <c r="U363" s="11">
        <f t="shared" si="29"/>
        <v>-150</v>
      </c>
    </row>
    <row r="364" spans="1:21" ht="16" x14ac:dyDescent="0.4">
      <c r="A364" s="2" t="s">
        <v>1464</v>
      </c>
      <c r="B364" s="3" t="s">
        <v>752</v>
      </c>
      <c r="C364" s="28" t="s">
        <v>48</v>
      </c>
      <c r="D364" s="2" t="s">
        <v>1465</v>
      </c>
      <c r="E364" s="4" t="s">
        <v>1466</v>
      </c>
      <c r="F364" s="5">
        <v>68</v>
      </c>
      <c r="G364" s="5">
        <v>12</v>
      </c>
      <c r="H364" s="5">
        <v>73</v>
      </c>
      <c r="I364" s="10">
        <v>5</v>
      </c>
      <c r="J364" s="11">
        <f t="shared" si="28"/>
        <v>340</v>
      </c>
      <c r="K364" s="12" t="str">
        <f t="shared" si="25"/>
        <v>Stock_Sufficient</v>
      </c>
      <c r="L364" s="12">
        <f t="shared" si="26"/>
        <v>365</v>
      </c>
      <c r="M364" s="6">
        <v>45509</v>
      </c>
      <c r="N364" s="6">
        <v>45668</v>
      </c>
      <c r="O364" s="6">
        <v>45477</v>
      </c>
      <c r="P364" s="7" t="s">
        <v>1467</v>
      </c>
      <c r="Q364" s="5">
        <v>84</v>
      </c>
      <c r="R364" s="10">
        <f t="shared" si="27"/>
        <v>420</v>
      </c>
      <c r="S364" s="5">
        <v>95</v>
      </c>
      <c r="T364" s="5" t="s">
        <v>39</v>
      </c>
      <c r="U364" s="11">
        <f t="shared" si="29"/>
        <v>80</v>
      </c>
    </row>
    <row r="365" spans="1:21" ht="16" x14ac:dyDescent="0.4">
      <c r="A365" s="2" t="s">
        <v>1468</v>
      </c>
      <c r="B365" s="3" t="s">
        <v>1469</v>
      </c>
      <c r="C365" s="28" t="s">
        <v>23</v>
      </c>
      <c r="D365" s="2" t="s">
        <v>1470</v>
      </c>
      <c r="E365" s="4" t="s">
        <v>535</v>
      </c>
      <c r="F365" s="5">
        <v>46</v>
      </c>
      <c r="G365" s="5">
        <v>6</v>
      </c>
      <c r="H365" s="5">
        <v>64</v>
      </c>
      <c r="I365" s="10">
        <v>10</v>
      </c>
      <c r="J365" s="11">
        <f t="shared" si="28"/>
        <v>460</v>
      </c>
      <c r="K365" s="12" t="str">
        <f t="shared" si="25"/>
        <v>Stock_Sufficient</v>
      </c>
      <c r="L365" s="12">
        <f t="shared" si="26"/>
        <v>640</v>
      </c>
      <c r="M365" s="6">
        <v>45496</v>
      </c>
      <c r="N365" s="6">
        <v>45466</v>
      </c>
      <c r="O365" s="6">
        <v>45648</v>
      </c>
      <c r="P365" s="7" t="s">
        <v>1471</v>
      </c>
      <c r="Q365" s="5">
        <v>63</v>
      </c>
      <c r="R365" s="10">
        <f t="shared" si="27"/>
        <v>630</v>
      </c>
      <c r="S365" s="5">
        <v>29</v>
      </c>
      <c r="T365" s="5" t="s">
        <v>27</v>
      </c>
      <c r="U365" s="11">
        <f t="shared" si="29"/>
        <v>170</v>
      </c>
    </row>
    <row r="366" spans="1:21" ht="16" x14ac:dyDescent="0.4">
      <c r="A366" s="2" t="s">
        <v>1472</v>
      </c>
      <c r="B366" s="3" t="s">
        <v>41</v>
      </c>
      <c r="C366" s="28" t="s">
        <v>23</v>
      </c>
      <c r="D366" s="2" t="s">
        <v>1473</v>
      </c>
      <c r="E366" s="4" t="s">
        <v>766</v>
      </c>
      <c r="F366" s="5">
        <v>98</v>
      </c>
      <c r="G366" s="5">
        <v>40</v>
      </c>
      <c r="H366" s="5">
        <v>93</v>
      </c>
      <c r="I366" s="10">
        <v>1.5</v>
      </c>
      <c r="J366" s="11">
        <f t="shared" si="28"/>
        <v>147</v>
      </c>
      <c r="K366" s="12" t="str">
        <f t="shared" si="25"/>
        <v>Stock_Sufficient</v>
      </c>
      <c r="L366" s="12">
        <f t="shared" si="26"/>
        <v>139.5</v>
      </c>
      <c r="M366" s="6">
        <v>45707</v>
      </c>
      <c r="N366" s="6">
        <v>45699</v>
      </c>
      <c r="O366" s="6">
        <v>45585</v>
      </c>
      <c r="P366" s="7" t="s">
        <v>1474</v>
      </c>
      <c r="Q366" s="5">
        <v>30</v>
      </c>
      <c r="R366" s="10">
        <f t="shared" si="27"/>
        <v>45</v>
      </c>
      <c r="S366" s="5">
        <v>53</v>
      </c>
      <c r="T366" s="5" t="s">
        <v>45</v>
      </c>
      <c r="U366" s="11">
        <f t="shared" si="29"/>
        <v>-102</v>
      </c>
    </row>
    <row r="367" spans="1:21" ht="16" x14ac:dyDescent="0.4">
      <c r="A367" s="2" t="s">
        <v>1475</v>
      </c>
      <c r="B367" s="3" t="s">
        <v>202</v>
      </c>
      <c r="C367" s="28" t="s">
        <v>48</v>
      </c>
      <c r="D367" s="2" t="s">
        <v>1476</v>
      </c>
      <c r="E367" s="4" t="s">
        <v>1477</v>
      </c>
      <c r="F367" s="5">
        <v>50</v>
      </c>
      <c r="G367" s="5">
        <v>20</v>
      </c>
      <c r="H367" s="5">
        <v>74</v>
      </c>
      <c r="I367" s="10">
        <v>2</v>
      </c>
      <c r="J367" s="11">
        <f t="shared" si="28"/>
        <v>100</v>
      </c>
      <c r="K367" s="12" t="str">
        <f t="shared" si="25"/>
        <v>Stock_Sufficient</v>
      </c>
      <c r="L367" s="12">
        <f t="shared" si="26"/>
        <v>148</v>
      </c>
      <c r="M367" s="6">
        <v>45701</v>
      </c>
      <c r="N367" s="6">
        <v>45507</v>
      </c>
      <c r="O367" s="6">
        <v>45570</v>
      </c>
      <c r="P367" s="7" t="s">
        <v>1478</v>
      </c>
      <c r="Q367" s="5">
        <v>30</v>
      </c>
      <c r="R367" s="10">
        <f t="shared" si="27"/>
        <v>60</v>
      </c>
      <c r="S367" s="5">
        <v>57</v>
      </c>
      <c r="T367" s="5" t="s">
        <v>39</v>
      </c>
      <c r="U367" s="11">
        <f t="shared" si="29"/>
        <v>-40</v>
      </c>
    </row>
    <row r="368" spans="1:21" ht="16" x14ac:dyDescent="0.4">
      <c r="A368" s="2" t="s">
        <v>1479</v>
      </c>
      <c r="B368" s="3" t="s">
        <v>1480</v>
      </c>
      <c r="C368" s="28" t="s">
        <v>133</v>
      </c>
      <c r="D368" s="2" t="s">
        <v>1481</v>
      </c>
      <c r="E368" s="4" t="s">
        <v>1251</v>
      </c>
      <c r="F368" s="5">
        <v>88</v>
      </c>
      <c r="G368" s="5">
        <v>83</v>
      </c>
      <c r="H368" s="5">
        <v>42</v>
      </c>
      <c r="I368" s="10">
        <v>15</v>
      </c>
      <c r="J368" s="11">
        <f t="shared" si="28"/>
        <v>1320</v>
      </c>
      <c r="K368" s="12" t="str">
        <f t="shared" si="25"/>
        <v>Stock_Sufficient</v>
      </c>
      <c r="L368" s="12">
        <f t="shared" si="26"/>
        <v>630</v>
      </c>
      <c r="M368" s="6">
        <v>45441</v>
      </c>
      <c r="N368" s="6">
        <v>45544</v>
      </c>
      <c r="O368" s="6">
        <v>45590</v>
      </c>
      <c r="P368" s="7" t="s">
        <v>1482</v>
      </c>
      <c r="Q368" s="5">
        <v>61</v>
      </c>
      <c r="R368" s="10">
        <f t="shared" si="27"/>
        <v>915</v>
      </c>
      <c r="S368" s="5">
        <v>59</v>
      </c>
      <c r="T368" s="5" t="s">
        <v>27</v>
      </c>
      <c r="U368" s="11">
        <f t="shared" si="29"/>
        <v>-405</v>
      </c>
    </row>
    <row r="369" spans="1:21" ht="16" x14ac:dyDescent="0.4">
      <c r="A369" s="2" t="s">
        <v>1483</v>
      </c>
      <c r="B369" s="3" t="s">
        <v>390</v>
      </c>
      <c r="C369" s="28" t="s">
        <v>48</v>
      </c>
      <c r="D369" s="2" t="s">
        <v>1484</v>
      </c>
      <c r="E369" s="4" t="s">
        <v>1477</v>
      </c>
      <c r="F369" s="5">
        <v>26</v>
      </c>
      <c r="G369" s="5">
        <v>16</v>
      </c>
      <c r="H369" s="5">
        <v>69</v>
      </c>
      <c r="I369" s="10">
        <v>1.2</v>
      </c>
      <c r="J369" s="11">
        <f t="shared" si="28"/>
        <v>31.2</v>
      </c>
      <c r="K369" s="12" t="str">
        <f t="shared" si="25"/>
        <v>Stock_Sufficient</v>
      </c>
      <c r="L369" s="12">
        <f t="shared" si="26"/>
        <v>82.8</v>
      </c>
      <c r="M369" s="6">
        <v>45473</v>
      </c>
      <c r="N369" s="6">
        <v>45377</v>
      </c>
      <c r="O369" s="6">
        <v>45523</v>
      </c>
      <c r="P369" s="7" t="s">
        <v>1485</v>
      </c>
      <c r="Q369" s="5">
        <v>64</v>
      </c>
      <c r="R369" s="10">
        <f t="shared" si="27"/>
        <v>76.8</v>
      </c>
      <c r="S369" s="5">
        <v>79</v>
      </c>
      <c r="T369" s="5" t="s">
        <v>27</v>
      </c>
      <c r="U369" s="11">
        <f t="shared" si="29"/>
        <v>45.599999999999994</v>
      </c>
    </row>
    <row r="370" spans="1:21" ht="16" x14ac:dyDescent="0.4">
      <c r="A370" s="2" t="s">
        <v>1486</v>
      </c>
      <c r="B370" s="3" t="s">
        <v>287</v>
      </c>
      <c r="C370" s="28" t="s">
        <v>30</v>
      </c>
      <c r="D370" s="2" t="s">
        <v>1487</v>
      </c>
      <c r="E370" s="4" t="s">
        <v>1320</v>
      </c>
      <c r="F370" s="5">
        <v>43</v>
      </c>
      <c r="G370" s="5">
        <v>38</v>
      </c>
      <c r="H370" s="5">
        <v>63</v>
      </c>
      <c r="I370" s="10">
        <v>12</v>
      </c>
      <c r="J370" s="11">
        <f t="shared" si="28"/>
        <v>516</v>
      </c>
      <c r="K370" s="12" t="str">
        <f t="shared" si="25"/>
        <v>Stock_Sufficient</v>
      </c>
      <c r="L370" s="12">
        <f t="shared" si="26"/>
        <v>756</v>
      </c>
      <c r="M370" s="6">
        <v>45382</v>
      </c>
      <c r="N370" s="6">
        <v>45690</v>
      </c>
      <c r="O370" s="6">
        <v>45391</v>
      </c>
      <c r="P370" s="7" t="s">
        <v>1488</v>
      </c>
      <c r="Q370" s="5">
        <v>88</v>
      </c>
      <c r="R370" s="10">
        <f t="shared" si="27"/>
        <v>1056</v>
      </c>
      <c r="S370" s="5">
        <v>65</v>
      </c>
      <c r="T370" s="5" t="s">
        <v>39</v>
      </c>
      <c r="U370" s="11">
        <f t="shared" si="29"/>
        <v>540</v>
      </c>
    </row>
    <row r="371" spans="1:21" ht="16" x14ac:dyDescent="0.4">
      <c r="A371" s="2" t="s">
        <v>1489</v>
      </c>
      <c r="B371" s="3" t="s">
        <v>688</v>
      </c>
      <c r="C371" s="28" t="s">
        <v>23</v>
      </c>
      <c r="D371" s="2" t="s">
        <v>1490</v>
      </c>
      <c r="E371" s="4" t="s">
        <v>535</v>
      </c>
      <c r="F371" s="5">
        <v>46</v>
      </c>
      <c r="G371" s="5">
        <v>20</v>
      </c>
      <c r="H371" s="5">
        <v>30</v>
      </c>
      <c r="I371" s="10">
        <v>2.5</v>
      </c>
      <c r="J371" s="11">
        <f t="shared" si="28"/>
        <v>115</v>
      </c>
      <c r="K371" s="12" t="str">
        <f t="shared" si="25"/>
        <v>Stock_Sufficient</v>
      </c>
      <c r="L371" s="12">
        <f t="shared" si="26"/>
        <v>75</v>
      </c>
      <c r="M371" s="6">
        <v>45357</v>
      </c>
      <c r="N371" s="6">
        <v>45351</v>
      </c>
      <c r="O371" s="6">
        <v>45548</v>
      </c>
      <c r="P371" s="7" t="s">
        <v>1491</v>
      </c>
      <c r="Q371" s="5">
        <v>54</v>
      </c>
      <c r="R371" s="10">
        <f t="shared" si="27"/>
        <v>135</v>
      </c>
      <c r="S371" s="5">
        <v>24</v>
      </c>
      <c r="T371" s="5" t="s">
        <v>39</v>
      </c>
      <c r="U371" s="11">
        <f t="shared" si="29"/>
        <v>20</v>
      </c>
    </row>
    <row r="372" spans="1:21" ht="16" x14ac:dyDescent="0.4">
      <c r="A372" s="2" t="s">
        <v>1492</v>
      </c>
      <c r="B372" s="3" t="s">
        <v>595</v>
      </c>
      <c r="C372" s="28" t="s">
        <v>48</v>
      </c>
      <c r="D372" s="2" t="s">
        <v>1493</v>
      </c>
      <c r="E372" s="4" t="s">
        <v>766</v>
      </c>
      <c r="F372" s="5">
        <v>19</v>
      </c>
      <c r="G372" s="5">
        <v>73</v>
      </c>
      <c r="H372" s="5">
        <v>60</v>
      </c>
      <c r="I372" s="10">
        <v>2.4500000000000002</v>
      </c>
      <c r="J372" s="11">
        <f t="shared" si="28"/>
        <v>46.550000000000004</v>
      </c>
      <c r="K372" s="12" t="str">
        <f t="shared" si="25"/>
        <v>Low Stock_Reorder Needed</v>
      </c>
      <c r="L372" s="12">
        <f t="shared" si="26"/>
        <v>147</v>
      </c>
      <c r="M372" s="6">
        <v>45363</v>
      </c>
      <c r="N372" s="6">
        <v>45515</v>
      </c>
      <c r="O372" s="6">
        <v>45455</v>
      </c>
      <c r="P372" s="7" t="s">
        <v>1494</v>
      </c>
      <c r="Q372" s="5">
        <v>70</v>
      </c>
      <c r="R372" s="10">
        <f t="shared" si="27"/>
        <v>171.5</v>
      </c>
      <c r="S372" s="5">
        <v>48</v>
      </c>
      <c r="T372" s="5" t="s">
        <v>39</v>
      </c>
      <c r="U372" s="11">
        <f t="shared" si="29"/>
        <v>124.94999999999999</v>
      </c>
    </row>
    <row r="373" spans="1:21" ht="16" x14ac:dyDescent="0.4">
      <c r="A373" s="2" t="s">
        <v>1495</v>
      </c>
      <c r="B373" s="3" t="s">
        <v>1003</v>
      </c>
      <c r="C373" s="28" t="s">
        <v>48</v>
      </c>
      <c r="D373" s="2" t="s">
        <v>1496</v>
      </c>
      <c r="E373" s="4" t="s">
        <v>43</v>
      </c>
      <c r="F373" s="5">
        <v>61</v>
      </c>
      <c r="G373" s="5">
        <v>100</v>
      </c>
      <c r="H373" s="5">
        <v>94</v>
      </c>
      <c r="I373" s="10">
        <v>4</v>
      </c>
      <c r="J373" s="11">
        <f t="shared" si="28"/>
        <v>244</v>
      </c>
      <c r="K373" s="12" t="str">
        <f t="shared" si="25"/>
        <v>Low Stock_Reorder Needed</v>
      </c>
      <c r="L373" s="12">
        <f t="shared" si="26"/>
        <v>376</v>
      </c>
      <c r="M373" s="6">
        <v>45493</v>
      </c>
      <c r="N373" s="6">
        <v>45671</v>
      </c>
      <c r="O373" s="6">
        <v>45569</v>
      </c>
      <c r="P373" s="7" t="s">
        <v>1497</v>
      </c>
      <c r="Q373" s="5">
        <v>76</v>
      </c>
      <c r="R373" s="10">
        <f t="shared" si="27"/>
        <v>304</v>
      </c>
      <c r="S373" s="5">
        <v>2</v>
      </c>
      <c r="T373" s="5" t="s">
        <v>39</v>
      </c>
      <c r="U373" s="11">
        <f t="shared" si="29"/>
        <v>60</v>
      </c>
    </row>
    <row r="374" spans="1:21" ht="16" x14ac:dyDescent="0.4">
      <c r="A374" s="2" t="s">
        <v>1498</v>
      </c>
      <c r="B374" s="3" t="s">
        <v>464</v>
      </c>
      <c r="C374" s="28" t="s">
        <v>48</v>
      </c>
      <c r="D374" s="2" t="s">
        <v>1499</v>
      </c>
      <c r="E374" s="4" t="s">
        <v>1500</v>
      </c>
      <c r="F374" s="5">
        <v>43</v>
      </c>
      <c r="G374" s="5">
        <v>40</v>
      </c>
      <c r="H374" s="5">
        <v>30</v>
      </c>
      <c r="I374" s="10">
        <v>7</v>
      </c>
      <c r="J374" s="11">
        <f t="shared" si="28"/>
        <v>301</v>
      </c>
      <c r="K374" s="12" t="str">
        <f t="shared" si="25"/>
        <v>Stock_Sufficient</v>
      </c>
      <c r="L374" s="12">
        <f t="shared" si="26"/>
        <v>210</v>
      </c>
      <c r="M374" s="6">
        <v>45486</v>
      </c>
      <c r="N374" s="6">
        <v>45567</v>
      </c>
      <c r="O374" s="6">
        <v>45645</v>
      </c>
      <c r="P374" s="7" t="s">
        <v>1501</v>
      </c>
      <c r="Q374" s="5">
        <v>95</v>
      </c>
      <c r="R374" s="10">
        <f t="shared" si="27"/>
        <v>665</v>
      </c>
      <c r="S374" s="5">
        <v>26</v>
      </c>
      <c r="T374" s="5" t="s">
        <v>45</v>
      </c>
      <c r="U374" s="11">
        <f t="shared" si="29"/>
        <v>364</v>
      </c>
    </row>
    <row r="375" spans="1:21" ht="16" x14ac:dyDescent="0.4">
      <c r="A375" s="2" t="s">
        <v>1502</v>
      </c>
      <c r="B375" s="3" t="s">
        <v>673</v>
      </c>
      <c r="C375" s="28" t="s">
        <v>30</v>
      </c>
      <c r="D375" s="2" t="s">
        <v>1503</v>
      </c>
      <c r="E375" s="4" t="s">
        <v>259</v>
      </c>
      <c r="F375" s="5">
        <v>80</v>
      </c>
      <c r="G375" s="5">
        <v>54</v>
      </c>
      <c r="H375" s="5">
        <v>21</v>
      </c>
      <c r="I375" s="10">
        <v>8.5</v>
      </c>
      <c r="J375" s="11">
        <f t="shared" si="28"/>
        <v>680</v>
      </c>
      <c r="K375" s="12" t="str">
        <f t="shared" si="25"/>
        <v>Stock_Sufficient</v>
      </c>
      <c r="L375" s="12">
        <f t="shared" si="26"/>
        <v>178.5</v>
      </c>
      <c r="M375" s="6">
        <v>45528</v>
      </c>
      <c r="N375" s="6">
        <v>45565</v>
      </c>
      <c r="O375" s="6">
        <v>45398</v>
      </c>
      <c r="P375" s="7" t="s">
        <v>1504</v>
      </c>
      <c r="Q375" s="5">
        <v>81</v>
      </c>
      <c r="R375" s="10">
        <f t="shared" si="27"/>
        <v>688.5</v>
      </c>
      <c r="S375" s="5">
        <v>37</v>
      </c>
      <c r="T375" s="5" t="s">
        <v>45</v>
      </c>
      <c r="U375" s="11">
        <f t="shared" si="29"/>
        <v>8.5</v>
      </c>
    </row>
    <row r="376" spans="1:21" ht="16" x14ac:dyDescent="0.4">
      <c r="A376" s="2" t="s">
        <v>1505</v>
      </c>
      <c r="B376" s="3" t="s">
        <v>673</v>
      </c>
      <c r="C376" s="28" t="s">
        <v>30</v>
      </c>
      <c r="D376" s="2" t="s">
        <v>1506</v>
      </c>
      <c r="E376" s="4" t="s">
        <v>925</v>
      </c>
      <c r="F376" s="5">
        <v>34</v>
      </c>
      <c r="G376" s="5">
        <v>47</v>
      </c>
      <c r="H376" s="5">
        <v>99</v>
      </c>
      <c r="I376" s="10">
        <v>8</v>
      </c>
      <c r="J376" s="11">
        <f t="shared" si="28"/>
        <v>272</v>
      </c>
      <c r="K376" s="12" t="str">
        <f t="shared" si="25"/>
        <v>Low Stock_Reorder Needed</v>
      </c>
      <c r="L376" s="12">
        <f t="shared" si="26"/>
        <v>792</v>
      </c>
      <c r="M376" s="6">
        <v>45680</v>
      </c>
      <c r="N376" s="6">
        <v>45476</v>
      </c>
      <c r="O376" s="6">
        <v>45619</v>
      </c>
      <c r="P376" s="7" t="s">
        <v>1507</v>
      </c>
      <c r="Q376" s="5">
        <v>97</v>
      </c>
      <c r="R376" s="10">
        <f t="shared" si="27"/>
        <v>776</v>
      </c>
      <c r="S376" s="5">
        <v>47</v>
      </c>
      <c r="T376" s="5" t="s">
        <v>39</v>
      </c>
      <c r="U376" s="11">
        <f t="shared" si="29"/>
        <v>504</v>
      </c>
    </row>
    <row r="377" spans="1:21" ht="16" x14ac:dyDescent="0.4">
      <c r="A377" s="2" t="s">
        <v>1508</v>
      </c>
      <c r="B377" s="3" t="s">
        <v>673</v>
      </c>
      <c r="C377" s="28" t="s">
        <v>30</v>
      </c>
      <c r="D377" s="2" t="s">
        <v>1509</v>
      </c>
      <c r="E377" s="4" t="s">
        <v>1102</v>
      </c>
      <c r="F377" s="5">
        <v>88</v>
      </c>
      <c r="G377" s="5">
        <v>50</v>
      </c>
      <c r="H377" s="5">
        <v>88</v>
      </c>
      <c r="I377" s="10">
        <v>8</v>
      </c>
      <c r="J377" s="11">
        <f t="shared" si="28"/>
        <v>704</v>
      </c>
      <c r="K377" s="12" t="str">
        <f t="shared" si="25"/>
        <v>Stock_Sufficient</v>
      </c>
      <c r="L377" s="12">
        <f t="shared" si="26"/>
        <v>704</v>
      </c>
      <c r="M377" s="6">
        <v>45527</v>
      </c>
      <c r="N377" s="6">
        <v>45609</v>
      </c>
      <c r="O377" s="6">
        <v>45599</v>
      </c>
      <c r="P377" s="7" t="s">
        <v>1510</v>
      </c>
      <c r="Q377" s="5">
        <v>78</v>
      </c>
      <c r="R377" s="10">
        <f t="shared" si="27"/>
        <v>624</v>
      </c>
      <c r="S377" s="5">
        <v>28</v>
      </c>
      <c r="T377" s="5" t="s">
        <v>27</v>
      </c>
      <c r="U377" s="11">
        <f t="shared" si="29"/>
        <v>-80</v>
      </c>
    </row>
    <row r="378" spans="1:21" ht="16" x14ac:dyDescent="0.4">
      <c r="A378" s="2" t="s">
        <v>1511</v>
      </c>
      <c r="B378" s="3" t="s">
        <v>493</v>
      </c>
      <c r="C378" s="28" t="s">
        <v>65</v>
      </c>
      <c r="D378" s="2" t="s">
        <v>1512</v>
      </c>
      <c r="E378" s="4" t="s">
        <v>1513</v>
      </c>
      <c r="F378" s="5">
        <v>89</v>
      </c>
      <c r="G378" s="5">
        <v>42</v>
      </c>
      <c r="H378" s="5">
        <v>76</v>
      </c>
      <c r="I378" s="10">
        <v>5</v>
      </c>
      <c r="J378" s="11">
        <f t="shared" si="28"/>
        <v>445</v>
      </c>
      <c r="K378" s="12" t="str">
        <f t="shared" si="25"/>
        <v>Stock_Sufficient</v>
      </c>
      <c r="L378" s="12">
        <f t="shared" si="26"/>
        <v>380</v>
      </c>
      <c r="M378" s="6">
        <v>45641</v>
      </c>
      <c r="N378" s="6">
        <v>45626</v>
      </c>
      <c r="O378" s="6">
        <v>45636</v>
      </c>
      <c r="P378" s="7" t="s">
        <v>1514</v>
      </c>
      <c r="Q378" s="5">
        <v>94</v>
      </c>
      <c r="R378" s="10">
        <f t="shared" si="27"/>
        <v>470</v>
      </c>
      <c r="S378" s="5">
        <v>81</v>
      </c>
      <c r="T378" s="5" t="s">
        <v>39</v>
      </c>
      <c r="U378" s="11">
        <f t="shared" si="29"/>
        <v>25</v>
      </c>
    </row>
    <row r="379" spans="1:21" ht="16" x14ac:dyDescent="0.4">
      <c r="A379" s="2" t="s">
        <v>1515</v>
      </c>
      <c r="B379" s="3" t="s">
        <v>1469</v>
      </c>
      <c r="C379" s="28" t="s">
        <v>23</v>
      </c>
      <c r="D379" s="2" t="s">
        <v>1516</v>
      </c>
      <c r="E379" s="4" t="s">
        <v>1517</v>
      </c>
      <c r="F379" s="5">
        <v>26</v>
      </c>
      <c r="G379" s="5">
        <v>21</v>
      </c>
      <c r="H379" s="5">
        <v>47</v>
      </c>
      <c r="I379" s="10">
        <v>10</v>
      </c>
      <c r="J379" s="11">
        <f t="shared" si="28"/>
        <v>260</v>
      </c>
      <c r="K379" s="12" t="str">
        <f t="shared" si="25"/>
        <v>Stock_Sufficient</v>
      </c>
      <c r="L379" s="12">
        <f t="shared" si="26"/>
        <v>470</v>
      </c>
      <c r="M379" s="6">
        <v>45507</v>
      </c>
      <c r="N379" s="6">
        <v>45520</v>
      </c>
      <c r="O379" s="6">
        <v>45414</v>
      </c>
      <c r="P379" s="7" t="s">
        <v>1518</v>
      </c>
      <c r="Q379" s="5">
        <v>40</v>
      </c>
      <c r="R379" s="10">
        <f t="shared" si="27"/>
        <v>400</v>
      </c>
      <c r="S379" s="5">
        <v>59</v>
      </c>
      <c r="T379" s="5" t="s">
        <v>27</v>
      </c>
      <c r="U379" s="11">
        <f t="shared" si="29"/>
        <v>140</v>
      </c>
    </row>
    <row r="380" spans="1:21" ht="16" x14ac:dyDescent="0.4">
      <c r="A380" s="2" t="s">
        <v>1519</v>
      </c>
      <c r="B380" s="3" t="s">
        <v>172</v>
      </c>
      <c r="C380" s="28" t="s">
        <v>48</v>
      </c>
      <c r="D380" s="2" t="s">
        <v>1520</v>
      </c>
      <c r="E380" s="4" t="s">
        <v>1258</v>
      </c>
      <c r="F380" s="5">
        <v>26</v>
      </c>
      <c r="G380" s="5">
        <v>95</v>
      </c>
      <c r="H380" s="5">
        <v>36</v>
      </c>
      <c r="I380" s="10">
        <v>4.5</v>
      </c>
      <c r="J380" s="11">
        <f t="shared" si="28"/>
        <v>117</v>
      </c>
      <c r="K380" s="12" t="str">
        <f t="shared" si="25"/>
        <v>Low Stock_Reorder Needed</v>
      </c>
      <c r="L380" s="12">
        <f t="shared" si="26"/>
        <v>162</v>
      </c>
      <c r="M380" s="6">
        <v>45502</v>
      </c>
      <c r="N380" s="6">
        <v>45663</v>
      </c>
      <c r="O380" s="6">
        <v>45698</v>
      </c>
      <c r="P380" s="7" t="s">
        <v>1521</v>
      </c>
      <c r="Q380" s="5">
        <v>92</v>
      </c>
      <c r="R380" s="10">
        <f t="shared" si="27"/>
        <v>414</v>
      </c>
      <c r="S380" s="5">
        <v>14</v>
      </c>
      <c r="T380" s="5" t="s">
        <v>45</v>
      </c>
      <c r="U380" s="11">
        <f t="shared" si="29"/>
        <v>297</v>
      </c>
    </row>
    <row r="381" spans="1:21" ht="16" x14ac:dyDescent="0.4">
      <c r="A381" s="2" t="s">
        <v>1522</v>
      </c>
      <c r="B381" s="3" t="s">
        <v>555</v>
      </c>
      <c r="C381" s="28" t="s">
        <v>48</v>
      </c>
      <c r="D381" s="2" t="s">
        <v>1523</v>
      </c>
      <c r="E381" s="4" t="s">
        <v>1295</v>
      </c>
      <c r="F381" s="5">
        <v>37</v>
      </c>
      <c r="G381" s="5">
        <v>38</v>
      </c>
      <c r="H381" s="5">
        <v>24</v>
      </c>
      <c r="I381" s="10">
        <v>4</v>
      </c>
      <c r="J381" s="11">
        <f t="shared" si="28"/>
        <v>148</v>
      </c>
      <c r="K381" s="12" t="str">
        <f t="shared" si="25"/>
        <v>Low Stock_Reorder Needed</v>
      </c>
      <c r="L381" s="12">
        <f t="shared" si="26"/>
        <v>96</v>
      </c>
      <c r="M381" s="6">
        <v>45458</v>
      </c>
      <c r="N381" s="6">
        <v>45537</v>
      </c>
      <c r="O381" s="6">
        <v>45524</v>
      </c>
      <c r="P381" s="7" t="s">
        <v>1524</v>
      </c>
      <c r="Q381" s="5">
        <v>93</v>
      </c>
      <c r="R381" s="10">
        <f t="shared" si="27"/>
        <v>372</v>
      </c>
      <c r="S381" s="5">
        <v>32</v>
      </c>
      <c r="T381" s="5" t="s">
        <v>45</v>
      </c>
      <c r="U381" s="11">
        <f t="shared" si="29"/>
        <v>224</v>
      </c>
    </row>
    <row r="382" spans="1:21" ht="16" x14ac:dyDescent="0.4">
      <c r="A382" s="2" t="s">
        <v>1525</v>
      </c>
      <c r="B382" s="3" t="s">
        <v>1219</v>
      </c>
      <c r="C382" s="28" t="s">
        <v>65</v>
      </c>
      <c r="D382" s="2" t="s">
        <v>1526</v>
      </c>
      <c r="E382" s="4" t="s">
        <v>735</v>
      </c>
      <c r="F382" s="5">
        <v>76</v>
      </c>
      <c r="G382" s="5">
        <v>98</v>
      </c>
      <c r="H382" s="5">
        <v>41</v>
      </c>
      <c r="I382" s="10">
        <v>1.75</v>
      </c>
      <c r="J382" s="11">
        <f t="shared" si="28"/>
        <v>133</v>
      </c>
      <c r="K382" s="12" t="str">
        <f t="shared" si="25"/>
        <v>Low Stock_Reorder Needed</v>
      </c>
      <c r="L382" s="12">
        <f t="shared" si="26"/>
        <v>71.75</v>
      </c>
      <c r="M382" s="6">
        <v>45610</v>
      </c>
      <c r="N382" s="6">
        <v>45435</v>
      </c>
      <c r="O382" s="6">
        <v>45579</v>
      </c>
      <c r="P382" s="7" t="s">
        <v>1527</v>
      </c>
      <c r="Q382" s="5">
        <v>62</v>
      </c>
      <c r="R382" s="10">
        <f t="shared" si="27"/>
        <v>108.5</v>
      </c>
      <c r="S382" s="5">
        <v>48</v>
      </c>
      <c r="T382" s="5" t="s">
        <v>39</v>
      </c>
      <c r="U382" s="11">
        <f t="shared" si="29"/>
        <v>-24.5</v>
      </c>
    </row>
    <row r="383" spans="1:21" ht="16" x14ac:dyDescent="0.4">
      <c r="A383" s="2" t="s">
        <v>1528</v>
      </c>
      <c r="B383" s="3" t="s">
        <v>104</v>
      </c>
      <c r="C383" s="28" t="s">
        <v>65</v>
      </c>
      <c r="D383" s="2" t="s">
        <v>1529</v>
      </c>
      <c r="E383" s="4" t="s">
        <v>1140</v>
      </c>
      <c r="F383" s="5">
        <v>80</v>
      </c>
      <c r="G383" s="5">
        <v>43</v>
      </c>
      <c r="H383" s="5">
        <v>80</v>
      </c>
      <c r="I383" s="10">
        <v>7</v>
      </c>
      <c r="J383" s="11">
        <f t="shared" si="28"/>
        <v>560</v>
      </c>
      <c r="K383" s="12" t="str">
        <f t="shared" si="25"/>
        <v>Stock_Sufficient</v>
      </c>
      <c r="L383" s="12">
        <f t="shared" si="26"/>
        <v>560</v>
      </c>
      <c r="M383" s="6">
        <v>45469</v>
      </c>
      <c r="N383" s="6">
        <v>45540</v>
      </c>
      <c r="O383" s="6">
        <v>45394</v>
      </c>
      <c r="P383" s="7" t="s">
        <v>1530</v>
      </c>
      <c r="Q383" s="5">
        <v>64</v>
      </c>
      <c r="R383" s="10">
        <f t="shared" si="27"/>
        <v>448</v>
      </c>
      <c r="S383" s="5">
        <v>53</v>
      </c>
      <c r="T383" s="5" t="s">
        <v>45</v>
      </c>
      <c r="U383" s="11">
        <f t="shared" si="29"/>
        <v>-112</v>
      </c>
    </row>
    <row r="384" spans="1:21" ht="16" x14ac:dyDescent="0.4">
      <c r="A384" s="2" t="s">
        <v>1531</v>
      </c>
      <c r="B384" s="3" t="s">
        <v>1532</v>
      </c>
      <c r="C384" s="28" t="s">
        <v>48</v>
      </c>
      <c r="D384" s="2" t="s">
        <v>1533</v>
      </c>
      <c r="E384" s="4" t="s">
        <v>165</v>
      </c>
      <c r="F384" s="5">
        <v>100</v>
      </c>
      <c r="G384" s="5">
        <v>3</v>
      </c>
      <c r="H384" s="5">
        <v>32</v>
      </c>
      <c r="I384" s="10">
        <v>2</v>
      </c>
      <c r="J384" s="11">
        <f t="shared" si="28"/>
        <v>200</v>
      </c>
      <c r="K384" s="12" t="str">
        <f t="shared" si="25"/>
        <v>Stock_Sufficient</v>
      </c>
      <c r="L384" s="12">
        <f t="shared" si="26"/>
        <v>64</v>
      </c>
      <c r="M384" s="6">
        <v>45523</v>
      </c>
      <c r="N384" s="6">
        <v>45566</v>
      </c>
      <c r="O384" s="6">
        <v>45698</v>
      </c>
      <c r="P384" s="7" t="s">
        <v>1534</v>
      </c>
      <c r="Q384" s="5">
        <v>98</v>
      </c>
      <c r="R384" s="10">
        <f t="shared" si="27"/>
        <v>196</v>
      </c>
      <c r="S384" s="5">
        <v>91</v>
      </c>
      <c r="T384" s="5" t="s">
        <v>39</v>
      </c>
      <c r="U384" s="11">
        <f t="shared" si="29"/>
        <v>-4</v>
      </c>
    </row>
    <row r="385" spans="1:21" ht="16" x14ac:dyDescent="0.4">
      <c r="A385" s="2" t="s">
        <v>1535</v>
      </c>
      <c r="B385" s="3" t="s">
        <v>239</v>
      </c>
      <c r="C385" s="28" t="s">
        <v>65</v>
      </c>
      <c r="D385" s="2" t="s">
        <v>1536</v>
      </c>
      <c r="E385" s="4" t="s">
        <v>1087</v>
      </c>
      <c r="F385" s="5">
        <v>21</v>
      </c>
      <c r="G385" s="5">
        <v>87</v>
      </c>
      <c r="H385" s="5">
        <v>67</v>
      </c>
      <c r="I385" s="10">
        <v>3.1</v>
      </c>
      <c r="J385" s="11">
        <f t="shared" si="28"/>
        <v>65.100000000000009</v>
      </c>
      <c r="K385" s="12" t="str">
        <f t="shared" si="25"/>
        <v>Low Stock_Reorder Needed</v>
      </c>
      <c r="L385" s="12">
        <f t="shared" si="26"/>
        <v>207.70000000000002</v>
      </c>
      <c r="M385" s="6">
        <v>45660</v>
      </c>
      <c r="N385" s="6">
        <v>45680</v>
      </c>
      <c r="O385" s="6">
        <v>45382</v>
      </c>
      <c r="P385" s="7" t="s">
        <v>1537</v>
      </c>
      <c r="Q385" s="5">
        <v>64</v>
      </c>
      <c r="R385" s="10">
        <f t="shared" si="27"/>
        <v>198.4</v>
      </c>
      <c r="S385" s="5">
        <v>69</v>
      </c>
      <c r="T385" s="5" t="s">
        <v>27</v>
      </c>
      <c r="U385" s="11">
        <f t="shared" si="29"/>
        <v>133.30000000000001</v>
      </c>
    </row>
    <row r="386" spans="1:21" ht="16" x14ac:dyDescent="0.4">
      <c r="A386" s="2" t="s">
        <v>1538</v>
      </c>
      <c r="B386" s="3" t="s">
        <v>1539</v>
      </c>
      <c r="C386" s="28" t="s">
        <v>59</v>
      </c>
      <c r="D386" s="2" t="s">
        <v>1540</v>
      </c>
      <c r="E386" s="4" t="s">
        <v>762</v>
      </c>
      <c r="F386" s="5">
        <v>33</v>
      </c>
      <c r="G386" s="5">
        <v>78</v>
      </c>
      <c r="H386" s="5">
        <v>79</v>
      </c>
      <c r="I386" s="10">
        <v>5</v>
      </c>
      <c r="J386" s="11">
        <f t="shared" si="28"/>
        <v>165</v>
      </c>
      <c r="K386" s="12" t="str">
        <f t="shared" ref="K386:K449" si="30">IF(F386&lt;=G386,"Low Stock_Reorder Needed","Stock_Sufficient")</f>
        <v>Low Stock_Reorder Needed</v>
      </c>
      <c r="L386" s="12">
        <f t="shared" ref="L386:L449" si="31">H386*I386</f>
        <v>395</v>
      </c>
      <c r="M386" s="6">
        <v>45601</v>
      </c>
      <c r="N386" s="6">
        <v>45484</v>
      </c>
      <c r="O386" s="6">
        <v>45403</v>
      </c>
      <c r="P386" s="7" t="s">
        <v>1541</v>
      </c>
      <c r="Q386" s="5">
        <v>60</v>
      </c>
      <c r="R386" s="10">
        <f t="shared" ref="R386:R449" si="32">Q386*I386</f>
        <v>300</v>
      </c>
      <c r="S386" s="5">
        <v>25</v>
      </c>
      <c r="T386" s="5" t="s">
        <v>27</v>
      </c>
      <c r="U386" s="11">
        <f t="shared" si="29"/>
        <v>135</v>
      </c>
    </row>
    <row r="387" spans="1:21" ht="16" x14ac:dyDescent="0.4">
      <c r="A387" s="2" t="s">
        <v>1542</v>
      </c>
      <c r="B387" s="3" t="s">
        <v>1235</v>
      </c>
      <c r="C387" s="28" t="s">
        <v>48</v>
      </c>
      <c r="D387" s="2" t="s">
        <v>1543</v>
      </c>
      <c r="E387" s="4" t="s">
        <v>1123</v>
      </c>
      <c r="F387" s="5">
        <v>43</v>
      </c>
      <c r="G387" s="5">
        <v>63</v>
      </c>
      <c r="H387" s="5">
        <v>99</v>
      </c>
      <c r="I387" s="10">
        <v>3.5</v>
      </c>
      <c r="J387" s="11">
        <f t="shared" ref="J387:J450" si="33">I387*F387</f>
        <v>150.5</v>
      </c>
      <c r="K387" s="12" t="str">
        <f t="shared" si="30"/>
        <v>Low Stock_Reorder Needed</v>
      </c>
      <c r="L387" s="12">
        <f t="shared" si="31"/>
        <v>346.5</v>
      </c>
      <c r="M387" s="6">
        <v>45604</v>
      </c>
      <c r="N387" s="6">
        <v>45639</v>
      </c>
      <c r="O387" s="6">
        <v>45669</v>
      </c>
      <c r="P387" s="7" t="s">
        <v>1544</v>
      </c>
      <c r="Q387" s="5">
        <v>39</v>
      </c>
      <c r="R387" s="10">
        <f t="shared" si="32"/>
        <v>136.5</v>
      </c>
      <c r="S387" s="5">
        <v>77</v>
      </c>
      <c r="T387" s="5" t="s">
        <v>27</v>
      </c>
      <c r="U387" s="11">
        <f t="shared" ref="U387:U450" si="34">R387-J387</f>
        <v>-14</v>
      </c>
    </row>
    <row r="388" spans="1:21" ht="16" x14ac:dyDescent="0.4">
      <c r="A388" s="2" t="s">
        <v>1545</v>
      </c>
      <c r="B388" s="3" t="s">
        <v>163</v>
      </c>
      <c r="C388" s="28" t="s">
        <v>48</v>
      </c>
      <c r="D388" s="2" t="s">
        <v>1546</v>
      </c>
      <c r="E388" s="4" t="s">
        <v>822</v>
      </c>
      <c r="F388" s="5">
        <v>34</v>
      </c>
      <c r="G388" s="5">
        <v>1</v>
      </c>
      <c r="H388" s="5">
        <v>79</v>
      </c>
      <c r="I388" s="10">
        <v>6.2</v>
      </c>
      <c r="J388" s="11">
        <f t="shared" si="33"/>
        <v>210.8</v>
      </c>
      <c r="K388" s="12" t="str">
        <f t="shared" si="30"/>
        <v>Stock_Sufficient</v>
      </c>
      <c r="L388" s="12">
        <f t="shared" si="31"/>
        <v>489.8</v>
      </c>
      <c r="M388" s="6">
        <v>45455</v>
      </c>
      <c r="N388" s="6">
        <v>45646</v>
      </c>
      <c r="O388" s="6">
        <v>45543</v>
      </c>
      <c r="P388" s="7" t="s">
        <v>1547</v>
      </c>
      <c r="Q388" s="5">
        <v>58</v>
      </c>
      <c r="R388" s="10">
        <f t="shared" si="32"/>
        <v>359.6</v>
      </c>
      <c r="S388" s="5">
        <v>36</v>
      </c>
      <c r="T388" s="5" t="s">
        <v>27</v>
      </c>
      <c r="U388" s="11">
        <f t="shared" si="34"/>
        <v>148.80000000000001</v>
      </c>
    </row>
    <row r="389" spans="1:21" ht="16" x14ac:dyDescent="0.4">
      <c r="A389" s="2" t="s">
        <v>1548</v>
      </c>
      <c r="B389" s="3" t="s">
        <v>1043</v>
      </c>
      <c r="C389" s="28" t="s">
        <v>133</v>
      </c>
      <c r="D389" s="2" t="s">
        <v>1549</v>
      </c>
      <c r="E389" s="4" t="s">
        <v>1005</v>
      </c>
      <c r="F389" s="5">
        <v>82</v>
      </c>
      <c r="G389" s="5">
        <v>25</v>
      </c>
      <c r="H389" s="5">
        <v>94</v>
      </c>
      <c r="I389" s="10">
        <v>7.5</v>
      </c>
      <c r="J389" s="11">
        <f t="shared" si="33"/>
        <v>615</v>
      </c>
      <c r="K389" s="12" t="str">
        <f t="shared" si="30"/>
        <v>Stock_Sufficient</v>
      </c>
      <c r="L389" s="12">
        <f t="shared" si="31"/>
        <v>705</v>
      </c>
      <c r="M389" s="6">
        <v>45381</v>
      </c>
      <c r="N389" s="6">
        <v>45367</v>
      </c>
      <c r="O389" s="6">
        <v>45703</v>
      </c>
      <c r="P389" s="7" t="s">
        <v>1550</v>
      </c>
      <c r="Q389" s="5">
        <v>66</v>
      </c>
      <c r="R389" s="10">
        <f t="shared" si="32"/>
        <v>495</v>
      </c>
      <c r="S389" s="5">
        <v>14</v>
      </c>
      <c r="T389" s="5" t="s">
        <v>39</v>
      </c>
      <c r="U389" s="11">
        <f t="shared" si="34"/>
        <v>-120</v>
      </c>
    </row>
    <row r="390" spans="1:21" ht="16" x14ac:dyDescent="0.4">
      <c r="A390" s="2" t="s">
        <v>1551</v>
      </c>
      <c r="B390" s="3" t="s">
        <v>1552</v>
      </c>
      <c r="C390" s="28" t="s">
        <v>90</v>
      </c>
      <c r="D390" s="2" t="s">
        <v>1553</v>
      </c>
      <c r="E390" s="4" t="s">
        <v>1258</v>
      </c>
      <c r="F390" s="5">
        <v>17</v>
      </c>
      <c r="G390" s="5">
        <v>63</v>
      </c>
      <c r="H390" s="5">
        <v>3</v>
      </c>
      <c r="I390" s="10">
        <v>3.5</v>
      </c>
      <c r="J390" s="11">
        <f t="shared" si="33"/>
        <v>59.5</v>
      </c>
      <c r="K390" s="12" t="str">
        <f t="shared" si="30"/>
        <v>Low Stock_Reorder Needed</v>
      </c>
      <c r="L390" s="12">
        <f t="shared" si="31"/>
        <v>10.5</v>
      </c>
      <c r="M390" s="6">
        <v>45506</v>
      </c>
      <c r="N390" s="6">
        <v>45528</v>
      </c>
      <c r="O390" s="6">
        <v>45653</v>
      </c>
      <c r="P390" s="7" t="s">
        <v>1554</v>
      </c>
      <c r="Q390" s="5">
        <v>93</v>
      </c>
      <c r="R390" s="10">
        <f t="shared" si="32"/>
        <v>325.5</v>
      </c>
      <c r="S390" s="5">
        <v>26</v>
      </c>
      <c r="T390" s="5" t="s">
        <v>39</v>
      </c>
      <c r="U390" s="11">
        <f t="shared" si="34"/>
        <v>266</v>
      </c>
    </row>
    <row r="391" spans="1:21" ht="16" x14ac:dyDescent="0.4">
      <c r="A391" s="2" t="s">
        <v>1555</v>
      </c>
      <c r="B391" s="3" t="s">
        <v>22</v>
      </c>
      <c r="C391" s="28" t="s">
        <v>23</v>
      </c>
      <c r="D391" s="2" t="s">
        <v>1556</v>
      </c>
      <c r="E391" s="4" t="s">
        <v>1262</v>
      </c>
      <c r="F391" s="5">
        <v>36</v>
      </c>
      <c r="G391" s="5">
        <v>81</v>
      </c>
      <c r="H391" s="5">
        <v>54</v>
      </c>
      <c r="I391" s="10">
        <v>4.75</v>
      </c>
      <c r="J391" s="11">
        <f t="shared" si="33"/>
        <v>171</v>
      </c>
      <c r="K391" s="12" t="str">
        <f t="shared" si="30"/>
        <v>Low Stock_Reorder Needed</v>
      </c>
      <c r="L391" s="12">
        <f t="shared" si="31"/>
        <v>256.5</v>
      </c>
      <c r="M391" s="6">
        <v>45480</v>
      </c>
      <c r="N391" s="6">
        <v>45646</v>
      </c>
      <c r="O391" s="6">
        <v>45535</v>
      </c>
      <c r="P391" s="7" t="s">
        <v>1557</v>
      </c>
      <c r="Q391" s="5">
        <v>73</v>
      </c>
      <c r="R391" s="10">
        <f t="shared" si="32"/>
        <v>346.75</v>
      </c>
      <c r="S391" s="5">
        <v>60</v>
      </c>
      <c r="T391" s="5" t="s">
        <v>27</v>
      </c>
      <c r="U391" s="11">
        <f t="shared" si="34"/>
        <v>175.75</v>
      </c>
    </row>
    <row r="392" spans="1:21" ht="16" x14ac:dyDescent="0.4">
      <c r="A392" s="2" t="s">
        <v>1558</v>
      </c>
      <c r="B392" s="3" t="s">
        <v>533</v>
      </c>
      <c r="C392" s="28" t="s">
        <v>133</v>
      </c>
      <c r="D392" s="2" t="s">
        <v>1559</v>
      </c>
      <c r="E392" s="4" t="s">
        <v>246</v>
      </c>
      <c r="F392" s="5">
        <v>65</v>
      </c>
      <c r="G392" s="5">
        <v>79</v>
      </c>
      <c r="H392" s="5">
        <v>52</v>
      </c>
      <c r="I392" s="10">
        <v>8</v>
      </c>
      <c r="J392" s="11">
        <f t="shared" si="33"/>
        <v>520</v>
      </c>
      <c r="K392" s="12" t="str">
        <f t="shared" si="30"/>
        <v>Low Stock_Reorder Needed</v>
      </c>
      <c r="L392" s="12">
        <f t="shared" si="31"/>
        <v>416</v>
      </c>
      <c r="M392" s="6">
        <v>45424</v>
      </c>
      <c r="N392" s="6">
        <v>45568</v>
      </c>
      <c r="O392" s="6">
        <v>45442</v>
      </c>
      <c r="P392" s="7" t="s">
        <v>1560</v>
      </c>
      <c r="Q392" s="5">
        <v>56</v>
      </c>
      <c r="R392" s="10">
        <f t="shared" si="32"/>
        <v>448</v>
      </c>
      <c r="S392" s="5">
        <v>94</v>
      </c>
      <c r="T392" s="5" t="s">
        <v>27</v>
      </c>
      <c r="U392" s="11">
        <f t="shared" si="34"/>
        <v>-72</v>
      </c>
    </row>
    <row r="393" spans="1:21" ht="16" x14ac:dyDescent="0.4">
      <c r="A393" s="2" t="s">
        <v>1561</v>
      </c>
      <c r="B393" s="3" t="s">
        <v>1206</v>
      </c>
      <c r="C393" s="28" t="s">
        <v>48</v>
      </c>
      <c r="D393" s="2" t="s">
        <v>1562</v>
      </c>
      <c r="E393" s="4" t="s">
        <v>314</v>
      </c>
      <c r="F393" s="5">
        <v>45</v>
      </c>
      <c r="G393" s="5">
        <v>28</v>
      </c>
      <c r="H393" s="5">
        <v>6</v>
      </c>
      <c r="I393" s="10">
        <v>4.5</v>
      </c>
      <c r="J393" s="11">
        <f t="shared" si="33"/>
        <v>202.5</v>
      </c>
      <c r="K393" s="12" t="str">
        <f t="shared" si="30"/>
        <v>Stock_Sufficient</v>
      </c>
      <c r="L393" s="12">
        <f t="shared" si="31"/>
        <v>27</v>
      </c>
      <c r="M393" s="6">
        <v>45369</v>
      </c>
      <c r="N393" s="6">
        <v>45680</v>
      </c>
      <c r="O393" s="6">
        <v>45526</v>
      </c>
      <c r="P393" s="7" t="s">
        <v>1563</v>
      </c>
      <c r="Q393" s="5">
        <v>35</v>
      </c>
      <c r="R393" s="10">
        <f t="shared" si="32"/>
        <v>157.5</v>
      </c>
      <c r="S393" s="5">
        <v>16</v>
      </c>
      <c r="T393" s="5" t="s">
        <v>27</v>
      </c>
      <c r="U393" s="11">
        <f t="shared" si="34"/>
        <v>-45</v>
      </c>
    </row>
    <row r="394" spans="1:21" ht="16" x14ac:dyDescent="0.4">
      <c r="A394" s="2" t="s">
        <v>1564</v>
      </c>
      <c r="B394" s="3" t="s">
        <v>64</v>
      </c>
      <c r="C394" s="28" t="s">
        <v>65</v>
      </c>
      <c r="D394" s="2" t="s">
        <v>1565</v>
      </c>
      <c r="E394" s="4" t="s">
        <v>414</v>
      </c>
      <c r="F394" s="5">
        <v>35</v>
      </c>
      <c r="G394" s="5">
        <v>78</v>
      </c>
      <c r="H394" s="5">
        <v>68</v>
      </c>
      <c r="I394" s="10">
        <v>2.5</v>
      </c>
      <c r="J394" s="11">
        <f t="shared" si="33"/>
        <v>87.5</v>
      </c>
      <c r="K394" s="12" t="str">
        <f t="shared" si="30"/>
        <v>Low Stock_Reorder Needed</v>
      </c>
      <c r="L394" s="12">
        <f t="shared" si="31"/>
        <v>170</v>
      </c>
      <c r="M394" s="6">
        <v>45394</v>
      </c>
      <c r="N394" s="6">
        <v>45676</v>
      </c>
      <c r="O394" s="6">
        <v>45477</v>
      </c>
      <c r="P394" s="7" t="s">
        <v>1566</v>
      </c>
      <c r="Q394" s="5">
        <v>95</v>
      </c>
      <c r="R394" s="10">
        <f t="shared" si="32"/>
        <v>237.5</v>
      </c>
      <c r="S394" s="5">
        <v>91</v>
      </c>
      <c r="T394" s="5" t="s">
        <v>27</v>
      </c>
      <c r="U394" s="11">
        <f t="shared" si="34"/>
        <v>150</v>
      </c>
    </row>
    <row r="395" spans="1:21" ht="16" x14ac:dyDescent="0.4">
      <c r="A395" s="2" t="s">
        <v>1567</v>
      </c>
      <c r="B395" s="3" t="s">
        <v>109</v>
      </c>
      <c r="C395" s="28" t="s">
        <v>23</v>
      </c>
      <c r="D395" s="2" t="s">
        <v>1568</v>
      </c>
      <c r="E395" s="4" t="s">
        <v>1569</v>
      </c>
      <c r="F395" s="5">
        <v>96</v>
      </c>
      <c r="G395" s="5">
        <v>83</v>
      </c>
      <c r="H395" s="5">
        <v>50</v>
      </c>
      <c r="I395" s="10">
        <v>1.5</v>
      </c>
      <c r="J395" s="11">
        <f t="shared" si="33"/>
        <v>144</v>
      </c>
      <c r="K395" s="12" t="str">
        <f t="shared" si="30"/>
        <v>Stock_Sufficient</v>
      </c>
      <c r="L395" s="12">
        <f t="shared" si="31"/>
        <v>75</v>
      </c>
      <c r="M395" s="6">
        <v>45569</v>
      </c>
      <c r="N395" s="6">
        <v>45381</v>
      </c>
      <c r="O395" s="6">
        <v>45442</v>
      </c>
      <c r="P395" s="7" t="s">
        <v>1570</v>
      </c>
      <c r="Q395" s="5">
        <v>81</v>
      </c>
      <c r="R395" s="10">
        <f t="shared" si="32"/>
        <v>121.5</v>
      </c>
      <c r="S395" s="5">
        <v>89</v>
      </c>
      <c r="T395" s="5" t="s">
        <v>27</v>
      </c>
      <c r="U395" s="11">
        <f t="shared" si="34"/>
        <v>-22.5</v>
      </c>
    </row>
    <row r="396" spans="1:21" ht="16" x14ac:dyDescent="0.4">
      <c r="A396" s="2" t="s">
        <v>1571</v>
      </c>
      <c r="B396" s="3" t="s">
        <v>529</v>
      </c>
      <c r="C396" s="28" t="s">
        <v>48</v>
      </c>
      <c r="D396" s="2" t="s">
        <v>1572</v>
      </c>
      <c r="E396" s="4" t="s">
        <v>272</v>
      </c>
      <c r="F396" s="5">
        <v>56</v>
      </c>
      <c r="G396" s="5">
        <v>75</v>
      </c>
      <c r="H396" s="5">
        <v>13</v>
      </c>
      <c r="I396" s="10">
        <v>5</v>
      </c>
      <c r="J396" s="11">
        <f t="shared" si="33"/>
        <v>280</v>
      </c>
      <c r="K396" s="12" t="str">
        <f t="shared" si="30"/>
        <v>Low Stock_Reorder Needed</v>
      </c>
      <c r="L396" s="12">
        <f t="shared" si="31"/>
        <v>65</v>
      </c>
      <c r="M396" s="6">
        <v>45539</v>
      </c>
      <c r="N396" s="6">
        <v>45386</v>
      </c>
      <c r="O396" s="6">
        <v>45433</v>
      </c>
      <c r="P396" s="7" t="s">
        <v>1573</v>
      </c>
      <c r="Q396" s="5">
        <v>42</v>
      </c>
      <c r="R396" s="10">
        <f t="shared" si="32"/>
        <v>210</v>
      </c>
      <c r="S396" s="5">
        <v>53</v>
      </c>
      <c r="T396" s="5" t="s">
        <v>39</v>
      </c>
      <c r="U396" s="11">
        <f t="shared" si="34"/>
        <v>-70</v>
      </c>
    </row>
    <row r="397" spans="1:21" ht="16" x14ac:dyDescent="0.4">
      <c r="A397" s="2" t="s">
        <v>1574</v>
      </c>
      <c r="B397" s="3" t="s">
        <v>329</v>
      </c>
      <c r="C397" s="28" t="s">
        <v>65</v>
      </c>
      <c r="D397" s="2" t="s">
        <v>1575</v>
      </c>
      <c r="E397" s="4" t="s">
        <v>597</v>
      </c>
      <c r="F397" s="5">
        <v>49</v>
      </c>
      <c r="G397" s="5">
        <v>94</v>
      </c>
      <c r="H397" s="5">
        <v>18</v>
      </c>
      <c r="I397" s="10">
        <v>6</v>
      </c>
      <c r="J397" s="11">
        <f t="shared" si="33"/>
        <v>294</v>
      </c>
      <c r="K397" s="12" t="str">
        <f t="shared" si="30"/>
        <v>Low Stock_Reorder Needed</v>
      </c>
      <c r="L397" s="12">
        <f t="shared" si="31"/>
        <v>108</v>
      </c>
      <c r="M397" s="6">
        <v>45638</v>
      </c>
      <c r="N397" s="6">
        <v>45514</v>
      </c>
      <c r="O397" s="6">
        <v>45398</v>
      </c>
      <c r="P397" s="7" t="s">
        <v>1576</v>
      </c>
      <c r="Q397" s="5">
        <v>38</v>
      </c>
      <c r="R397" s="10">
        <f t="shared" si="32"/>
        <v>228</v>
      </c>
      <c r="S397" s="5">
        <v>11</v>
      </c>
      <c r="T397" s="5" t="s">
        <v>45</v>
      </c>
      <c r="U397" s="11">
        <f t="shared" si="34"/>
        <v>-66</v>
      </c>
    </row>
    <row r="398" spans="1:21" ht="16" x14ac:dyDescent="0.4">
      <c r="A398" s="2" t="s">
        <v>1577</v>
      </c>
      <c r="B398" s="3" t="s">
        <v>153</v>
      </c>
      <c r="C398" s="28" t="s">
        <v>23</v>
      </c>
      <c r="D398" s="2" t="s">
        <v>1578</v>
      </c>
      <c r="E398" s="4" t="s">
        <v>433</v>
      </c>
      <c r="F398" s="5">
        <v>100</v>
      </c>
      <c r="G398" s="5">
        <v>10</v>
      </c>
      <c r="H398" s="5">
        <v>89</v>
      </c>
      <c r="I398" s="10">
        <v>1.5</v>
      </c>
      <c r="J398" s="11">
        <f t="shared" si="33"/>
        <v>150</v>
      </c>
      <c r="K398" s="12" t="str">
        <f t="shared" si="30"/>
        <v>Stock_Sufficient</v>
      </c>
      <c r="L398" s="12">
        <f t="shared" si="31"/>
        <v>133.5</v>
      </c>
      <c r="M398" s="6">
        <v>45405</v>
      </c>
      <c r="N398" s="6">
        <v>45658</v>
      </c>
      <c r="O398" s="6">
        <v>45464</v>
      </c>
      <c r="P398" s="7" t="s">
        <v>1579</v>
      </c>
      <c r="Q398" s="5">
        <v>76</v>
      </c>
      <c r="R398" s="10">
        <f t="shared" si="32"/>
        <v>114</v>
      </c>
      <c r="S398" s="5">
        <v>38</v>
      </c>
      <c r="T398" s="5" t="s">
        <v>39</v>
      </c>
      <c r="U398" s="11">
        <f t="shared" si="34"/>
        <v>-36</v>
      </c>
    </row>
    <row r="399" spans="1:21" ht="16" x14ac:dyDescent="0.4">
      <c r="A399" s="2" t="s">
        <v>1580</v>
      </c>
      <c r="B399" s="3" t="s">
        <v>197</v>
      </c>
      <c r="C399" s="28" t="s">
        <v>133</v>
      </c>
      <c r="D399" s="2" t="s">
        <v>1581</v>
      </c>
      <c r="E399" s="4" t="s">
        <v>1582</v>
      </c>
      <c r="F399" s="5">
        <v>30</v>
      </c>
      <c r="G399" s="5">
        <v>81</v>
      </c>
      <c r="H399" s="5">
        <v>99</v>
      </c>
      <c r="I399" s="10">
        <v>9</v>
      </c>
      <c r="J399" s="11">
        <f t="shared" si="33"/>
        <v>270</v>
      </c>
      <c r="K399" s="12" t="str">
        <f t="shared" si="30"/>
        <v>Low Stock_Reorder Needed</v>
      </c>
      <c r="L399" s="12">
        <f t="shared" si="31"/>
        <v>891</v>
      </c>
      <c r="M399" s="6">
        <v>45495</v>
      </c>
      <c r="N399" s="6">
        <v>45687</v>
      </c>
      <c r="O399" s="6">
        <v>45458</v>
      </c>
      <c r="P399" s="7" t="s">
        <v>1583</v>
      </c>
      <c r="Q399" s="5">
        <v>99</v>
      </c>
      <c r="R399" s="10">
        <f t="shared" si="32"/>
        <v>891</v>
      </c>
      <c r="S399" s="5">
        <v>3</v>
      </c>
      <c r="T399" s="5" t="s">
        <v>39</v>
      </c>
      <c r="U399" s="11">
        <f t="shared" si="34"/>
        <v>621</v>
      </c>
    </row>
    <row r="400" spans="1:21" ht="16" x14ac:dyDescent="0.4">
      <c r="A400" s="2" t="s">
        <v>1584</v>
      </c>
      <c r="B400" s="3" t="s">
        <v>1206</v>
      </c>
      <c r="C400" s="28" t="s">
        <v>48</v>
      </c>
      <c r="D400" s="2" t="s">
        <v>1585</v>
      </c>
      <c r="E400" s="4" t="s">
        <v>43</v>
      </c>
      <c r="F400" s="5">
        <v>20</v>
      </c>
      <c r="G400" s="5">
        <v>91</v>
      </c>
      <c r="H400" s="5">
        <v>12</v>
      </c>
      <c r="I400" s="10">
        <v>4.5</v>
      </c>
      <c r="J400" s="11">
        <f t="shared" si="33"/>
        <v>90</v>
      </c>
      <c r="K400" s="12" t="str">
        <f t="shared" si="30"/>
        <v>Low Stock_Reorder Needed</v>
      </c>
      <c r="L400" s="12">
        <f t="shared" si="31"/>
        <v>54</v>
      </c>
      <c r="M400" s="6">
        <v>45622</v>
      </c>
      <c r="N400" s="6">
        <v>45639</v>
      </c>
      <c r="O400" s="6">
        <v>45627</v>
      </c>
      <c r="P400" s="7" t="s">
        <v>1586</v>
      </c>
      <c r="Q400" s="5">
        <v>35</v>
      </c>
      <c r="R400" s="10">
        <f t="shared" si="32"/>
        <v>157.5</v>
      </c>
      <c r="S400" s="5">
        <v>50</v>
      </c>
      <c r="T400" s="5" t="s">
        <v>45</v>
      </c>
      <c r="U400" s="11">
        <f t="shared" si="34"/>
        <v>67.5</v>
      </c>
    </row>
    <row r="401" spans="1:21" ht="16" x14ac:dyDescent="0.4">
      <c r="A401" s="2" t="s">
        <v>1587</v>
      </c>
      <c r="B401" s="3" t="s">
        <v>738</v>
      </c>
      <c r="C401" s="28" t="s">
        <v>59</v>
      </c>
      <c r="D401" s="2" t="s">
        <v>1588</v>
      </c>
      <c r="E401" s="4" t="s">
        <v>1589</v>
      </c>
      <c r="F401" s="5">
        <v>85</v>
      </c>
      <c r="G401" s="5">
        <v>15</v>
      </c>
      <c r="H401" s="5">
        <v>16</v>
      </c>
      <c r="I401" s="10">
        <v>6.5</v>
      </c>
      <c r="J401" s="11">
        <f t="shared" si="33"/>
        <v>552.5</v>
      </c>
      <c r="K401" s="12" t="str">
        <f t="shared" si="30"/>
        <v>Stock_Sufficient</v>
      </c>
      <c r="L401" s="12">
        <f t="shared" si="31"/>
        <v>104</v>
      </c>
      <c r="M401" s="6">
        <v>45425</v>
      </c>
      <c r="N401" s="6">
        <v>45707</v>
      </c>
      <c r="O401" s="6">
        <v>45488</v>
      </c>
      <c r="P401" s="7" t="s">
        <v>1590</v>
      </c>
      <c r="Q401" s="5">
        <v>46</v>
      </c>
      <c r="R401" s="10">
        <f t="shared" si="32"/>
        <v>299</v>
      </c>
      <c r="S401" s="5">
        <v>24</v>
      </c>
      <c r="T401" s="5" t="s">
        <v>27</v>
      </c>
      <c r="U401" s="11">
        <f t="shared" si="34"/>
        <v>-253.5</v>
      </c>
    </row>
    <row r="402" spans="1:21" ht="16" x14ac:dyDescent="0.4">
      <c r="A402" s="2" t="s">
        <v>1591</v>
      </c>
      <c r="B402" s="3" t="s">
        <v>138</v>
      </c>
      <c r="C402" s="28" t="s">
        <v>48</v>
      </c>
      <c r="D402" s="2" t="s">
        <v>1592</v>
      </c>
      <c r="E402" s="4" t="s">
        <v>822</v>
      </c>
      <c r="F402" s="5">
        <v>86</v>
      </c>
      <c r="G402" s="5">
        <v>90</v>
      </c>
      <c r="H402" s="5">
        <v>39</v>
      </c>
      <c r="I402" s="10">
        <v>2.1</v>
      </c>
      <c r="J402" s="11">
        <f t="shared" si="33"/>
        <v>180.6</v>
      </c>
      <c r="K402" s="12" t="str">
        <f t="shared" si="30"/>
        <v>Low Stock_Reorder Needed</v>
      </c>
      <c r="L402" s="12">
        <f t="shared" si="31"/>
        <v>81.900000000000006</v>
      </c>
      <c r="M402" s="6">
        <v>45585</v>
      </c>
      <c r="N402" s="6">
        <v>45350</v>
      </c>
      <c r="O402" s="6">
        <v>45542</v>
      </c>
      <c r="P402" s="7" t="s">
        <v>1593</v>
      </c>
      <c r="Q402" s="5">
        <v>98</v>
      </c>
      <c r="R402" s="10">
        <f t="shared" si="32"/>
        <v>205.8</v>
      </c>
      <c r="S402" s="5">
        <v>85</v>
      </c>
      <c r="T402" s="5" t="s">
        <v>45</v>
      </c>
      <c r="U402" s="11">
        <f t="shared" si="34"/>
        <v>25.200000000000017</v>
      </c>
    </row>
    <row r="403" spans="1:21" ht="16" x14ac:dyDescent="0.4">
      <c r="A403" s="2" t="s">
        <v>1594</v>
      </c>
      <c r="B403" s="3" t="s">
        <v>266</v>
      </c>
      <c r="C403" s="28" t="s">
        <v>90</v>
      </c>
      <c r="D403" s="2" t="s">
        <v>1595</v>
      </c>
      <c r="E403" s="4" t="s">
        <v>1596</v>
      </c>
      <c r="F403" s="5">
        <v>65</v>
      </c>
      <c r="G403" s="5">
        <v>79</v>
      </c>
      <c r="H403" s="5">
        <v>49</v>
      </c>
      <c r="I403" s="10">
        <v>4</v>
      </c>
      <c r="J403" s="11">
        <f t="shared" si="33"/>
        <v>260</v>
      </c>
      <c r="K403" s="12" t="str">
        <f t="shared" si="30"/>
        <v>Low Stock_Reorder Needed</v>
      </c>
      <c r="L403" s="12">
        <f t="shared" si="31"/>
        <v>196</v>
      </c>
      <c r="M403" s="6">
        <v>45384</v>
      </c>
      <c r="N403" s="6">
        <v>45453</v>
      </c>
      <c r="O403" s="6">
        <v>45582</v>
      </c>
      <c r="P403" s="7" t="s">
        <v>1597</v>
      </c>
      <c r="Q403" s="5">
        <v>100</v>
      </c>
      <c r="R403" s="10">
        <f t="shared" si="32"/>
        <v>400</v>
      </c>
      <c r="S403" s="5">
        <v>9</v>
      </c>
      <c r="T403" s="5" t="s">
        <v>27</v>
      </c>
      <c r="U403" s="11">
        <f t="shared" si="34"/>
        <v>140</v>
      </c>
    </row>
    <row r="404" spans="1:21" ht="16" x14ac:dyDescent="0.4">
      <c r="A404" s="2" t="s">
        <v>1598</v>
      </c>
      <c r="B404" s="3" t="s">
        <v>493</v>
      </c>
      <c r="C404" s="28" t="s">
        <v>65</v>
      </c>
      <c r="D404" s="2" t="s">
        <v>1599</v>
      </c>
      <c r="E404" s="4" t="s">
        <v>849</v>
      </c>
      <c r="F404" s="5">
        <v>67</v>
      </c>
      <c r="G404" s="5">
        <v>98</v>
      </c>
      <c r="H404" s="5">
        <v>92</v>
      </c>
      <c r="I404" s="10">
        <v>5</v>
      </c>
      <c r="J404" s="11">
        <f t="shared" si="33"/>
        <v>335</v>
      </c>
      <c r="K404" s="12" t="str">
        <f t="shared" si="30"/>
        <v>Low Stock_Reorder Needed</v>
      </c>
      <c r="L404" s="12">
        <f t="shared" si="31"/>
        <v>460</v>
      </c>
      <c r="M404" s="6">
        <v>45404</v>
      </c>
      <c r="N404" s="6">
        <v>45535</v>
      </c>
      <c r="O404" s="6">
        <v>45633</v>
      </c>
      <c r="P404" s="7" t="s">
        <v>1600</v>
      </c>
      <c r="Q404" s="5">
        <v>35</v>
      </c>
      <c r="R404" s="10">
        <f t="shared" si="32"/>
        <v>175</v>
      </c>
      <c r="S404" s="5">
        <v>98</v>
      </c>
      <c r="T404" s="5" t="s">
        <v>39</v>
      </c>
      <c r="U404" s="11">
        <f t="shared" si="34"/>
        <v>-160</v>
      </c>
    </row>
    <row r="405" spans="1:21" ht="16" x14ac:dyDescent="0.4">
      <c r="A405" s="2" t="s">
        <v>1601</v>
      </c>
      <c r="B405" s="3" t="s">
        <v>329</v>
      </c>
      <c r="C405" s="28" t="s">
        <v>65</v>
      </c>
      <c r="D405" s="2" t="s">
        <v>1602</v>
      </c>
      <c r="E405" s="4" t="s">
        <v>1136</v>
      </c>
      <c r="F405" s="5">
        <v>88</v>
      </c>
      <c r="G405" s="5">
        <v>4</v>
      </c>
      <c r="H405" s="5">
        <v>79</v>
      </c>
      <c r="I405" s="10">
        <v>6</v>
      </c>
      <c r="J405" s="11">
        <f t="shared" si="33"/>
        <v>528</v>
      </c>
      <c r="K405" s="12" t="str">
        <f t="shared" si="30"/>
        <v>Stock_Sufficient</v>
      </c>
      <c r="L405" s="12">
        <f t="shared" si="31"/>
        <v>474</v>
      </c>
      <c r="M405" s="6">
        <v>45406</v>
      </c>
      <c r="N405" s="6">
        <v>45445</v>
      </c>
      <c r="O405" s="6">
        <v>45518</v>
      </c>
      <c r="P405" s="7" t="s">
        <v>1603</v>
      </c>
      <c r="Q405" s="5">
        <v>23</v>
      </c>
      <c r="R405" s="10">
        <f t="shared" si="32"/>
        <v>138</v>
      </c>
      <c r="S405" s="5">
        <v>39</v>
      </c>
      <c r="T405" s="5" t="s">
        <v>27</v>
      </c>
      <c r="U405" s="11">
        <f t="shared" si="34"/>
        <v>-390</v>
      </c>
    </row>
    <row r="406" spans="1:21" ht="16" x14ac:dyDescent="0.4">
      <c r="A406" s="2" t="s">
        <v>1604</v>
      </c>
      <c r="B406" s="3" t="s">
        <v>776</v>
      </c>
      <c r="C406" s="28" t="s">
        <v>30</v>
      </c>
      <c r="D406" s="2" t="s">
        <v>1605</v>
      </c>
      <c r="E406" s="4" t="s">
        <v>1606</v>
      </c>
      <c r="F406" s="5">
        <v>14</v>
      </c>
      <c r="G406" s="5">
        <v>77</v>
      </c>
      <c r="H406" s="5">
        <v>78</v>
      </c>
      <c r="I406" s="10">
        <v>10</v>
      </c>
      <c r="J406" s="11">
        <f t="shared" si="33"/>
        <v>140</v>
      </c>
      <c r="K406" s="12" t="str">
        <f t="shared" si="30"/>
        <v>Low Stock_Reorder Needed</v>
      </c>
      <c r="L406" s="12">
        <f t="shared" si="31"/>
        <v>780</v>
      </c>
      <c r="M406" s="6">
        <v>45506</v>
      </c>
      <c r="N406" s="6">
        <v>45532</v>
      </c>
      <c r="O406" s="6">
        <v>45536</v>
      </c>
      <c r="P406" s="7" t="s">
        <v>1607</v>
      </c>
      <c r="Q406" s="5">
        <v>32</v>
      </c>
      <c r="R406" s="10">
        <f t="shared" si="32"/>
        <v>320</v>
      </c>
      <c r="S406" s="5">
        <v>24</v>
      </c>
      <c r="T406" s="5" t="s">
        <v>27</v>
      </c>
      <c r="U406" s="11">
        <f t="shared" si="34"/>
        <v>180</v>
      </c>
    </row>
    <row r="407" spans="1:21" ht="16" x14ac:dyDescent="0.4">
      <c r="A407" s="2" t="s">
        <v>1608</v>
      </c>
      <c r="B407" s="3" t="s">
        <v>509</v>
      </c>
      <c r="C407" s="28" t="s">
        <v>133</v>
      </c>
      <c r="D407" s="2" t="s">
        <v>1609</v>
      </c>
      <c r="E407" s="4" t="s">
        <v>1305</v>
      </c>
      <c r="F407" s="5">
        <v>85</v>
      </c>
      <c r="G407" s="5">
        <v>92</v>
      </c>
      <c r="H407" s="5">
        <v>66</v>
      </c>
      <c r="I407" s="10">
        <v>6.7</v>
      </c>
      <c r="J407" s="11">
        <f t="shared" si="33"/>
        <v>569.5</v>
      </c>
      <c r="K407" s="12" t="str">
        <f t="shared" si="30"/>
        <v>Low Stock_Reorder Needed</v>
      </c>
      <c r="L407" s="12">
        <f t="shared" si="31"/>
        <v>442.2</v>
      </c>
      <c r="M407" s="6">
        <v>45379</v>
      </c>
      <c r="N407" s="6">
        <v>45658</v>
      </c>
      <c r="O407" s="6">
        <v>45415</v>
      </c>
      <c r="P407" s="7" t="s">
        <v>1610</v>
      </c>
      <c r="Q407" s="5">
        <v>54</v>
      </c>
      <c r="R407" s="10">
        <f t="shared" si="32"/>
        <v>361.8</v>
      </c>
      <c r="S407" s="5">
        <v>85</v>
      </c>
      <c r="T407" s="5" t="s">
        <v>39</v>
      </c>
      <c r="U407" s="11">
        <f t="shared" si="34"/>
        <v>-207.7</v>
      </c>
    </row>
    <row r="408" spans="1:21" ht="16" x14ac:dyDescent="0.4">
      <c r="A408" s="2" t="s">
        <v>1611</v>
      </c>
      <c r="B408" s="3" t="s">
        <v>104</v>
      </c>
      <c r="C408" s="28" t="s">
        <v>65</v>
      </c>
      <c r="D408" s="2" t="s">
        <v>1612</v>
      </c>
      <c r="E408" s="4" t="s">
        <v>72</v>
      </c>
      <c r="F408" s="5">
        <v>74</v>
      </c>
      <c r="G408" s="5">
        <v>65</v>
      </c>
      <c r="H408" s="5">
        <v>5</v>
      </c>
      <c r="I408" s="10">
        <v>7</v>
      </c>
      <c r="J408" s="11">
        <f t="shared" si="33"/>
        <v>518</v>
      </c>
      <c r="K408" s="12" t="str">
        <f t="shared" si="30"/>
        <v>Stock_Sufficient</v>
      </c>
      <c r="L408" s="12">
        <f t="shared" si="31"/>
        <v>35</v>
      </c>
      <c r="M408" s="6">
        <v>45687</v>
      </c>
      <c r="N408" s="6">
        <v>45500</v>
      </c>
      <c r="O408" s="6">
        <v>45367</v>
      </c>
      <c r="P408" s="7" t="s">
        <v>1613</v>
      </c>
      <c r="Q408" s="5">
        <v>21</v>
      </c>
      <c r="R408" s="10">
        <f t="shared" si="32"/>
        <v>147</v>
      </c>
      <c r="S408" s="5">
        <v>42</v>
      </c>
      <c r="T408" s="5" t="s">
        <v>27</v>
      </c>
      <c r="U408" s="11">
        <f t="shared" si="34"/>
        <v>-371</v>
      </c>
    </row>
    <row r="409" spans="1:21" ht="16" x14ac:dyDescent="0.4">
      <c r="A409" s="2" t="s">
        <v>1614</v>
      </c>
      <c r="B409" s="3" t="s">
        <v>720</v>
      </c>
      <c r="C409" s="28" t="s">
        <v>65</v>
      </c>
      <c r="D409" s="2" t="s">
        <v>1615</v>
      </c>
      <c r="E409" s="4" t="s">
        <v>1616</v>
      </c>
      <c r="F409" s="5">
        <v>21</v>
      </c>
      <c r="G409" s="5">
        <v>28</v>
      </c>
      <c r="H409" s="5">
        <v>72</v>
      </c>
      <c r="I409" s="10">
        <v>9</v>
      </c>
      <c r="J409" s="11">
        <f t="shared" si="33"/>
        <v>189</v>
      </c>
      <c r="K409" s="12" t="str">
        <f t="shared" si="30"/>
        <v>Low Stock_Reorder Needed</v>
      </c>
      <c r="L409" s="12">
        <f t="shared" si="31"/>
        <v>648</v>
      </c>
      <c r="M409" s="6">
        <v>45685</v>
      </c>
      <c r="N409" s="6">
        <v>45350</v>
      </c>
      <c r="O409" s="6">
        <v>45347</v>
      </c>
      <c r="P409" s="7" t="s">
        <v>1617</v>
      </c>
      <c r="Q409" s="5">
        <v>69</v>
      </c>
      <c r="R409" s="10">
        <f t="shared" si="32"/>
        <v>621</v>
      </c>
      <c r="S409" s="5">
        <v>51</v>
      </c>
      <c r="T409" s="5" t="s">
        <v>39</v>
      </c>
      <c r="U409" s="11">
        <f t="shared" si="34"/>
        <v>432</v>
      </c>
    </row>
    <row r="410" spans="1:21" ht="16" x14ac:dyDescent="0.4">
      <c r="A410" s="2" t="s">
        <v>1618</v>
      </c>
      <c r="B410" s="3" t="s">
        <v>398</v>
      </c>
      <c r="C410" s="28" t="s">
        <v>90</v>
      </c>
      <c r="D410" s="2" t="s">
        <v>1619</v>
      </c>
      <c r="E410" s="4" t="s">
        <v>908</v>
      </c>
      <c r="F410" s="5">
        <v>22</v>
      </c>
      <c r="G410" s="5">
        <v>24</v>
      </c>
      <c r="H410" s="5">
        <v>94</v>
      </c>
      <c r="I410" s="10">
        <v>6</v>
      </c>
      <c r="J410" s="11">
        <f t="shared" si="33"/>
        <v>132</v>
      </c>
      <c r="K410" s="12" t="str">
        <f t="shared" si="30"/>
        <v>Low Stock_Reorder Needed</v>
      </c>
      <c r="L410" s="12">
        <f t="shared" si="31"/>
        <v>564</v>
      </c>
      <c r="M410" s="6">
        <v>45492</v>
      </c>
      <c r="N410" s="6">
        <v>45494</v>
      </c>
      <c r="O410" s="6">
        <v>45609</v>
      </c>
      <c r="P410" s="7" t="s">
        <v>1620</v>
      </c>
      <c r="Q410" s="5">
        <v>47</v>
      </c>
      <c r="R410" s="10">
        <f t="shared" si="32"/>
        <v>282</v>
      </c>
      <c r="S410" s="5">
        <v>71</v>
      </c>
      <c r="T410" s="5" t="s">
        <v>45</v>
      </c>
      <c r="U410" s="11">
        <f t="shared" si="34"/>
        <v>150</v>
      </c>
    </row>
    <row r="411" spans="1:21" ht="16" x14ac:dyDescent="0.4">
      <c r="A411" s="2" t="s">
        <v>1621</v>
      </c>
      <c r="B411" s="3" t="s">
        <v>329</v>
      </c>
      <c r="C411" s="28" t="s">
        <v>65</v>
      </c>
      <c r="D411" s="2" t="s">
        <v>1622</v>
      </c>
      <c r="E411" s="4" t="s">
        <v>615</v>
      </c>
      <c r="F411" s="5">
        <v>91</v>
      </c>
      <c r="G411" s="5">
        <v>14</v>
      </c>
      <c r="H411" s="5">
        <v>99</v>
      </c>
      <c r="I411" s="10">
        <v>6</v>
      </c>
      <c r="J411" s="11">
        <f t="shared" si="33"/>
        <v>546</v>
      </c>
      <c r="K411" s="12" t="str">
        <f t="shared" si="30"/>
        <v>Stock_Sufficient</v>
      </c>
      <c r="L411" s="12">
        <f t="shared" si="31"/>
        <v>594</v>
      </c>
      <c r="M411" s="6">
        <v>45698</v>
      </c>
      <c r="N411" s="6">
        <v>45682</v>
      </c>
      <c r="O411" s="6">
        <v>45679</v>
      </c>
      <c r="P411" s="7" t="s">
        <v>1623</v>
      </c>
      <c r="Q411" s="5">
        <v>50</v>
      </c>
      <c r="R411" s="10">
        <f t="shared" si="32"/>
        <v>300</v>
      </c>
      <c r="S411" s="5">
        <v>5</v>
      </c>
      <c r="T411" s="5" t="s">
        <v>39</v>
      </c>
      <c r="U411" s="11">
        <f t="shared" si="34"/>
        <v>-246</v>
      </c>
    </row>
    <row r="412" spans="1:21" ht="16" x14ac:dyDescent="0.4">
      <c r="A412" s="2" t="s">
        <v>1624</v>
      </c>
      <c r="B412" s="3" t="s">
        <v>244</v>
      </c>
      <c r="C412" s="28" t="s">
        <v>90</v>
      </c>
      <c r="D412" s="2" t="s">
        <v>1625</v>
      </c>
      <c r="E412" s="4" t="s">
        <v>1606</v>
      </c>
      <c r="F412" s="5">
        <v>85</v>
      </c>
      <c r="G412" s="5">
        <v>57</v>
      </c>
      <c r="H412" s="5">
        <v>25</v>
      </c>
      <c r="I412" s="10">
        <v>3.5</v>
      </c>
      <c r="J412" s="11">
        <f t="shared" si="33"/>
        <v>297.5</v>
      </c>
      <c r="K412" s="12" t="str">
        <f t="shared" si="30"/>
        <v>Stock_Sufficient</v>
      </c>
      <c r="L412" s="12">
        <f t="shared" si="31"/>
        <v>87.5</v>
      </c>
      <c r="M412" s="6">
        <v>45706</v>
      </c>
      <c r="N412" s="6">
        <v>45561</v>
      </c>
      <c r="O412" s="6">
        <v>45463</v>
      </c>
      <c r="P412" s="7" t="s">
        <v>1626</v>
      </c>
      <c r="Q412" s="5">
        <v>30</v>
      </c>
      <c r="R412" s="10">
        <f t="shared" si="32"/>
        <v>105</v>
      </c>
      <c r="S412" s="5">
        <v>42</v>
      </c>
      <c r="T412" s="5" t="s">
        <v>27</v>
      </c>
      <c r="U412" s="11">
        <f t="shared" si="34"/>
        <v>-192.5</v>
      </c>
    </row>
    <row r="413" spans="1:21" ht="16" x14ac:dyDescent="0.4">
      <c r="A413" s="2" t="s">
        <v>1627</v>
      </c>
      <c r="B413" s="3" t="s">
        <v>403</v>
      </c>
      <c r="C413" s="28" t="s">
        <v>48</v>
      </c>
      <c r="D413" s="2" t="s">
        <v>1628</v>
      </c>
      <c r="E413" s="4" t="s">
        <v>1629</v>
      </c>
      <c r="F413" s="5">
        <v>12</v>
      </c>
      <c r="G413" s="5">
        <v>28</v>
      </c>
      <c r="H413" s="5">
        <v>11</v>
      </c>
      <c r="I413" s="10">
        <v>3</v>
      </c>
      <c r="J413" s="11">
        <f t="shared" si="33"/>
        <v>36</v>
      </c>
      <c r="K413" s="12" t="str">
        <f t="shared" si="30"/>
        <v>Low Stock_Reorder Needed</v>
      </c>
      <c r="L413" s="12">
        <f t="shared" si="31"/>
        <v>33</v>
      </c>
      <c r="M413" s="6">
        <v>45430</v>
      </c>
      <c r="N413" s="6">
        <v>45662</v>
      </c>
      <c r="O413" s="6">
        <v>45399</v>
      </c>
      <c r="P413" s="7" t="s">
        <v>1630</v>
      </c>
      <c r="Q413" s="5">
        <v>46</v>
      </c>
      <c r="R413" s="10">
        <f t="shared" si="32"/>
        <v>138</v>
      </c>
      <c r="S413" s="5">
        <v>88</v>
      </c>
      <c r="T413" s="5" t="s">
        <v>39</v>
      </c>
      <c r="U413" s="11">
        <f t="shared" si="34"/>
        <v>102</v>
      </c>
    </row>
    <row r="414" spans="1:21" ht="16" x14ac:dyDescent="0.4">
      <c r="A414" s="2" t="s">
        <v>1631</v>
      </c>
      <c r="B414" s="3" t="s">
        <v>546</v>
      </c>
      <c r="C414" s="28" t="s">
        <v>48</v>
      </c>
      <c r="D414" s="2" t="s">
        <v>1632</v>
      </c>
      <c r="E414" s="4" t="s">
        <v>1633</v>
      </c>
      <c r="F414" s="5">
        <v>43</v>
      </c>
      <c r="G414" s="5">
        <v>65</v>
      </c>
      <c r="H414" s="5">
        <v>66</v>
      </c>
      <c r="I414" s="10">
        <v>6</v>
      </c>
      <c r="J414" s="11">
        <f t="shared" si="33"/>
        <v>258</v>
      </c>
      <c r="K414" s="12" t="str">
        <f t="shared" si="30"/>
        <v>Low Stock_Reorder Needed</v>
      </c>
      <c r="L414" s="12">
        <f t="shared" si="31"/>
        <v>396</v>
      </c>
      <c r="M414" s="6">
        <v>45647</v>
      </c>
      <c r="N414" s="6">
        <v>45538</v>
      </c>
      <c r="O414" s="6">
        <v>45673</v>
      </c>
      <c r="P414" s="7" t="s">
        <v>1634</v>
      </c>
      <c r="Q414" s="5">
        <v>78</v>
      </c>
      <c r="R414" s="10">
        <f t="shared" si="32"/>
        <v>468</v>
      </c>
      <c r="S414" s="5">
        <v>73</v>
      </c>
      <c r="T414" s="5" t="s">
        <v>39</v>
      </c>
      <c r="U414" s="11">
        <f t="shared" si="34"/>
        <v>210</v>
      </c>
    </row>
    <row r="415" spans="1:21" ht="16" x14ac:dyDescent="0.4">
      <c r="A415" s="2" t="s">
        <v>1635</v>
      </c>
      <c r="B415" s="3" t="s">
        <v>1219</v>
      </c>
      <c r="C415" s="28" t="s">
        <v>65</v>
      </c>
      <c r="D415" s="2" t="s">
        <v>1636</v>
      </c>
      <c r="E415" s="4" t="s">
        <v>1025</v>
      </c>
      <c r="F415" s="5">
        <v>92</v>
      </c>
      <c r="G415" s="5">
        <v>92</v>
      </c>
      <c r="H415" s="5">
        <v>28</v>
      </c>
      <c r="I415" s="10">
        <v>1.75</v>
      </c>
      <c r="J415" s="11">
        <f t="shared" si="33"/>
        <v>161</v>
      </c>
      <c r="K415" s="12" t="str">
        <f t="shared" si="30"/>
        <v>Low Stock_Reorder Needed</v>
      </c>
      <c r="L415" s="12">
        <f t="shared" si="31"/>
        <v>49</v>
      </c>
      <c r="M415" s="6">
        <v>45678</v>
      </c>
      <c r="N415" s="6">
        <v>45545</v>
      </c>
      <c r="O415" s="6">
        <v>45648</v>
      </c>
      <c r="P415" s="7" t="s">
        <v>1637</v>
      </c>
      <c r="Q415" s="5">
        <v>50</v>
      </c>
      <c r="R415" s="10">
        <f t="shared" si="32"/>
        <v>87.5</v>
      </c>
      <c r="S415" s="5">
        <v>67</v>
      </c>
      <c r="T415" s="5" t="s">
        <v>27</v>
      </c>
      <c r="U415" s="11">
        <f t="shared" si="34"/>
        <v>-73.5</v>
      </c>
    </row>
    <row r="416" spans="1:21" ht="16" x14ac:dyDescent="0.4">
      <c r="A416" s="2" t="s">
        <v>1638</v>
      </c>
      <c r="B416" s="3" t="s">
        <v>781</v>
      </c>
      <c r="C416" s="28" t="s">
        <v>48</v>
      </c>
      <c r="D416" s="2" t="s">
        <v>1639</v>
      </c>
      <c r="E416" s="4" t="s">
        <v>1640</v>
      </c>
      <c r="F416" s="5">
        <v>23</v>
      </c>
      <c r="G416" s="5">
        <v>85</v>
      </c>
      <c r="H416" s="5">
        <v>94</v>
      </c>
      <c r="I416" s="10">
        <v>3</v>
      </c>
      <c r="J416" s="11">
        <f t="shared" si="33"/>
        <v>69</v>
      </c>
      <c r="K416" s="12" t="str">
        <f t="shared" si="30"/>
        <v>Low Stock_Reorder Needed</v>
      </c>
      <c r="L416" s="12">
        <f t="shared" si="31"/>
        <v>282</v>
      </c>
      <c r="M416" s="6">
        <v>45577</v>
      </c>
      <c r="N416" s="6">
        <v>45496</v>
      </c>
      <c r="O416" s="6">
        <v>45685</v>
      </c>
      <c r="P416" s="7" t="s">
        <v>1641</v>
      </c>
      <c r="Q416" s="5">
        <v>92</v>
      </c>
      <c r="R416" s="10">
        <f t="shared" si="32"/>
        <v>276</v>
      </c>
      <c r="S416" s="5">
        <v>72</v>
      </c>
      <c r="T416" s="5" t="s">
        <v>39</v>
      </c>
      <c r="U416" s="11">
        <f t="shared" si="34"/>
        <v>207</v>
      </c>
    </row>
    <row r="417" spans="1:21" ht="16" x14ac:dyDescent="0.4">
      <c r="A417" s="2" t="s">
        <v>1642</v>
      </c>
      <c r="B417" s="3" t="s">
        <v>75</v>
      </c>
      <c r="C417" s="28" t="s">
        <v>65</v>
      </c>
      <c r="D417" s="2" t="s">
        <v>1643</v>
      </c>
      <c r="E417" s="4" t="s">
        <v>1644</v>
      </c>
      <c r="F417" s="5">
        <v>77</v>
      </c>
      <c r="G417" s="5">
        <v>1</v>
      </c>
      <c r="H417" s="5">
        <v>41</v>
      </c>
      <c r="I417" s="10">
        <v>1</v>
      </c>
      <c r="J417" s="11">
        <f t="shared" si="33"/>
        <v>77</v>
      </c>
      <c r="K417" s="12" t="str">
        <f t="shared" si="30"/>
        <v>Stock_Sufficient</v>
      </c>
      <c r="L417" s="12">
        <f t="shared" si="31"/>
        <v>41</v>
      </c>
      <c r="M417" s="6">
        <v>45601</v>
      </c>
      <c r="N417" s="6">
        <v>45693</v>
      </c>
      <c r="O417" s="6">
        <v>45372</v>
      </c>
      <c r="P417" s="7" t="s">
        <v>1645</v>
      </c>
      <c r="Q417" s="5">
        <v>58</v>
      </c>
      <c r="R417" s="10">
        <f t="shared" si="32"/>
        <v>58</v>
      </c>
      <c r="S417" s="5">
        <v>55</v>
      </c>
      <c r="T417" s="5" t="s">
        <v>27</v>
      </c>
      <c r="U417" s="11">
        <f t="shared" si="34"/>
        <v>-19</v>
      </c>
    </row>
    <row r="418" spans="1:21" ht="16" x14ac:dyDescent="0.4">
      <c r="A418" s="2" t="s">
        <v>1646</v>
      </c>
      <c r="B418" s="3" t="s">
        <v>1532</v>
      </c>
      <c r="C418" s="28" t="s">
        <v>48</v>
      </c>
      <c r="D418" s="2" t="s">
        <v>1647</v>
      </c>
      <c r="E418" s="4" t="s">
        <v>758</v>
      </c>
      <c r="F418" s="5">
        <v>65</v>
      </c>
      <c r="G418" s="5">
        <v>10</v>
      </c>
      <c r="H418" s="5">
        <v>81</v>
      </c>
      <c r="I418" s="10">
        <v>2</v>
      </c>
      <c r="J418" s="11">
        <f t="shared" si="33"/>
        <v>130</v>
      </c>
      <c r="K418" s="12" t="str">
        <f t="shared" si="30"/>
        <v>Stock_Sufficient</v>
      </c>
      <c r="L418" s="12">
        <f t="shared" si="31"/>
        <v>162</v>
      </c>
      <c r="M418" s="6">
        <v>45531</v>
      </c>
      <c r="N418" s="6">
        <v>45700</v>
      </c>
      <c r="O418" s="6">
        <v>45420</v>
      </c>
      <c r="P418" s="7" t="s">
        <v>1648</v>
      </c>
      <c r="Q418" s="5">
        <v>71</v>
      </c>
      <c r="R418" s="10">
        <f t="shared" si="32"/>
        <v>142</v>
      </c>
      <c r="S418" s="5">
        <v>61</v>
      </c>
      <c r="T418" s="5" t="s">
        <v>39</v>
      </c>
      <c r="U418" s="11">
        <f t="shared" si="34"/>
        <v>12</v>
      </c>
    </row>
    <row r="419" spans="1:21" ht="16" x14ac:dyDescent="0.4">
      <c r="A419" s="2" t="s">
        <v>1649</v>
      </c>
      <c r="B419" s="3" t="s">
        <v>538</v>
      </c>
      <c r="C419" s="28" t="s">
        <v>48</v>
      </c>
      <c r="D419" s="2" t="s">
        <v>1650</v>
      </c>
      <c r="E419" s="4" t="s">
        <v>1128</v>
      </c>
      <c r="F419" s="5">
        <v>82</v>
      </c>
      <c r="G419" s="5">
        <v>29</v>
      </c>
      <c r="H419" s="5">
        <v>62</v>
      </c>
      <c r="I419" s="10">
        <v>15.31</v>
      </c>
      <c r="J419" s="11">
        <f t="shared" si="33"/>
        <v>1255.42</v>
      </c>
      <c r="K419" s="12" t="str">
        <f t="shared" si="30"/>
        <v>Stock_Sufficient</v>
      </c>
      <c r="L419" s="12">
        <f t="shared" si="31"/>
        <v>949.22</v>
      </c>
      <c r="M419" s="6">
        <v>45512</v>
      </c>
      <c r="N419" s="6">
        <v>45369</v>
      </c>
      <c r="O419" s="6">
        <v>45635</v>
      </c>
      <c r="P419" s="7" t="s">
        <v>1651</v>
      </c>
      <c r="Q419" s="5">
        <v>77</v>
      </c>
      <c r="R419" s="10">
        <f t="shared" si="32"/>
        <v>1178.8700000000001</v>
      </c>
      <c r="S419" s="5">
        <v>27</v>
      </c>
      <c r="T419" s="5" t="s">
        <v>39</v>
      </c>
      <c r="U419" s="11">
        <f t="shared" si="34"/>
        <v>-76.549999999999955</v>
      </c>
    </row>
    <row r="420" spans="1:21" ht="16" x14ac:dyDescent="0.4">
      <c r="A420" s="2" t="s">
        <v>1652</v>
      </c>
      <c r="B420" s="3" t="s">
        <v>114</v>
      </c>
      <c r="C420" s="28" t="s">
        <v>65</v>
      </c>
      <c r="D420" s="2" t="s">
        <v>1653</v>
      </c>
      <c r="E420" s="4" t="s">
        <v>1045</v>
      </c>
      <c r="F420" s="5">
        <v>20</v>
      </c>
      <c r="G420" s="5">
        <v>17</v>
      </c>
      <c r="H420" s="5">
        <v>71</v>
      </c>
      <c r="I420" s="10">
        <v>8</v>
      </c>
      <c r="J420" s="11">
        <f t="shared" si="33"/>
        <v>160</v>
      </c>
      <c r="K420" s="12" t="str">
        <f t="shared" si="30"/>
        <v>Stock_Sufficient</v>
      </c>
      <c r="L420" s="12">
        <f t="shared" si="31"/>
        <v>568</v>
      </c>
      <c r="M420" s="6">
        <v>45587</v>
      </c>
      <c r="N420" s="6">
        <v>45664</v>
      </c>
      <c r="O420" s="6">
        <v>45612</v>
      </c>
      <c r="P420" s="7" t="s">
        <v>1654</v>
      </c>
      <c r="Q420" s="5">
        <v>50</v>
      </c>
      <c r="R420" s="10">
        <f t="shared" si="32"/>
        <v>400</v>
      </c>
      <c r="S420" s="5">
        <v>65</v>
      </c>
      <c r="T420" s="5" t="s">
        <v>45</v>
      </c>
      <c r="U420" s="11">
        <f t="shared" si="34"/>
        <v>240</v>
      </c>
    </row>
    <row r="421" spans="1:21" ht="16" x14ac:dyDescent="0.4">
      <c r="A421" s="2" t="s">
        <v>1655</v>
      </c>
      <c r="B421" s="3" t="s">
        <v>720</v>
      </c>
      <c r="C421" s="28" t="s">
        <v>65</v>
      </c>
      <c r="D421" s="2" t="s">
        <v>1656</v>
      </c>
      <c r="E421" s="4" t="s">
        <v>77</v>
      </c>
      <c r="F421" s="5">
        <v>31</v>
      </c>
      <c r="G421" s="5">
        <v>65</v>
      </c>
      <c r="H421" s="5">
        <v>94</v>
      </c>
      <c r="I421" s="10">
        <v>9</v>
      </c>
      <c r="J421" s="11">
        <f t="shared" si="33"/>
        <v>279</v>
      </c>
      <c r="K421" s="12" t="str">
        <f t="shared" si="30"/>
        <v>Low Stock_Reorder Needed</v>
      </c>
      <c r="L421" s="12">
        <f t="shared" si="31"/>
        <v>846</v>
      </c>
      <c r="M421" s="6">
        <v>45629</v>
      </c>
      <c r="N421" s="6">
        <v>45582</v>
      </c>
      <c r="O421" s="6">
        <v>45357</v>
      </c>
      <c r="P421" s="7" t="s">
        <v>1657</v>
      </c>
      <c r="Q421" s="5">
        <v>63</v>
      </c>
      <c r="R421" s="10">
        <f t="shared" si="32"/>
        <v>567</v>
      </c>
      <c r="S421" s="5">
        <v>7</v>
      </c>
      <c r="T421" s="5" t="s">
        <v>39</v>
      </c>
      <c r="U421" s="11">
        <f t="shared" si="34"/>
        <v>288</v>
      </c>
    </row>
    <row r="422" spans="1:21" ht="16" x14ac:dyDescent="0.4">
      <c r="A422" s="2" t="s">
        <v>1658</v>
      </c>
      <c r="B422" s="3" t="s">
        <v>239</v>
      </c>
      <c r="C422" s="28" t="s">
        <v>65</v>
      </c>
      <c r="D422" s="2" t="s">
        <v>1659</v>
      </c>
      <c r="E422" s="4" t="s">
        <v>1660</v>
      </c>
      <c r="F422" s="5">
        <v>36</v>
      </c>
      <c r="G422" s="5">
        <v>75</v>
      </c>
      <c r="H422" s="5">
        <v>35</v>
      </c>
      <c r="I422" s="10">
        <v>2.9</v>
      </c>
      <c r="J422" s="11">
        <f t="shared" si="33"/>
        <v>104.39999999999999</v>
      </c>
      <c r="K422" s="12" t="str">
        <f t="shared" si="30"/>
        <v>Low Stock_Reorder Needed</v>
      </c>
      <c r="L422" s="12">
        <f t="shared" si="31"/>
        <v>101.5</v>
      </c>
      <c r="M422" s="6">
        <v>45395</v>
      </c>
      <c r="N422" s="6">
        <v>45460</v>
      </c>
      <c r="O422" s="6">
        <v>45619</v>
      </c>
      <c r="P422" s="7" t="s">
        <v>1661</v>
      </c>
      <c r="Q422" s="5">
        <v>26</v>
      </c>
      <c r="R422" s="10">
        <f t="shared" si="32"/>
        <v>75.399999999999991</v>
      </c>
      <c r="S422" s="5">
        <v>41</v>
      </c>
      <c r="T422" s="5" t="s">
        <v>27</v>
      </c>
      <c r="U422" s="11">
        <f t="shared" si="34"/>
        <v>-29</v>
      </c>
    </row>
    <row r="423" spans="1:21" ht="16" x14ac:dyDescent="0.4">
      <c r="A423" s="2" t="s">
        <v>1662</v>
      </c>
      <c r="B423" s="3" t="s">
        <v>317</v>
      </c>
      <c r="C423" s="28" t="s">
        <v>30</v>
      </c>
      <c r="D423" s="2" t="s">
        <v>1663</v>
      </c>
      <c r="E423" s="4" t="s">
        <v>400</v>
      </c>
      <c r="F423" s="5">
        <v>59</v>
      </c>
      <c r="G423" s="5">
        <v>20</v>
      </c>
      <c r="H423" s="5">
        <v>17</v>
      </c>
      <c r="I423" s="10">
        <v>5</v>
      </c>
      <c r="J423" s="11">
        <f t="shared" si="33"/>
        <v>295</v>
      </c>
      <c r="K423" s="12" t="str">
        <f t="shared" si="30"/>
        <v>Stock_Sufficient</v>
      </c>
      <c r="L423" s="12">
        <f t="shared" si="31"/>
        <v>85</v>
      </c>
      <c r="M423" s="6">
        <v>45632</v>
      </c>
      <c r="N423" s="6">
        <v>45473</v>
      </c>
      <c r="O423" s="6">
        <v>45455</v>
      </c>
      <c r="P423" s="7" t="s">
        <v>1664</v>
      </c>
      <c r="Q423" s="5">
        <v>45</v>
      </c>
      <c r="R423" s="10">
        <f t="shared" si="32"/>
        <v>225</v>
      </c>
      <c r="S423" s="5">
        <v>15</v>
      </c>
      <c r="T423" s="5" t="s">
        <v>27</v>
      </c>
      <c r="U423" s="11">
        <f t="shared" si="34"/>
        <v>-70</v>
      </c>
    </row>
    <row r="424" spans="1:21" ht="16" x14ac:dyDescent="0.4">
      <c r="A424" s="2" t="s">
        <v>1665</v>
      </c>
      <c r="B424" s="3" t="s">
        <v>41</v>
      </c>
      <c r="C424" s="28" t="s">
        <v>23</v>
      </c>
      <c r="D424" s="2" t="s">
        <v>1666</v>
      </c>
      <c r="E424" s="4" t="s">
        <v>268</v>
      </c>
      <c r="F424" s="5">
        <v>11</v>
      </c>
      <c r="G424" s="5">
        <v>10</v>
      </c>
      <c r="H424" s="5">
        <v>80</v>
      </c>
      <c r="I424" s="10">
        <v>1.5</v>
      </c>
      <c r="J424" s="11">
        <f t="shared" si="33"/>
        <v>16.5</v>
      </c>
      <c r="K424" s="12" t="str">
        <f t="shared" si="30"/>
        <v>Stock_Sufficient</v>
      </c>
      <c r="L424" s="12">
        <f t="shared" si="31"/>
        <v>120</v>
      </c>
      <c r="M424" s="6">
        <v>45448</v>
      </c>
      <c r="N424" s="6">
        <v>45562</v>
      </c>
      <c r="O424" s="6">
        <v>45506</v>
      </c>
      <c r="P424" s="7" t="s">
        <v>1667</v>
      </c>
      <c r="Q424" s="5">
        <v>48</v>
      </c>
      <c r="R424" s="10">
        <f t="shared" si="32"/>
        <v>72</v>
      </c>
      <c r="S424" s="5">
        <v>65</v>
      </c>
      <c r="T424" s="5" t="s">
        <v>27</v>
      </c>
      <c r="U424" s="11">
        <f t="shared" si="34"/>
        <v>55.5</v>
      </c>
    </row>
    <row r="425" spans="1:21" ht="16" x14ac:dyDescent="0.4">
      <c r="A425" s="2" t="s">
        <v>1668</v>
      </c>
      <c r="B425" s="3" t="s">
        <v>235</v>
      </c>
      <c r="C425" s="28" t="s">
        <v>30</v>
      </c>
      <c r="D425" s="2" t="s">
        <v>1669</v>
      </c>
      <c r="E425" s="4" t="s">
        <v>1670</v>
      </c>
      <c r="F425" s="5">
        <v>24</v>
      </c>
      <c r="G425" s="5">
        <v>77</v>
      </c>
      <c r="H425" s="5">
        <v>32</v>
      </c>
      <c r="I425" s="10">
        <v>15.5</v>
      </c>
      <c r="J425" s="11">
        <f t="shared" si="33"/>
        <v>372</v>
      </c>
      <c r="K425" s="12" t="str">
        <f t="shared" si="30"/>
        <v>Low Stock_Reorder Needed</v>
      </c>
      <c r="L425" s="12">
        <f t="shared" si="31"/>
        <v>496</v>
      </c>
      <c r="M425" s="6">
        <v>45369</v>
      </c>
      <c r="N425" s="6">
        <v>45453</v>
      </c>
      <c r="O425" s="6">
        <v>45355</v>
      </c>
      <c r="P425" s="7" t="s">
        <v>1671</v>
      </c>
      <c r="Q425" s="5">
        <v>80</v>
      </c>
      <c r="R425" s="10">
        <f t="shared" si="32"/>
        <v>1240</v>
      </c>
      <c r="S425" s="5">
        <v>42</v>
      </c>
      <c r="T425" s="5" t="s">
        <v>27</v>
      </c>
      <c r="U425" s="11">
        <f t="shared" si="34"/>
        <v>868</v>
      </c>
    </row>
    <row r="426" spans="1:21" ht="16" x14ac:dyDescent="0.4">
      <c r="A426" s="2" t="s">
        <v>1672</v>
      </c>
      <c r="B426" s="3" t="s">
        <v>197</v>
      </c>
      <c r="C426" s="28" t="s">
        <v>133</v>
      </c>
      <c r="D426" s="2" t="s">
        <v>1673</v>
      </c>
      <c r="E426" s="4" t="s">
        <v>1674</v>
      </c>
      <c r="F426" s="5">
        <v>75</v>
      </c>
      <c r="G426" s="5">
        <v>80</v>
      </c>
      <c r="H426" s="5">
        <v>87</v>
      </c>
      <c r="I426" s="10">
        <v>9</v>
      </c>
      <c r="J426" s="11">
        <f t="shared" si="33"/>
        <v>675</v>
      </c>
      <c r="K426" s="12" t="str">
        <f t="shared" si="30"/>
        <v>Low Stock_Reorder Needed</v>
      </c>
      <c r="L426" s="12">
        <f t="shared" si="31"/>
        <v>783</v>
      </c>
      <c r="M426" s="6">
        <v>45479</v>
      </c>
      <c r="N426" s="6">
        <v>45568</v>
      </c>
      <c r="O426" s="6">
        <v>45528</v>
      </c>
      <c r="P426" s="7" t="s">
        <v>1675</v>
      </c>
      <c r="Q426" s="5">
        <v>49</v>
      </c>
      <c r="R426" s="10">
        <f t="shared" si="32"/>
        <v>441</v>
      </c>
      <c r="S426" s="5">
        <v>40</v>
      </c>
      <c r="T426" s="5" t="s">
        <v>39</v>
      </c>
      <c r="U426" s="11">
        <f t="shared" si="34"/>
        <v>-234</v>
      </c>
    </row>
    <row r="427" spans="1:21" ht="16" x14ac:dyDescent="0.4">
      <c r="A427" s="2" t="s">
        <v>1676</v>
      </c>
      <c r="B427" s="3" t="s">
        <v>235</v>
      </c>
      <c r="C427" s="28" t="s">
        <v>30</v>
      </c>
      <c r="D427" s="2" t="s">
        <v>1677</v>
      </c>
      <c r="E427" s="4" t="s">
        <v>106</v>
      </c>
      <c r="F427" s="5">
        <v>11</v>
      </c>
      <c r="G427" s="5">
        <v>72</v>
      </c>
      <c r="H427" s="5">
        <v>5</v>
      </c>
      <c r="I427" s="10">
        <v>15</v>
      </c>
      <c r="J427" s="11">
        <f t="shared" si="33"/>
        <v>165</v>
      </c>
      <c r="K427" s="12" t="str">
        <f t="shared" si="30"/>
        <v>Low Stock_Reorder Needed</v>
      </c>
      <c r="L427" s="12">
        <f t="shared" si="31"/>
        <v>75</v>
      </c>
      <c r="M427" s="6">
        <v>45481</v>
      </c>
      <c r="N427" s="6">
        <v>45576</v>
      </c>
      <c r="O427" s="6">
        <v>45699</v>
      </c>
      <c r="P427" s="7" t="s">
        <v>1678</v>
      </c>
      <c r="Q427" s="5">
        <v>89</v>
      </c>
      <c r="R427" s="10">
        <f t="shared" si="32"/>
        <v>1335</v>
      </c>
      <c r="S427" s="5">
        <v>4</v>
      </c>
      <c r="T427" s="5" t="s">
        <v>45</v>
      </c>
      <c r="U427" s="11">
        <f t="shared" si="34"/>
        <v>1170</v>
      </c>
    </row>
    <row r="428" spans="1:21" ht="16" x14ac:dyDescent="0.4">
      <c r="A428" s="2" t="s">
        <v>1679</v>
      </c>
      <c r="B428" s="3" t="s">
        <v>801</v>
      </c>
      <c r="C428" s="28" t="s">
        <v>133</v>
      </c>
      <c r="D428" s="2" t="s">
        <v>1680</v>
      </c>
      <c r="E428" s="4" t="s">
        <v>1440</v>
      </c>
      <c r="F428" s="5">
        <v>60</v>
      </c>
      <c r="G428" s="5">
        <v>64</v>
      </c>
      <c r="H428" s="5">
        <v>36</v>
      </c>
      <c r="I428" s="10">
        <v>10</v>
      </c>
      <c r="J428" s="11">
        <f t="shared" si="33"/>
        <v>600</v>
      </c>
      <c r="K428" s="12" t="str">
        <f t="shared" si="30"/>
        <v>Low Stock_Reorder Needed</v>
      </c>
      <c r="L428" s="12">
        <f t="shared" si="31"/>
        <v>360</v>
      </c>
      <c r="M428" s="6">
        <v>45537</v>
      </c>
      <c r="N428" s="6">
        <v>45347</v>
      </c>
      <c r="O428" s="6">
        <v>45703</v>
      </c>
      <c r="P428" s="7" t="s">
        <v>1681</v>
      </c>
      <c r="Q428" s="5">
        <v>34</v>
      </c>
      <c r="R428" s="10">
        <f t="shared" si="32"/>
        <v>340</v>
      </c>
      <c r="S428" s="5">
        <v>48</v>
      </c>
      <c r="T428" s="5" t="s">
        <v>27</v>
      </c>
      <c r="U428" s="11">
        <f t="shared" si="34"/>
        <v>-260</v>
      </c>
    </row>
    <row r="429" spans="1:21" ht="16" x14ac:dyDescent="0.4">
      <c r="A429" s="2" t="s">
        <v>1682</v>
      </c>
      <c r="B429" s="3" t="s">
        <v>230</v>
      </c>
      <c r="C429" s="28" t="s">
        <v>48</v>
      </c>
      <c r="D429" s="2" t="s">
        <v>1683</v>
      </c>
      <c r="E429" s="4" t="s">
        <v>1203</v>
      </c>
      <c r="F429" s="5">
        <v>91</v>
      </c>
      <c r="G429" s="5">
        <v>6</v>
      </c>
      <c r="H429" s="5">
        <v>37</v>
      </c>
      <c r="I429" s="10">
        <v>2.4</v>
      </c>
      <c r="J429" s="11">
        <f t="shared" si="33"/>
        <v>218.4</v>
      </c>
      <c r="K429" s="12" t="str">
        <f t="shared" si="30"/>
        <v>Stock_Sufficient</v>
      </c>
      <c r="L429" s="12">
        <f t="shared" si="31"/>
        <v>88.8</v>
      </c>
      <c r="M429" s="6">
        <v>45413</v>
      </c>
      <c r="N429" s="6">
        <v>45511</v>
      </c>
      <c r="O429" s="6">
        <v>45510</v>
      </c>
      <c r="P429" s="7" t="s">
        <v>1684</v>
      </c>
      <c r="Q429" s="5">
        <v>38</v>
      </c>
      <c r="R429" s="10">
        <f t="shared" si="32"/>
        <v>91.2</v>
      </c>
      <c r="S429" s="5">
        <v>70</v>
      </c>
      <c r="T429" s="5" t="s">
        <v>39</v>
      </c>
      <c r="U429" s="11">
        <f t="shared" si="34"/>
        <v>-127.2</v>
      </c>
    </row>
    <row r="430" spans="1:21" ht="16" x14ac:dyDescent="0.4">
      <c r="A430" s="2" t="s">
        <v>1685</v>
      </c>
      <c r="B430" s="3" t="s">
        <v>64</v>
      </c>
      <c r="C430" s="28" t="s">
        <v>65</v>
      </c>
      <c r="D430" s="2" t="s">
        <v>1686</v>
      </c>
      <c r="E430" s="4" t="s">
        <v>1687</v>
      </c>
      <c r="F430" s="5">
        <v>43</v>
      </c>
      <c r="G430" s="5">
        <v>78</v>
      </c>
      <c r="H430" s="5">
        <v>85</v>
      </c>
      <c r="I430" s="10">
        <v>2.5</v>
      </c>
      <c r="J430" s="11">
        <f t="shared" si="33"/>
        <v>107.5</v>
      </c>
      <c r="K430" s="12" t="str">
        <f t="shared" si="30"/>
        <v>Low Stock_Reorder Needed</v>
      </c>
      <c r="L430" s="12">
        <f t="shared" si="31"/>
        <v>212.5</v>
      </c>
      <c r="M430" s="6">
        <v>45360</v>
      </c>
      <c r="N430" s="6">
        <v>45534</v>
      </c>
      <c r="O430" s="6">
        <v>45465</v>
      </c>
      <c r="P430" s="7" t="s">
        <v>1688</v>
      </c>
      <c r="Q430" s="5">
        <v>48</v>
      </c>
      <c r="R430" s="10">
        <f t="shared" si="32"/>
        <v>120</v>
      </c>
      <c r="S430" s="5">
        <v>98</v>
      </c>
      <c r="T430" s="5" t="s">
        <v>39</v>
      </c>
      <c r="U430" s="11">
        <f t="shared" si="34"/>
        <v>12.5</v>
      </c>
    </row>
    <row r="431" spans="1:21" ht="16" x14ac:dyDescent="0.4">
      <c r="A431" s="2" t="s">
        <v>1689</v>
      </c>
      <c r="B431" s="3" t="s">
        <v>109</v>
      </c>
      <c r="C431" s="28" t="s">
        <v>23</v>
      </c>
      <c r="D431" s="2" t="s">
        <v>1690</v>
      </c>
      <c r="E431" s="4" t="s">
        <v>722</v>
      </c>
      <c r="F431" s="5">
        <v>25</v>
      </c>
      <c r="G431" s="5">
        <v>60</v>
      </c>
      <c r="H431" s="5">
        <v>36</v>
      </c>
      <c r="I431" s="10">
        <v>1.5</v>
      </c>
      <c r="J431" s="11">
        <f t="shared" si="33"/>
        <v>37.5</v>
      </c>
      <c r="K431" s="12" t="str">
        <f t="shared" si="30"/>
        <v>Low Stock_Reorder Needed</v>
      </c>
      <c r="L431" s="12">
        <f t="shared" si="31"/>
        <v>54</v>
      </c>
      <c r="M431" s="6">
        <v>45704</v>
      </c>
      <c r="N431" s="6">
        <v>45530</v>
      </c>
      <c r="O431" s="6">
        <v>45595</v>
      </c>
      <c r="P431" s="7" t="s">
        <v>1691</v>
      </c>
      <c r="Q431" s="5">
        <v>31</v>
      </c>
      <c r="R431" s="10">
        <f t="shared" si="32"/>
        <v>46.5</v>
      </c>
      <c r="S431" s="5">
        <v>41</v>
      </c>
      <c r="T431" s="5" t="s">
        <v>39</v>
      </c>
      <c r="U431" s="11">
        <f t="shared" si="34"/>
        <v>9</v>
      </c>
    </row>
    <row r="432" spans="1:21" ht="16" x14ac:dyDescent="0.4">
      <c r="A432" s="2" t="s">
        <v>1692</v>
      </c>
      <c r="B432" s="3" t="s">
        <v>148</v>
      </c>
      <c r="C432" s="28" t="s">
        <v>65</v>
      </c>
      <c r="D432" s="2" t="s">
        <v>1693</v>
      </c>
      <c r="E432" s="4" t="s">
        <v>1316</v>
      </c>
      <c r="F432" s="5">
        <v>96</v>
      </c>
      <c r="G432" s="5">
        <v>9</v>
      </c>
      <c r="H432" s="5">
        <v>57</v>
      </c>
      <c r="I432" s="10">
        <v>11.8</v>
      </c>
      <c r="J432" s="11">
        <f t="shared" si="33"/>
        <v>1132.8000000000002</v>
      </c>
      <c r="K432" s="12" t="str">
        <f t="shared" si="30"/>
        <v>Stock_Sufficient</v>
      </c>
      <c r="L432" s="12">
        <f t="shared" si="31"/>
        <v>672.6</v>
      </c>
      <c r="M432" s="6">
        <v>45683</v>
      </c>
      <c r="N432" s="6">
        <v>45459</v>
      </c>
      <c r="O432" s="6">
        <v>45510</v>
      </c>
      <c r="P432" s="7" t="s">
        <v>1694</v>
      </c>
      <c r="Q432" s="5">
        <v>78</v>
      </c>
      <c r="R432" s="10">
        <f t="shared" si="32"/>
        <v>920.40000000000009</v>
      </c>
      <c r="S432" s="5">
        <v>67</v>
      </c>
      <c r="T432" s="5" t="s">
        <v>45</v>
      </c>
      <c r="U432" s="11">
        <f t="shared" si="34"/>
        <v>-212.40000000000009</v>
      </c>
    </row>
    <row r="433" spans="1:21" ht="16" x14ac:dyDescent="0.4">
      <c r="A433" s="2" t="s">
        <v>1695</v>
      </c>
      <c r="B433" s="3" t="s">
        <v>1043</v>
      </c>
      <c r="C433" s="28" t="s">
        <v>133</v>
      </c>
      <c r="D433" s="2" t="s">
        <v>1696</v>
      </c>
      <c r="E433" s="4" t="s">
        <v>1697</v>
      </c>
      <c r="F433" s="5">
        <v>30</v>
      </c>
      <c r="G433" s="5">
        <v>29</v>
      </c>
      <c r="H433" s="5">
        <v>70</v>
      </c>
      <c r="I433" s="10">
        <v>7.5</v>
      </c>
      <c r="J433" s="11">
        <f t="shared" si="33"/>
        <v>225</v>
      </c>
      <c r="K433" s="12" t="str">
        <f t="shared" si="30"/>
        <v>Stock_Sufficient</v>
      </c>
      <c r="L433" s="12">
        <f t="shared" si="31"/>
        <v>525</v>
      </c>
      <c r="M433" s="6">
        <v>45465</v>
      </c>
      <c r="N433" s="6">
        <v>45578</v>
      </c>
      <c r="O433" s="6">
        <v>45555</v>
      </c>
      <c r="P433" s="7" t="s">
        <v>1698</v>
      </c>
      <c r="Q433" s="5">
        <v>80</v>
      </c>
      <c r="R433" s="10">
        <f t="shared" si="32"/>
        <v>600</v>
      </c>
      <c r="S433" s="5">
        <v>43</v>
      </c>
      <c r="T433" s="5" t="s">
        <v>39</v>
      </c>
      <c r="U433" s="11">
        <f t="shared" si="34"/>
        <v>375</v>
      </c>
    </row>
    <row r="434" spans="1:21" ht="16" x14ac:dyDescent="0.4">
      <c r="A434" s="2" t="s">
        <v>1699</v>
      </c>
      <c r="B434" s="3" t="s">
        <v>386</v>
      </c>
      <c r="C434" s="28" t="s">
        <v>23</v>
      </c>
      <c r="D434" s="2" t="s">
        <v>1700</v>
      </c>
      <c r="E434" s="4" t="s">
        <v>1701</v>
      </c>
      <c r="F434" s="5">
        <v>56</v>
      </c>
      <c r="G434" s="5">
        <v>4</v>
      </c>
      <c r="H434" s="5">
        <v>74</v>
      </c>
      <c r="I434" s="10">
        <v>4.5</v>
      </c>
      <c r="J434" s="11">
        <f t="shared" si="33"/>
        <v>252</v>
      </c>
      <c r="K434" s="12" t="str">
        <f t="shared" si="30"/>
        <v>Stock_Sufficient</v>
      </c>
      <c r="L434" s="12">
        <f t="shared" si="31"/>
        <v>333</v>
      </c>
      <c r="M434" s="6">
        <v>45366</v>
      </c>
      <c r="N434" s="6">
        <v>45477</v>
      </c>
      <c r="O434" s="6">
        <v>45557</v>
      </c>
      <c r="P434" s="7" t="s">
        <v>1702</v>
      </c>
      <c r="Q434" s="5">
        <v>61</v>
      </c>
      <c r="R434" s="10">
        <f t="shared" si="32"/>
        <v>274.5</v>
      </c>
      <c r="S434" s="5">
        <v>73</v>
      </c>
      <c r="T434" s="5" t="s">
        <v>45</v>
      </c>
      <c r="U434" s="11">
        <f t="shared" si="34"/>
        <v>22.5</v>
      </c>
    </row>
    <row r="435" spans="1:21" ht="16" x14ac:dyDescent="0.4">
      <c r="A435" s="2" t="s">
        <v>1703</v>
      </c>
      <c r="B435" s="3" t="s">
        <v>1552</v>
      </c>
      <c r="C435" s="28" t="s">
        <v>90</v>
      </c>
      <c r="D435" s="2" t="s">
        <v>1704</v>
      </c>
      <c r="E435" s="4" t="s">
        <v>557</v>
      </c>
      <c r="F435" s="5">
        <v>91</v>
      </c>
      <c r="G435" s="5">
        <v>71</v>
      </c>
      <c r="H435" s="5">
        <v>17</v>
      </c>
      <c r="I435" s="10">
        <v>3.5</v>
      </c>
      <c r="J435" s="11">
        <f t="shared" si="33"/>
        <v>318.5</v>
      </c>
      <c r="K435" s="12" t="str">
        <f t="shared" si="30"/>
        <v>Stock_Sufficient</v>
      </c>
      <c r="L435" s="12">
        <f t="shared" si="31"/>
        <v>59.5</v>
      </c>
      <c r="M435" s="6">
        <v>45667</v>
      </c>
      <c r="N435" s="6">
        <v>45505</v>
      </c>
      <c r="O435" s="6">
        <v>45446</v>
      </c>
      <c r="P435" s="7" t="s">
        <v>1705</v>
      </c>
      <c r="Q435" s="5">
        <v>74</v>
      </c>
      <c r="R435" s="10">
        <f t="shared" si="32"/>
        <v>259</v>
      </c>
      <c r="S435" s="5">
        <v>57</v>
      </c>
      <c r="T435" s="5" t="s">
        <v>45</v>
      </c>
      <c r="U435" s="11">
        <f t="shared" si="34"/>
        <v>-59.5</v>
      </c>
    </row>
    <row r="436" spans="1:21" ht="16" x14ac:dyDescent="0.4">
      <c r="A436" s="2" t="s">
        <v>1706</v>
      </c>
      <c r="B436" s="3" t="s">
        <v>84</v>
      </c>
      <c r="C436" s="28" t="s">
        <v>23</v>
      </c>
      <c r="D436" s="2" t="s">
        <v>1707</v>
      </c>
      <c r="E436" s="4" t="s">
        <v>894</v>
      </c>
      <c r="F436" s="5">
        <v>27</v>
      </c>
      <c r="G436" s="5">
        <v>64</v>
      </c>
      <c r="H436" s="5">
        <v>78</v>
      </c>
      <c r="I436" s="10">
        <v>2</v>
      </c>
      <c r="J436" s="11">
        <f t="shared" si="33"/>
        <v>54</v>
      </c>
      <c r="K436" s="12" t="str">
        <f t="shared" si="30"/>
        <v>Low Stock_Reorder Needed</v>
      </c>
      <c r="L436" s="12">
        <f t="shared" si="31"/>
        <v>156</v>
      </c>
      <c r="M436" s="6">
        <v>45521</v>
      </c>
      <c r="N436" s="6">
        <v>45416</v>
      </c>
      <c r="O436" s="6">
        <v>45435</v>
      </c>
      <c r="P436" s="7" t="s">
        <v>1708</v>
      </c>
      <c r="Q436" s="5">
        <v>57</v>
      </c>
      <c r="R436" s="10">
        <f t="shared" si="32"/>
        <v>114</v>
      </c>
      <c r="S436" s="5">
        <v>4</v>
      </c>
      <c r="T436" s="5" t="s">
        <v>45</v>
      </c>
      <c r="U436" s="11">
        <f t="shared" si="34"/>
        <v>60</v>
      </c>
    </row>
    <row r="437" spans="1:21" ht="16" x14ac:dyDescent="0.4">
      <c r="A437" s="2" t="s">
        <v>1709</v>
      </c>
      <c r="B437" s="3" t="s">
        <v>630</v>
      </c>
      <c r="C437" s="28" t="s">
        <v>65</v>
      </c>
      <c r="D437" s="2" t="s">
        <v>1710</v>
      </c>
      <c r="E437" s="4" t="s">
        <v>482</v>
      </c>
      <c r="F437" s="5">
        <v>28</v>
      </c>
      <c r="G437" s="5">
        <v>90</v>
      </c>
      <c r="H437" s="5">
        <v>70</v>
      </c>
      <c r="I437" s="10">
        <v>2.4500000000000002</v>
      </c>
      <c r="J437" s="11">
        <f t="shared" si="33"/>
        <v>68.600000000000009</v>
      </c>
      <c r="K437" s="12" t="str">
        <f t="shared" si="30"/>
        <v>Low Stock_Reorder Needed</v>
      </c>
      <c r="L437" s="12">
        <f t="shared" si="31"/>
        <v>171.5</v>
      </c>
      <c r="M437" s="6">
        <v>45601</v>
      </c>
      <c r="N437" s="6">
        <v>45702</v>
      </c>
      <c r="O437" s="6">
        <v>45685</v>
      </c>
      <c r="P437" s="7" t="s">
        <v>1711</v>
      </c>
      <c r="Q437" s="5">
        <v>76</v>
      </c>
      <c r="R437" s="10">
        <f t="shared" si="32"/>
        <v>186.20000000000002</v>
      </c>
      <c r="S437" s="5">
        <v>78</v>
      </c>
      <c r="T437" s="5" t="s">
        <v>45</v>
      </c>
      <c r="U437" s="11">
        <f t="shared" si="34"/>
        <v>117.60000000000001</v>
      </c>
    </row>
    <row r="438" spans="1:21" ht="16" x14ac:dyDescent="0.4">
      <c r="A438" s="2" t="s">
        <v>1712</v>
      </c>
      <c r="B438" s="3" t="s">
        <v>646</v>
      </c>
      <c r="C438" s="28" t="s">
        <v>65</v>
      </c>
      <c r="D438" s="2" t="s">
        <v>1713</v>
      </c>
      <c r="E438" s="4" t="s">
        <v>145</v>
      </c>
      <c r="F438" s="5">
        <v>92</v>
      </c>
      <c r="G438" s="5">
        <v>67</v>
      </c>
      <c r="H438" s="5">
        <v>51</v>
      </c>
      <c r="I438" s="10">
        <v>4</v>
      </c>
      <c r="J438" s="11">
        <f t="shared" si="33"/>
        <v>368</v>
      </c>
      <c r="K438" s="12" t="str">
        <f t="shared" si="30"/>
        <v>Stock_Sufficient</v>
      </c>
      <c r="L438" s="12">
        <f t="shared" si="31"/>
        <v>204</v>
      </c>
      <c r="M438" s="6">
        <v>45387</v>
      </c>
      <c r="N438" s="6">
        <v>45635</v>
      </c>
      <c r="O438" s="6">
        <v>45431</v>
      </c>
      <c r="P438" s="7" t="s">
        <v>1714</v>
      </c>
      <c r="Q438" s="5">
        <v>23</v>
      </c>
      <c r="R438" s="10">
        <f t="shared" si="32"/>
        <v>92</v>
      </c>
      <c r="S438" s="5">
        <v>78</v>
      </c>
      <c r="T438" s="5" t="s">
        <v>27</v>
      </c>
      <c r="U438" s="11">
        <f t="shared" si="34"/>
        <v>-276</v>
      </c>
    </row>
    <row r="439" spans="1:21" ht="16" x14ac:dyDescent="0.4">
      <c r="A439" s="2" t="s">
        <v>1715</v>
      </c>
      <c r="B439" s="3" t="s">
        <v>625</v>
      </c>
      <c r="C439" s="28" t="s">
        <v>133</v>
      </c>
      <c r="D439" s="2" t="s">
        <v>1716</v>
      </c>
      <c r="E439" s="4" t="s">
        <v>996</v>
      </c>
      <c r="F439" s="5">
        <v>37</v>
      </c>
      <c r="G439" s="5">
        <v>33</v>
      </c>
      <c r="H439" s="5">
        <v>80</v>
      </c>
      <c r="I439" s="10">
        <v>18</v>
      </c>
      <c r="J439" s="11">
        <f t="shared" si="33"/>
        <v>666</v>
      </c>
      <c r="K439" s="12" t="str">
        <f t="shared" si="30"/>
        <v>Stock_Sufficient</v>
      </c>
      <c r="L439" s="12">
        <f t="shared" si="31"/>
        <v>1440</v>
      </c>
      <c r="M439" s="6">
        <v>45647</v>
      </c>
      <c r="N439" s="6">
        <v>45422</v>
      </c>
      <c r="O439" s="6">
        <v>45416</v>
      </c>
      <c r="P439" s="7" t="s">
        <v>1717</v>
      </c>
      <c r="Q439" s="5">
        <v>27</v>
      </c>
      <c r="R439" s="10">
        <f t="shared" si="32"/>
        <v>486</v>
      </c>
      <c r="S439" s="5">
        <v>73</v>
      </c>
      <c r="T439" s="5" t="s">
        <v>39</v>
      </c>
      <c r="U439" s="11">
        <f t="shared" si="34"/>
        <v>-180</v>
      </c>
    </row>
    <row r="440" spans="1:21" ht="16" x14ac:dyDescent="0.4">
      <c r="A440" s="2" t="s">
        <v>1718</v>
      </c>
      <c r="B440" s="3" t="s">
        <v>688</v>
      </c>
      <c r="C440" s="28" t="s">
        <v>23</v>
      </c>
      <c r="D440" s="2" t="s">
        <v>1719</v>
      </c>
      <c r="E440" s="4" t="s">
        <v>1720</v>
      </c>
      <c r="F440" s="5">
        <v>28</v>
      </c>
      <c r="G440" s="5">
        <v>24</v>
      </c>
      <c r="H440" s="5">
        <v>97</v>
      </c>
      <c r="I440" s="10">
        <v>2.5</v>
      </c>
      <c r="J440" s="11">
        <f t="shared" si="33"/>
        <v>70</v>
      </c>
      <c r="K440" s="12" t="str">
        <f t="shared" si="30"/>
        <v>Stock_Sufficient</v>
      </c>
      <c r="L440" s="12">
        <f t="shared" si="31"/>
        <v>242.5</v>
      </c>
      <c r="M440" s="6">
        <v>45557</v>
      </c>
      <c r="N440" s="6">
        <v>45424</v>
      </c>
      <c r="O440" s="6">
        <v>45482</v>
      </c>
      <c r="P440" s="7" t="s">
        <v>1721</v>
      </c>
      <c r="Q440" s="5">
        <v>82</v>
      </c>
      <c r="R440" s="10">
        <f t="shared" si="32"/>
        <v>205</v>
      </c>
      <c r="S440" s="5">
        <v>5</v>
      </c>
      <c r="T440" s="5" t="s">
        <v>27</v>
      </c>
      <c r="U440" s="11">
        <f t="shared" si="34"/>
        <v>135</v>
      </c>
    </row>
    <row r="441" spans="1:21" ht="16" x14ac:dyDescent="0.4">
      <c r="A441" s="2" t="s">
        <v>1722</v>
      </c>
      <c r="B441" s="3" t="s">
        <v>509</v>
      </c>
      <c r="C441" s="28" t="s">
        <v>133</v>
      </c>
      <c r="D441" s="2" t="s">
        <v>1723</v>
      </c>
      <c r="E441" s="4" t="s">
        <v>37</v>
      </c>
      <c r="F441" s="5">
        <v>30</v>
      </c>
      <c r="G441" s="5">
        <v>42</v>
      </c>
      <c r="H441" s="5">
        <v>8</v>
      </c>
      <c r="I441" s="10">
        <v>7</v>
      </c>
      <c r="J441" s="11">
        <f t="shared" si="33"/>
        <v>210</v>
      </c>
      <c r="K441" s="12" t="str">
        <f t="shared" si="30"/>
        <v>Low Stock_Reorder Needed</v>
      </c>
      <c r="L441" s="12">
        <f t="shared" si="31"/>
        <v>56</v>
      </c>
      <c r="M441" s="6">
        <v>45414</v>
      </c>
      <c r="N441" s="6">
        <v>45663</v>
      </c>
      <c r="O441" s="6">
        <v>45484</v>
      </c>
      <c r="P441" s="7" t="s">
        <v>1724</v>
      </c>
      <c r="Q441" s="5">
        <v>48</v>
      </c>
      <c r="R441" s="10">
        <f t="shared" si="32"/>
        <v>336</v>
      </c>
      <c r="S441" s="5">
        <v>23</v>
      </c>
      <c r="T441" s="5" t="s">
        <v>45</v>
      </c>
      <c r="U441" s="11">
        <f t="shared" si="34"/>
        <v>126</v>
      </c>
    </row>
    <row r="442" spans="1:21" ht="16" x14ac:dyDescent="0.4">
      <c r="A442" s="2" t="s">
        <v>1725</v>
      </c>
      <c r="B442" s="3" t="s">
        <v>29</v>
      </c>
      <c r="C442" s="28" t="s">
        <v>30</v>
      </c>
      <c r="D442" s="2" t="s">
        <v>1726</v>
      </c>
      <c r="E442" s="4" t="s">
        <v>849</v>
      </c>
      <c r="F442" s="5">
        <v>98</v>
      </c>
      <c r="G442" s="5">
        <v>83</v>
      </c>
      <c r="H442" s="5">
        <v>5</v>
      </c>
      <c r="I442" s="10">
        <v>20</v>
      </c>
      <c r="J442" s="11">
        <f t="shared" si="33"/>
        <v>1960</v>
      </c>
      <c r="K442" s="12" t="str">
        <f t="shared" si="30"/>
        <v>Stock_Sufficient</v>
      </c>
      <c r="L442" s="12">
        <f t="shared" si="31"/>
        <v>100</v>
      </c>
      <c r="M442" s="6">
        <v>45479</v>
      </c>
      <c r="N442" s="6">
        <v>45688</v>
      </c>
      <c r="O442" s="6">
        <v>45652</v>
      </c>
      <c r="P442" s="7" t="s">
        <v>1727</v>
      </c>
      <c r="Q442" s="5">
        <v>39</v>
      </c>
      <c r="R442" s="10">
        <f t="shared" si="32"/>
        <v>780</v>
      </c>
      <c r="S442" s="5">
        <v>79</v>
      </c>
      <c r="T442" s="5" t="s">
        <v>45</v>
      </c>
      <c r="U442" s="11">
        <f t="shared" si="34"/>
        <v>-1180</v>
      </c>
    </row>
    <row r="443" spans="1:21" ht="16" x14ac:dyDescent="0.4">
      <c r="A443" s="2" t="s">
        <v>1728</v>
      </c>
      <c r="B443" s="3" t="s">
        <v>230</v>
      </c>
      <c r="C443" s="28" t="s">
        <v>48</v>
      </c>
      <c r="D443" s="2" t="s">
        <v>1729</v>
      </c>
      <c r="E443" s="4" t="s">
        <v>478</v>
      </c>
      <c r="F443" s="5">
        <v>65</v>
      </c>
      <c r="G443" s="5">
        <v>88</v>
      </c>
      <c r="H443" s="5">
        <v>20</v>
      </c>
      <c r="I443" s="10">
        <v>2.5</v>
      </c>
      <c r="J443" s="11">
        <f t="shared" si="33"/>
        <v>162.5</v>
      </c>
      <c r="K443" s="12" t="str">
        <f t="shared" si="30"/>
        <v>Low Stock_Reorder Needed</v>
      </c>
      <c r="L443" s="12">
        <f t="shared" si="31"/>
        <v>50</v>
      </c>
      <c r="M443" s="6">
        <v>45685</v>
      </c>
      <c r="N443" s="6">
        <v>45616</v>
      </c>
      <c r="O443" s="6">
        <v>45502</v>
      </c>
      <c r="P443" s="7" t="s">
        <v>1730</v>
      </c>
      <c r="Q443" s="5">
        <v>89</v>
      </c>
      <c r="R443" s="10">
        <f t="shared" si="32"/>
        <v>222.5</v>
      </c>
      <c r="S443" s="5">
        <v>37</v>
      </c>
      <c r="T443" s="5" t="s">
        <v>39</v>
      </c>
      <c r="U443" s="11">
        <f t="shared" si="34"/>
        <v>60</v>
      </c>
    </row>
    <row r="444" spans="1:21" ht="16" x14ac:dyDescent="0.4">
      <c r="A444" s="2" t="s">
        <v>1731</v>
      </c>
      <c r="B444" s="3" t="s">
        <v>473</v>
      </c>
      <c r="C444" s="28" t="s">
        <v>23</v>
      </c>
      <c r="D444" s="2" t="s">
        <v>1732</v>
      </c>
      <c r="E444" s="4" t="s">
        <v>1109</v>
      </c>
      <c r="F444" s="5">
        <v>42</v>
      </c>
      <c r="G444" s="5">
        <v>3</v>
      </c>
      <c r="H444" s="5">
        <v>21</v>
      </c>
      <c r="I444" s="10">
        <v>2</v>
      </c>
      <c r="J444" s="11">
        <f t="shared" si="33"/>
        <v>84</v>
      </c>
      <c r="K444" s="12" t="str">
        <f t="shared" si="30"/>
        <v>Stock_Sufficient</v>
      </c>
      <c r="L444" s="12">
        <f t="shared" si="31"/>
        <v>42</v>
      </c>
      <c r="M444" s="6">
        <v>45554</v>
      </c>
      <c r="N444" s="6">
        <v>45684</v>
      </c>
      <c r="O444" s="6">
        <v>45560</v>
      </c>
      <c r="P444" s="7" t="s">
        <v>1733</v>
      </c>
      <c r="Q444" s="5">
        <v>35</v>
      </c>
      <c r="R444" s="10">
        <f t="shared" si="32"/>
        <v>70</v>
      </c>
      <c r="S444" s="5">
        <v>22</v>
      </c>
      <c r="T444" s="5" t="s">
        <v>45</v>
      </c>
      <c r="U444" s="11">
        <f t="shared" si="34"/>
        <v>-14</v>
      </c>
    </row>
    <row r="445" spans="1:21" ht="16" x14ac:dyDescent="0.4">
      <c r="A445" s="2" t="s">
        <v>1734</v>
      </c>
      <c r="B445" s="3" t="s">
        <v>230</v>
      </c>
      <c r="C445" s="28" t="s">
        <v>48</v>
      </c>
      <c r="D445" s="2" t="s">
        <v>1735</v>
      </c>
      <c r="E445" s="4" t="s">
        <v>1736</v>
      </c>
      <c r="F445" s="5">
        <v>63</v>
      </c>
      <c r="G445" s="5">
        <v>60</v>
      </c>
      <c r="H445" s="5">
        <v>54</v>
      </c>
      <c r="I445" s="10">
        <v>2.5</v>
      </c>
      <c r="J445" s="11">
        <f t="shared" si="33"/>
        <v>157.5</v>
      </c>
      <c r="K445" s="12" t="str">
        <f t="shared" si="30"/>
        <v>Stock_Sufficient</v>
      </c>
      <c r="L445" s="12">
        <f t="shared" si="31"/>
        <v>135</v>
      </c>
      <c r="M445" s="6">
        <v>45652</v>
      </c>
      <c r="N445" s="6">
        <v>45433</v>
      </c>
      <c r="O445" s="6">
        <v>45397</v>
      </c>
      <c r="P445" s="7" t="s">
        <v>1737</v>
      </c>
      <c r="Q445" s="5">
        <v>33</v>
      </c>
      <c r="R445" s="10">
        <f t="shared" si="32"/>
        <v>82.5</v>
      </c>
      <c r="S445" s="5">
        <v>31</v>
      </c>
      <c r="T445" s="5" t="s">
        <v>39</v>
      </c>
      <c r="U445" s="11">
        <f t="shared" si="34"/>
        <v>-75</v>
      </c>
    </row>
    <row r="446" spans="1:21" ht="16" x14ac:dyDescent="0.4">
      <c r="A446" s="2" t="s">
        <v>1738</v>
      </c>
      <c r="B446" s="3" t="s">
        <v>350</v>
      </c>
      <c r="C446" s="28" t="s">
        <v>48</v>
      </c>
      <c r="D446" s="2" t="s">
        <v>1739</v>
      </c>
      <c r="E446" s="4" t="s">
        <v>1312</v>
      </c>
      <c r="F446" s="5">
        <v>85</v>
      </c>
      <c r="G446" s="5">
        <v>54</v>
      </c>
      <c r="H446" s="5">
        <v>18</v>
      </c>
      <c r="I446" s="10">
        <v>4</v>
      </c>
      <c r="J446" s="11">
        <f t="shared" si="33"/>
        <v>340</v>
      </c>
      <c r="K446" s="12" t="str">
        <f t="shared" si="30"/>
        <v>Stock_Sufficient</v>
      </c>
      <c r="L446" s="12">
        <f t="shared" si="31"/>
        <v>72</v>
      </c>
      <c r="M446" s="6">
        <v>45501</v>
      </c>
      <c r="N446" s="6">
        <v>45588</v>
      </c>
      <c r="O446" s="6">
        <v>45486</v>
      </c>
      <c r="P446" s="7" t="s">
        <v>1740</v>
      </c>
      <c r="Q446" s="5">
        <v>85</v>
      </c>
      <c r="R446" s="10">
        <f t="shared" si="32"/>
        <v>340</v>
      </c>
      <c r="S446" s="5">
        <v>44</v>
      </c>
      <c r="T446" s="5" t="s">
        <v>27</v>
      </c>
      <c r="U446" s="11">
        <f t="shared" si="34"/>
        <v>0</v>
      </c>
    </row>
    <row r="447" spans="1:21" ht="16" x14ac:dyDescent="0.4">
      <c r="A447" s="2" t="s">
        <v>1741</v>
      </c>
      <c r="B447" s="3" t="s">
        <v>75</v>
      </c>
      <c r="C447" s="28" t="s">
        <v>65</v>
      </c>
      <c r="D447" s="2" t="s">
        <v>1742</v>
      </c>
      <c r="E447" s="4" t="s">
        <v>685</v>
      </c>
      <c r="F447" s="5">
        <v>44</v>
      </c>
      <c r="G447" s="5">
        <v>75</v>
      </c>
      <c r="H447" s="5">
        <v>72</v>
      </c>
      <c r="I447" s="10">
        <v>1</v>
      </c>
      <c r="J447" s="11">
        <f t="shared" si="33"/>
        <v>44</v>
      </c>
      <c r="K447" s="12" t="str">
        <f t="shared" si="30"/>
        <v>Low Stock_Reorder Needed</v>
      </c>
      <c r="L447" s="12">
        <f t="shared" si="31"/>
        <v>72</v>
      </c>
      <c r="M447" s="6">
        <v>45640</v>
      </c>
      <c r="N447" s="6">
        <v>45625</v>
      </c>
      <c r="O447" s="6">
        <v>45506</v>
      </c>
      <c r="P447" s="7" t="s">
        <v>1743</v>
      </c>
      <c r="Q447" s="5">
        <v>96</v>
      </c>
      <c r="R447" s="10">
        <f t="shared" si="32"/>
        <v>96</v>
      </c>
      <c r="S447" s="5">
        <v>38</v>
      </c>
      <c r="T447" s="5" t="s">
        <v>27</v>
      </c>
      <c r="U447" s="11">
        <f t="shared" si="34"/>
        <v>52</v>
      </c>
    </row>
    <row r="448" spans="1:21" ht="16" x14ac:dyDescent="0.4">
      <c r="A448" s="2" t="s">
        <v>1744</v>
      </c>
      <c r="B448" s="3" t="s">
        <v>47</v>
      </c>
      <c r="C448" s="28" t="s">
        <v>48</v>
      </c>
      <c r="D448" s="2" t="s">
        <v>1745</v>
      </c>
      <c r="E448" s="4" t="s">
        <v>150</v>
      </c>
      <c r="F448" s="5">
        <v>26</v>
      </c>
      <c r="G448" s="5">
        <v>69</v>
      </c>
      <c r="H448" s="5">
        <v>90</v>
      </c>
      <c r="I448" s="10">
        <v>4</v>
      </c>
      <c r="J448" s="11">
        <f t="shared" si="33"/>
        <v>104</v>
      </c>
      <c r="K448" s="12" t="str">
        <f t="shared" si="30"/>
        <v>Low Stock_Reorder Needed</v>
      </c>
      <c r="L448" s="12">
        <f t="shared" si="31"/>
        <v>360</v>
      </c>
      <c r="M448" s="6">
        <v>45638</v>
      </c>
      <c r="N448" s="6">
        <v>45451</v>
      </c>
      <c r="O448" s="6">
        <v>45492</v>
      </c>
      <c r="P448" s="7" t="s">
        <v>1746</v>
      </c>
      <c r="Q448" s="5">
        <v>47</v>
      </c>
      <c r="R448" s="10">
        <f t="shared" si="32"/>
        <v>188</v>
      </c>
      <c r="S448" s="5">
        <v>35</v>
      </c>
      <c r="T448" s="5" t="s">
        <v>45</v>
      </c>
      <c r="U448" s="11">
        <f t="shared" si="34"/>
        <v>84</v>
      </c>
    </row>
    <row r="449" spans="1:21" ht="16" x14ac:dyDescent="0.4">
      <c r="A449" s="2" t="s">
        <v>1747</v>
      </c>
      <c r="B449" s="3" t="s">
        <v>1265</v>
      </c>
      <c r="C449" s="28" t="s">
        <v>23</v>
      </c>
      <c r="D449" s="2" t="s">
        <v>1748</v>
      </c>
      <c r="E449" s="4" t="s">
        <v>731</v>
      </c>
      <c r="F449" s="5">
        <v>49</v>
      </c>
      <c r="G449" s="5">
        <v>59</v>
      </c>
      <c r="H449" s="5">
        <v>73</v>
      </c>
      <c r="I449" s="10">
        <v>5</v>
      </c>
      <c r="J449" s="11">
        <f t="shared" si="33"/>
        <v>245</v>
      </c>
      <c r="K449" s="12" t="str">
        <f t="shared" si="30"/>
        <v>Low Stock_Reorder Needed</v>
      </c>
      <c r="L449" s="12">
        <f t="shared" si="31"/>
        <v>365</v>
      </c>
      <c r="M449" s="6">
        <v>45400</v>
      </c>
      <c r="N449" s="6">
        <v>45388</v>
      </c>
      <c r="O449" s="6">
        <v>45438</v>
      </c>
      <c r="P449" s="7" t="s">
        <v>1749</v>
      </c>
      <c r="Q449" s="5">
        <v>93</v>
      </c>
      <c r="R449" s="10">
        <f t="shared" si="32"/>
        <v>465</v>
      </c>
      <c r="S449" s="5">
        <v>45</v>
      </c>
      <c r="T449" s="5" t="s">
        <v>27</v>
      </c>
      <c r="U449" s="11">
        <f t="shared" si="34"/>
        <v>220</v>
      </c>
    </row>
    <row r="450" spans="1:21" ht="16" x14ac:dyDescent="0.4">
      <c r="A450" s="2" t="s">
        <v>1750</v>
      </c>
      <c r="B450" s="3" t="s">
        <v>546</v>
      </c>
      <c r="C450" s="28" t="s">
        <v>48</v>
      </c>
      <c r="D450" s="2" t="s">
        <v>1751</v>
      </c>
      <c r="E450" s="4" t="s">
        <v>690</v>
      </c>
      <c r="F450" s="5">
        <v>59</v>
      </c>
      <c r="G450" s="5">
        <v>79</v>
      </c>
      <c r="H450" s="5">
        <v>87</v>
      </c>
      <c r="I450" s="10">
        <v>6</v>
      </c>
      <c r="J450" s="11">
        <f t="shared" si="33"/>
        <v>354</v>
      </c>
      <c r="K450" s="12" t="str">
        <f t="shared" ref="K450:K513" si="35">IF(F450&lt;=G450,"Low Stock_Reorder Needed","Stock_Sufficient")</f>
        <v>Low Stock_Reorder Needed</v>
      </c>
      <c r="L450" s="12">
        <f t="shared" ref="L450:L513" si="36">H450*I450</f>
        <v>522</v>
      </c>
      <c r="M450" s="6">
        <v>45538</v>
      </c>
      <c r="N450" s="6">
        <v>45568</v>
      </c>
      <c r="O450" s="6">
        <v>45504</v>
      </c>
      <c r="P450" s="7" t="s">
        <v>1752</v>
      </c>
      <c r="Q450" s="5">
        <v>47</v>
      </c>
      <c r="R450" s="10">
        <f t="shared" ref="R450:R513" si="37">Q450*I450</f>
        <v>282</v>
      </c>
      <c r="S450" s="5">
        <v>18</v>
      </c>
      <c r="T450" s="5" t="s">
        <v>45</v>
      </c>
      <c r="U450" s="11">
        <f t="shared" si="34"/>
        <v>-72</v>
      </c>
    </row>
    <row r="451" spans="1:21" ht="16" x14ac:dyDescent="0.4">
      <c r="A451" s="2" t="s">
        <v>1753</v>
      </c>
      <c r="B451" s="3" t="s">
        <v>153</v>
      </c>
      <c r="C451" s="28" t="s">
        <v>23</v>
      </c>
      <c r="D451" s="2" t="s">
        <v>1754</v>
      </c>
      <c r="E451" s="4" t="s">
        <v>1199</v>
      </c>
      <c r="F451" s="5">
        <v>19</v>
      </c>
      <c r="G451" s="5">
        <v>81</v>
      </c>
      <c r="H451" s="5">
        <v>33</v>
      </c>
      <c r="I451" s="10">
        <v>1.5</v>
      </c>
      <c r="J451" s="11">
        <f t="shared" ref="J451:J514" si="38">I451*F451</f>
        <v>28.5</v>
      </c>
      <c r="K451" s="12" t="str">
        <f t="shared" si="35"/>
        <v>Low Stock_Reorder Needed</v>
      </c>
      <c r="L451" s="12">
        <f t="shared" si="36"/>
        <v>49.5</v>
      </c>
      <c r="M451" s="6">
        <v>45472</v>
      </c>
      <c r="N451" s="6">
        <v>45710</v>
      </c>
      <c r="O451" s="6">
        <v>45650</v>
      </c>
      <c r="P451" s="7" t="s">
        <v>1755</v>
      </c>
      <c r="Q451" s="5">
        <v>39</v>
      </c>
      <c r="R451" s="10">
        <f t="shared" si="37"/>
        <v>58.5</v>
      </c>
      <c r="S451" s="5">
        <v>85</v>
      </c>
      <c r="T451" s="5" t="s">
        <v>39</v>
      </c>
      <c r="U451" s="11">
        <f t="shared" ref="U451:U514" si="39">R451-J451</f>
        <v>30</v>
      </c>
    </row>
    <row r="452" spans="1:21" ht="16" x14ac:dyDescent="0.4">
      <c r="A452" s="2" t="s">
        <v>1756</v>
      </c>
      <c r="B452" s="3" t="s">
        <v>355</v>
      </c>
      <c r="C452" s="28" t="s">
        <v>48</v>
      </c>
      <c r="D452" s="2" t="s">
        <v>1757</v>
      </c>
      <c r="E452" s="4" t="s">
        <v>246</v>
      </c>
      <c r="F452" s="5">
        <v>47</v>
      </c>
      <c r="G452" s="5">
        <v>41</v>
      </c>
      <c r="H452" s="5">
        <v>63</v>
      </c>
      <c r="I452" s="10">
        <v>3</v>
      </c>
      <c r="J452" s="11">
        <f t="shared" si="38"/>
        <v>141</v>
      </c>
      <c r="K452" s="12" t="str">
        <f t="shared" si="35"/>
        <v>Stock_Sufficient</v>
      </c>
      <c r="L452" s="12">
        <f t="shared" si="36"/>
        <v>189</v>
      </c>
      <c r="M452" s="6">
        <v>45397</v>
      </c>
      <c r="N452" s="6">
        <v>45444</v>
      </c>
      <c r="O452" s="6">
        <v>45666</v>
      </c>
      <c r="P452" s="7" t="s">
        <v>1758</v>
      </c>
      <c r="Q452" s="5">
        <v>39</v>
      </c>
      <c r="R452" s="10">
        <f t="shared" si="37"/>
        <v>117</v>
      </c>
      <c r="S452" s="5">
        <v>54</v>
      </c>
      <c r="T452" s="5" t="s">
        <v>45</v>
      </c>
      <c r="U452" s="11">
        <f t="shared" si="39"/>
        <v>-24</v>
      </c>
    </row>
    <row r="453" spans="1:21" ht="16" x14ac:dyDescent="0.4">
      <c r="A453" s="2" t="s">
        <v>1759</v>
      </c>
      <c r="B453" s="3" t="s">
        <v>1126</v>
      </c>
      <c r="C453" s="28" t="s">
        <v>48</v>
      </c>
      <c r="D453" s="2" t="s">
        <v>1760</v>
      </c>
      <c r="E453" s="4" t="s">
        <v>1477</v>
      </c>
      <c r="F453" s="5">
        <v>98</v>
      </c>
      <c r="G453" s="5">
        <v>62</v>
      </c>
      <c r="H453" s="5">
        <v>97</v>
      </c>
      <c r="I453" s="10">
        <v>5.5</v>
      </c>
      <c r="J453" s="11">
        <f t="shared" si="38"/>
        <v>539</v>
      </c>
      <c r="K453" s="12" t="str">
        <f t="shared" si="35"/>
        <v>Stock_Sufficient</v>
      </c>
      <c r="L453" s="12">
        <f t="shared" si="36"/>
        <v>533.5</v>
      </c>
      <c r="M453" s="6">
        <v>45381</v>
      </c>
      <c r="N453" s="6">
        <v>45529</v>
      </c>
      <c r="O453" s="6">
        <v>45697</v>
      </c>
      <c r="P453" s="7" t="s">
        <v>1761</v>
      </c>
      <c r="Q453" s="5">
        <v>59</v>
      </c>
      <c r="R453" s="10">
        <f t="shared" si="37"/>
        <v>324.5</v>
      </c>
      <c r="S453" s="5">
        <v>19</v>
      </c>
      <c r="T453" s="5" t="s">
        <v>45</v>
      </c>
      <c r="U453" s="11">
        <f t="shared" si="39"/>
        <v>-214.5</v>
      </c>
    </row>
    <row r="454" spans="1:21" ht="16" x14ac:dyDescent="0.4">
      <c r="A454" s="2" t="s">
        <v>1762</v>
      </c>
      <c r="B454" s="3" t="s">
        <v>781</v>
      </c>
      <c r="C454" s="28" t="s">
        <v>48</v>
      </c>
      <c r="D454" s="2" t="s">
        <v>1763</v>
      </c>
      <c r="E454" s="4" t="s">
        <v>1764</v>
      </c>
      <c r="F454" s="5">
        <v>51</v>
      </c>
      <c r="G454" s="5">
        <v>72</v>
      </c>
      <c r="H454" s="5">
        <v>85</v>
      </c>
      <c r="I454" s="10">
        <v>3</v>
      </c>
      <c r="J454" s="11">
        <f t="shared" si="38"/>
        <v>153</v>
      </c>
      <c r="K454" s="12" t="str">
        <f t="shared" si="35"/>
        <v>Low Stock_Reorder Needed</v>
      </c>
      <c r="L454" s="12">
        <f t="shared" si="36"/>
        <v>255</v>
      </c>
      <c r="M454" s="6">
        <v>45374</v>
      </c>
      <c r="N454" s="6">
        <v>45396</v>
      </c>
      <c r="O454" s="6">
        <v>45588</v>
      </c>
      <c r="P454" s="7" t="s">
        <v>1765</v>
      </c>
      <c r="Q454" s="5">
        <v>23</v>
      </c>
      <c r="R454" s="10">
        <f t="shared" si="37"/>
        <v>69</v>
      </c>
      <c r="S454" s="5">
        <v>17</v>
      </c>
      <c r="T454" s="5" t="s">
        <v>45</v>
      </c>
      <c r="U454" s="11">
        <f t="shared" si="39"/>
        <v>-84</v>
      </c>
    </row>
    <row r="455" spans="1:21" ht="16" x14ac:dyDescent="0.4">
      <c r="A455" s="2" t="s">
        <v>1766</v>
      </c>
      <c r="B455" s="3" t="s">
        <v>801</v>
      </c>
      <c r="C455" s="28" t="s">
        <v>133</v>
      </c>
      <c r="D455" s="2" t="s">
        <v>1767</v>
      </c>
      <c r="E455" s="4" t="s">
        <v>639</v>
      </c>
      <c r="F455" s="5">
        <v>100</v>
      </c>
      <c r="G455" s="5">
        <v>99</v>
      </c>
      <c r="H455" s="5">
        <v>8</v>
      </c>
      <c r="I455" s="10">
        <v>10</v>
      </c>
      <c r="J455" s="11">
        <f t="shared" si="38"/>
        <v>1000</v>
      </c>
      <c r="K455" s="12" t="str">
        <f t="shared" si="35"/>
        <v>Stock_Sufficient</v>
      </c>
      <c r="L455" s="12">
        <f t="shared" si="36"/>
        <v>80</v>
      </c>
      <c r="M455" s="6">
        <v>45707</v>
      </c>
      <c r="N455" s="6">
        <v>45591</v>
      </c>
      <c r="O455" s="6">
        <v>45633</v>
      </c>
      <c r="P455" s="7" t="s">
        <v>1768</v>
      </c>
      <c r="Q455" s="5">
        <v>54</v>
      </c>
      <c r="R455" s="10">
        <f t="shared" si="37"/>
        <v>540</v>
      </c>
      <c r="S455" s="5">
        <v>92</v>
      </c>
      <c r="T455" s="5" t="s">
        <v>27</v>
      </c>
      <c r="U455" s="11">
        <f t="shared" si="39"/>
        <v>-460</v>
      </c>
    </row>
    <row r="456" spans="1:21" ht="16" x14ac:dyDescent="0.4">
      <c r="A456" s="2" t="s">
        <v>1769</v>
      </c>
      <c r="B456" s="3" t="s">
        <v>1219</v>
      </c>
      <c r="C456" s="28" t="s">
        <v>65</v>
      </c>
      <c r="D456" s="2" t="s">
        <v>1770</v>
      </c>
      <c r="E456" s="4" t="s">
        <v>25</v>
      </c>
      <c r="F456" s="5">
        <v>55</v>
      </c>
      <c r="G456" s="5">
        <v>50</v>
      </c>
      <c r="H456" s="5">
        <v>56</v>
      </c>
      <c r="I456" s="10">
        <v>1.7</v>
      </c>
      <c r="J456" s="11">
        <f t="shared" si="38"/>
        <v>93.5</v>
      </c>
      <c r="K456" s="12" t="str">
        <f t="shared" si="35"/>
        <v>Stock_Sufficient</v>
      </c>
      <c r="L456" s="12">
        <f t="shared" si="36"/>
        <v>95.2</v>
      </c>
      <c r="M456" s="6">
        <v>45444</v>
      </c>
      <c r="N456" s="6">
        <v>45605</v>
      </c>
      <c r="O456" s="6">
        <v>45590</v>
      </c>
      <c r="P456" s="7" t="s">
        <v>1771</v>
      </c>
      <c r="Q456" s="5">
        <v>62</v>
      </c>
      <c r="R456" s="10">
        <f t="shared" si="37"/>
        <v>105.39999999999999</v>
      </c>
      <c r="S456" s="5">
        <v>26</v>
      </c>
      <c r="T456" s="5" t="s">
        <v>39</v>
      </c>
      <c r="U456" s="11">
        <f t="shared" si="39"/>
        <v>11.899999999999991</v>
      </c>
    </row>
    <row r="457" spans="1:21" ht="16" x14ac:dyDescent="0.4">
      <c r="A457" s="2" t="s">
        <v>1772</v>
      </c>
      <c r="B457" s="3" t="s">
        <v>497</v>
      </c>
      <c r="C457" s="28" t="s">
        <v>65</v>
      </c>
      <c r="D457" s="2" t="s">
        <v>1773</v>
      </c>
      <c r="E457" s="4" t="s">
        <v>1774</v>
      </c>
      <c r="F457" s="5">
        <v>14</v>
      </c>
      <c r="G457" s="5">
        <v>87</v>
      </c>
      <c r="H457" s="5">
        <v>8</v>
      </c>
      <c r="I457" s="10">
        <v>4</v>
      </c>
      <c r="J457" s="11">
        <f t="shared" si="38"/>
        <v>56</v>
      </c>
      <c r="K457" s="12" t="str">
        <f t="shared" si="35"/>
        <v>Low Stock_Reorder Needed</v>
      </c>
      <c r="L457" s="12">
        <f t="shared" si="36"/>
        <v>32</v>
      </c>
      <c r="M457" s="6">
        <v>45361</v>
      </c>
      <c r="N457" s="6">
        <v>45607</v>
      </c>
      <c r="O457" s="6">
        <v>45687</v>
      </c>
      <c r="P457" s="7" t="s">
        <v>1775</v>
      </c>
      <c r="Q457" s="5">
        <v>90</v>
      </c>
      <c r="R457" s="10">
        <f t="shared" si="37"/>
        <v>360</v>
      </c>
      <c r="S457" s="5">
        <v>14</v>
      </c>
      <c r="T457" s="5" t="s">
        <v>45</v>
      </c>
      <c r="U457" s="11">
        <f t="shared" si="39"/>
        <v>304</v>
      </c>
    </row>
    <row r="458" spans="1:21" ht="16" x14ac:dyDescent="0.4">
      <c r="A458" s="2" t="s">
        <v>1776</v>
      </c>
      <c r="B458" s="3" t="s">
        <v>158</v>
      </c>
      <c r="C458" s="28" t="s">
        <v>65</v>
      </c>
      <c r="D458" s="2" t="s">
        <v>1777</v>
      </c>
      <c r="E458" s="4" t="s">
        <v>296</v>
      </c>
      <c r="F458" s="5">
        <v>29</v>
      </c>
      <c r="G458" s="5">
        <v>33</v>
      </c>
      <c r="H458" s="5">
        <v>88</v>
      </c>
      <c r="I458" s="10">
        <v>0.8</v>
      </c>
      <c r="J458" s="11">
        <f t="shared" si="38"/>
        <v>23.200000000000003</v>
      </c>
      <c r="K458" s="12" t="str">
        <f t="shared" si="35"/>
        <v>Low Stock_Reorder Needed</v>
      </c>
      <c r="L458" s="12">
        <f t="shared" si="36"/>
        <v>70.400000000000006</v>
      </c>
      <c r="M458" s="6">
        <v>45492</v>
      </c>
      <c r="N458" s="6">
        <v>45527</v>
      </c>
      <c r="O458" s="6">
        <v>45427</v>
      </c>
      <c r="P458" s="7" t="s">
        <v>1778</v>
      </c>
      <c r="Q458" s="5">
        <v>50</v>
      </c>
      <c r="R458" s="10">
        <f t="shared" si="37"/>
        <v>40</v>
      </c>
      <c r="S458" s="5">
        <v>35</v>
      </c>
      <c r="T458" s="5" t="s">
        <v>27</v>
      </c>
      <c r="U458" s="11">
        <f t="shared" si="39"/>
        <v>16.799999999999997</v>
      </c>
    </row>
    <row r="459" spans="1:21" ht="16" x14ac:dyDescent="0.4">
      <c r="A459" s="2" t="s">
        <v>1779</v>
      </c>
      <c r="B459" s="3" t="s">
        <v>446</v>
      </c>
      <c r="C459" s="28" t="s">
        <v>90</v>
      </c>
      <c r="D459" s="2" t="s">
        <v>1780</v>
      </c>
      <c r="E459" s="4" t="s">
        <v>944</v>
      </c>
      <c r="F459" s="5">
        <v>100</v>
      </c>
      <c r="G459" s="5">
        <v>1</v>
      </c>
      <c r="H459" s="5">
        <v>26</v>
      </c>
      <c r="I459" s="10">
        <v>5</v>
      </c>
      <c r="J459" s="11">
        <f t="shared" si="38"/>
        <v>500</v>
      </c>
      <c r="K459" s="12" t="str">
        <f t="shared" si="35"/>
        <v>Stock_Sufficient</v>
      </c>
      <c r="L459" s="12">
        <f t="shared" si="36"/>
        <v>130</v>
      </c>
      <c r="M459" s="6">
        <v>45506</v>
      </c>
      <c r="N459" s="6">
        <v>45372</v>
      </c>
      <c r="O459" s="6">
        <v>45492</v>
      </c>
      <c r="P459" s="7" t="s">
        <v>1781</v>
      </c>
      <c r="Q459" s="5">
        <v>47</v>
      </c>
      <c r="R459" s="10">
        <f t="shared" si="37"/>
        <v>235</v>
      </c>
      <c r="S459" s="5">
        <v>79</v>
      </c>
      <c r="T459" s="5" t="s">
        <v>45</v>
      </c>
      <c r="U459" s="11">
        <f t="shared" si="39"/>
        <v>-265</v>
      </c>
    </row>
    <row r="460" spans="1:21" ht="16" x14ac:dyDescent="0.4">
      <c r="A460" s="2" t="s">
        <v>1782</v>
      </c>
      <c r="B460" s="3" t="s">
        <v>329</v>
      </c>
      <c r="C460" s="28" t="s">
        <v>65</v>
      </c>
      <c r="D460" s="2" t="s">
        <v>1783</v>
      </c>
      <c r="E460" s="4" t="s">
        <v>1045</v>
      </c>
      <c r="F460" s="5">
        <v>49</v>
      </c>
      <c r="G460" s="5">
        <v>28</v>
      </c>
      <c r="H460" s="5">
        <v>74</v>
      </c>
      <c r="I460" s="10">
        <v>6</v>
      </c>
      <c r="J460" s="11">
        <f t="shared" si="38"/>
        <v>294</v>
      </c>
      <c r="K460" s="12" t="str">
        <f t="shared" si="35"/>
        <v>Stock_Sufficient</v>
      </c>
      <c r="L460" s="12">
        <f t="shared" si="36"/>
        <v>444</v>
      </c>
      <c r="M460" s="6">
        <v>45666</v>
      </c>
      <c r="N460" s="6">
        <v>45671</v>
      </c>
      <c r="O460" s="6">
        <v>45407</v>
      </c>
      <c r="P460" s="7" t="s">
        <v>1784</v>
      </c>
      <c r="Q460" s="5">
        <v>70</v>
      </c>
      <c r="R460" s="10">
        <f t="shared" si="37"/>
        <v>420</v>
      </c>
      <c r="S460" s="5">
        <v>38</v>
      </c>
      <c r="T460" s="5" t="s">
        <v>27</v>
      </c>
      <c r="U460" s="11">
        <f t="shared" si="39"/>
        <v>126</v>
      </c>
    </row>
    <row r="461" spans="1:21" ht="16" x14ac:dyDescent="0.4">
      <c r="A461" s="2" t="s">
        <v>1785</v>
      </c>
      <c r="B461" s="3" t="s">
        <v>711</v>
      </c>
      <c r="C461" s="28" t="s">
        <v>59</v>
      </c>
      <c r="D461" s="2" t="s">
        <v>1786</v>
      </c>
      <c r="E461" s="4" t="s">
        <v>1243</v>
      </c>
      <c r="F461" s="5">
        <v>75</v>
      </c>
      <c r="G461" s="5">
        <v>61</v>
      </c>
      <c r="H461" s="5">
        <v>19</v>
      </c>
      <c r="I461" s="10">
        <v>2</v>
      </c>
      <c r="J461" s="11">
        <f t="shared" si="38"/>
        <v>150</v>
      </c>
      <c r="K461" s="12" t="str">
        <f t="shared" si="35"/>
        <v>Stock_Sufficient</v>
      </c>
      <c r="L461" s="12">
        <f t="shared" si="36"/>
        <v>38</v>
      </c>
      <c r="M461" s="6">
        <v>45711</v>
      </c>
      <c r="N461" s="6">
        <v>45686</v>
      </c>
      <c r="O461" s="6">
        <v>45567</v>
      </c>
      <c r="P461" s="7" t="s">
        <v>1787</v>
      </c>
      <c r="Q461" s="5">
        <v>79</v>
      </c>
      <c r="R461" s="10">
        <f t="shared" si="37"/>
        <v>158</v>
      </c>
      <c r="S461" s="5">
        <v>69</v>
      </c>
      <c r="T461" s="5" t="s">
        <v>39</v>
      </c>
      <c r="U461" s="11">
        <f t="shared" si="39"/>
        <v>8</v>
      </c>
    </row>
    <row r="462" spans="1:21" ht="16" x14ac:dyDescent="0.4">
      <c r="A462" s="2" t="s">
        <v>1788</v>
      </c>
      <c r="B462" s="3" t="s">
        <v>364</v>
      </c>
      <c r="C462" s="28" t="s">
        <v>65</v>
      </c>
      <c r="D462" s="2" t="s">
        <v>1789</v>
      </c>
      <c r="E462" s="4" t="s">
        <v>1790</v>
      </c>
      <c r="F462" s="5">
        <v>82</v>
      </c>
      <c r="G462" s="5">
        <v>12</v>
      </c>
      <c r="H462" s="5">
        <v>94</v>
      </c>
      <c r="I462" s="10">
        <v>4.0999999999999996</v>
      </c>
      <c r="J462" s="11">
        <f t="shared" si="38"/>
        <v>336.2</v>
      </c>
      <c r="K462" s="12" t="str">
        <f t="shared" si="35"/>
        <v>Stock_Sufficient</v>
      </c>
      <c r="L462" s="12">
        <f t="shared" si="36"/>
        <v>385.4</v>
      </c>
      <c r="M462" s="6">
        <v>45350</v>
      </c>
      <c r="N462" s="6">
        <v>45463</v>
      </c>
      <c r="O462" s="6">
        <v>45678</v>
      </c>
      <c r="P462" s="7" t="s">
        <v>1791</v>
      </c>
      <c r="Q462" s="5">
        <v>69</v>
      </c>
      <c r="R462" s="10">
        <f t="shared" si="37"/>
        <v>282.89999999999998</v>
      </c>
      <c r="S462" s="5">
        <v>93</v>
      </c>
      <c r="T462" s="5" t="s">
        <v>45</v>
      </c>
      <c r="U462" s="11">
        <f t="shared" si="39"/>
        <v>-53.300000000000011</v>
      </c>
    </row>
    <row r="463" spans="1:21" ht="16" x14ac:dyDescent="0.4">
      <c r="A463" s="2" t="s">
        <v>1792</v>
      </c>
      <c r="B463" s="3" t="s">
        <v>493</v>
      </c>
      <c r="C463" s="28" t="s">
        <v>65</v>
      </c>
      <c r="D463" s="2" t="s">
        <v>1793</v>
      </c>
      <c r="E463" s="4" t="s">
        <v>32</v>
      </c>
      <c r="F463" s="5">
        <v>68</v>
      </c>
      <c r="G463" s="5">
        <v>82</v>
      </c>
      <c r="H463" s="5">
        <v>58</v>
      </c>
      <c r="I463" s="10">
        <v>4.8</v>
      </c>
      <c r="J463" s="11">
        <f t="shared" si="38"/>
        <v>326.39999999999998</v>
      </c>
      <c r="K463" s="12" t="str">
        <f t="shared" si="35"/>
        <v>Low Stock_Reorder Needed</v>
      </c>
      <c r="L463" s="12">
        <f t="shared" si="36"/>
        <v>278.39999999999998</v>
      </c>
      <c r="M463" s="6">
        <v>45390</v>
      </c>
      <c r="N463" s="6">
        <v>45528</v>
      </c>
      <c r="O463" s="6">
        <v>45387</v>
      </c>
      <c r="P463" s="7" t="s">
        <v>1794</v>
      </c>
      <c r="Q463" s="5">
        <v>90</v>
      </c>
      <c r="R463" s="10">
        <f t="shared" si="37"/>
        <v>432</v>
      </c>
      <c r="S463" s="5">
        <v>2</v>
      </c>
      <c r="T463" s="5" t="s">
        <v>39</v>
      </c>
      <c r="U463" s="11">
        <f t="shared" si="39"/>
        <v>105.60000000000002</v>
      </c>
    </row>
    <row r="464" spans="1:21" ht="16" x14ac:dyDescent="0.4">
      <c r="A464" s="2" t="s">
        <v>1795</v>
      </c>
      <c r="B464" s="3" t="s">
        <v>58</v>
      </c>
      <c r="C464" s="28" t="s">
        <v>59</v>
      </c>
      <c r="D464" s="2" t="s">
        <v>1796</v>
      </c>
      <c r="E464" s="4" t="s">
        <v>1797</v>
      </c>
      <c r="F464" s="5">
        <v>70</v>
      </c>
      <c r="G464" s="5">
        <v>96</v>
      </c>
      <c r="H464" s="5">
        <v>85</v>
      </c>
      <c r="I464" s="10">
        <v>2.5</v>
      </c>
      <c r="J464" s="11">
        <f t="shared" si="38"/>
        <v>175</v>
      </c>
      <c r="K464" s="12" t="str">
        <f t="shared" si="35"/>
        <v>Low Stock_Reorder Needed</v>
      </c>
      <c r="L464" s="12">
        <f t="shared" si="36"/>
        <v>212.5</v>
      </c>
      <c r="M464" s="6">
        <v>45348</v>
      </c>
      <c r="N464" s="6">
        <v>45538</v>
      </c>
      <c r="O464" s="6">
        <v>45592</v>
      </c>
      <c r="P464" s="7" t="s">
        <v>1798</v>
      </c>
      <c r="Q464" s="5">
        <v>34</v>
      </c>
      <c r="R464" s="10">
        <f t="shared" si="37"/>
        <v>85</v>
      </c>
      <c r="S464" s="5">
        <v>3</v>
      </c>
      <c r="T464" s="5" t="s">
        <v>45</v>
      </c>
      <c r="U464" s="11">
        <f t="shared" si="39"/>
        <v>-90</v>
      </c>
    </row>
    <row r="465" spans="1:21" ht="16" x14ac:dyDescent="0.4">
      <c r="A465" s="2" t="s">
        <v>1799</v>
      </c>
      <c r="B465" s="3" t="s">
        <v>1480</v>
      </c>
      <c r="C465" s="28" t="s">
        <v>133</v>
      </c>
      <c r="D465" s="2" t="s">
        <v>1800</v>
      </c>
      <c r="E465" s="4" t="s">
        <v>898</v>
      </c>
      <c r="F465" s="5">
        <v>49</v>
      </c>
      <c r="G465" s="5">
        <v>48</v>
      </c>
      <c r="H465" s="5">
        <v>62</v>
      </c>
      <c r="I465" s="10">
        <v>15</v>
      </c>
      <c r="J465" s="11">
        <f t="shared" si="38"/>
        <v>735</v>
      </c>
      <c r="K465" s="12" t="str">
        <f t="shared" si="35"/>
        <v>Stock_Sufficient</v>
      </c>
      <c r="L465" s="12">
        <f t="shared" si="36"/>
        <v>930</v>
      </c>
      <c r="M465" s="6">
        <v>45551</v>
      </c>
      <c r="N465" s="6">
        <v>45347</v>
      </c>
      <c r="O465" s="6">
        <v>45518</v>
      </c>
      <c r="P465" s="7" t="s">
        <v>1801</v>
      </c>
      <c r="Q465" s="5">
        <v>96</v>
      </c>
      <c r="R465" s="10">
        <f t="shared" si="37"/>
        <v>1440</v>
      </c>
      <c r="S465" s="5">
        <v>37</v>
      </c>
      <c r="T465" s="5" t="s">
        <v>45</v>
      </c>
      <c r="U465" s="11">
        <f t="shared" si="39"/>
        <v>705</v>
      </c>
    </row>
    <row r="466" spans="1:21" ht="16" x14ac:dyDescent="0.4">
      <c r="A466" s="2" t="s">
        <v>1802</v>
      </c>
      <c r="B466" s="3" t="s">
        <v>1043</v>
      </c>
      <c r="C466" s="28" t="s">
        <v>133</v>
      </c>
      <c r="D466" s="2" t="s">
        <v>1803</v>
      </c>
      <c r="E466" s="4" t="s">
        <v>1804</v>
      </c>
      <c r="F466" s="5">
        <v>89</v>
      </c>
      <c r="G466" s="5">
        <v>26</v>
      </c>
      <c r="H466" s="5">
        <v>36</v>
      </c>
      <c r="I466" s="10">
        <v>7.5</v>
      </c>
      <c r="J466" s="11">
        <f t="shared" si="38"/>
        <v>667.5</v>
      </c>
      <c r="K466" s="12" t="str">
        <f t="shared" si="35"/>
        <v>Stock_Sufficient</v>
      </c>
      <c r="L466" s="12">
        <f t="shared" si="36"/>
        <v>270</v>
      </c>
      <c r="M466" s="6">
        <v>45589</v>
      </c>
      <c r="N466" s="6">
        <v>45503</v>
      </c>
      <c r="O466" s="6">
        <v>45457</v>
      </c>
      <c r="P466" s="7" t="s">
        <v>1805</v>
      </c>
      <c r="Q466" s="5">
        <v>48</v>
      </c>
      <c r="R466" s="10">
        <f t="shared" si="37"/>
        <v>360</v>
      </c>
      <c r="S466" s="5">
        <v>94</v>
      </c>
      <c r="T466" s="5" t="s">
        <v>45</v>
      </c>
      <c r="U466" s="11">
        <f t="shared" si="39"/>
        <v>-307.5</v>
      </c>
    </row>
    <row r="467" spans="1:21" ht="16" x14ac:dyDescent="0.4">
      <c r="A467" s="2" t="s">
        <v>1806</v>
      </c>
      <c r="B467" s="3" t="s">
        <v>451</v>
      </c>
      <c r="C467" s="28" t="s">
        <v>65</v>
      </c>
      <c r="D467" s="2" t="s">
        <v>1807</v>
      </c>
      <c r="E467" s="4" t="s">
        <v>952</v>
      </c>
      <c r="F467" s="5">
        <v>88</v>
      </c>
      <c r="G467" s="5">
        <v>53</v>
      </c>
      <c r="H467" s="5">
        <v>44</v>
      </c>
      <c r="I467" s="10">
        <v>9</v>
      </c>
      <c r="J467" s="11">
        <f t="shared" si="38"/>
        <v>792</v>
      </c>
      <c r="K467" s="12" t="str">
        <f t="shared" si="35"/>
        <v>Stock_Sufficient</v>
      </c>
      <c r="L467" s="12">
        <f t="shared" si="36"/>
        <v>396</v>
      </c>
      <c r="M467" s="6">
        <v>45661</v>
      </c>
      <c r="N467" s="6">
        <v>45650</v>
      </c>
      <c r="O467" s="6">
        <v>45694</v>
      </c>
      <c r="P467" s="7" t="s">
        <v>1808</v>
      </c>
      <c r="Q467" s="5">
        <v>56</v>
      </c>
      <c r="R467" s="10">
        <f t="shared" si="37"/>
        <v>504</v>
      </c>
      <c r="S467" s="5">
        <v>14</v>
      </c>
      <c r="T467" s="5" t="s">
        <v>27</v>
      </c>
      <c r="U467" s="11">
        <f t="shared" si="39"/>
        <v>-288</v>
      </c>
    </row>
    <row r="468" spans="1:21" ht="16" x14ac:dyDescent="0.4">
      <c r="A468" s="2" t="s">
        <v>1809</v>
      </c>
      <c r="B468" s="3" t="s">
        <v>673</v>
      </c>
      <c r="C468" s="28" t="s">
        <v>30</v>
      </c>
      <c r="D468" s="2" t="s">
        <v>1810</v>
      </c>
      <c r="E468" s="4" t="s">
        <v>933</v>
      </c>
      <c r="F468" s="5">
        <v>39</v>
      </c>
      <c r="G468" s="5">
        <v>88</v>
      </c>
      <c r="H468" s="5">
        <v>100</v>
      </c>
      <c r="I468" s="10">
        <v>8</v>
      </c>
      <c r="J468" s="11">
        <f t="shared" si="38"/>
        <v>312</v>
      </c>
      <c r="K468" s="12" t="str">
        <f t="shared" si="35"/>
        <v>Low Stock_Reorder Needed</v>
      </c>
      <c r="L468" s="12">
        <f t="shared" si="36"/>
        <v>800</v>
      </c>
      <c r="M468" s="6">
        <v>45621</v>
      </c>
      <c r="N468" s="6">
        <v>45687</v>
      </c>
      <c r="O468" s="6">
        <v>45427</v>
      </c>
      <c r="P468" s="7" t="s">
        <v>1811</v>
      </c>
      <c r="Q468" s="5">
        <v>28</v>
      </c>
      <c r="R468" s="10">
        <f t="shared" si="37"/>
        <v>224</v>
      </c>
      <c r="S468" s="5">
        <v>18</v>
      </c>
      <c r="T468" s="5" t="s">
        <v>39</v>
      </c>
      <c r="U468" s="11">
        <f t="shared" si="39"/>
        <v>-88</v>
      </c>
    </row>
    <row r="469" spans="1:21" ht="16" x14ac:dyDescent="0.4">
      <c r="A469" s="2" t="s">
        <v>1812</v>
      </c>
      <c r="B469" s="3" t="s">
        <v>595</v>
      </c>
      <c r="C469" s="28" t="s">
        <v>48</v>
      </c>
      <c r="D469" s="2" t="s">
        <v>1813</v>
      </c>
      <c r="E469" s="4" t="s">
        <v>548</v>
      </c>
      <c r="F469" s="5">
        <v>87</v>
      </c>
      <c r="G469" s="5">
        <v>91</v>
      </c>
      <c r="H469" s="5">
        <v>94</v>
      </c>
      <c r="I469" s="10">
        <v>2.5</v>
      </c>
      <c r="J469" s="11">
        <f t="shared" si="38"/>
        <v>217.5</v>
      </c>
      <c r="K469" s="12" t="str">
        <f t="shared" si="35"/>
        <v>Low Stock_Reorder Needed</v>
      </c>
      <c r="L469" s="12">
        <f t="shared" si="36"/>
        <v>235</v>
      </c>
      <c r="M469" s="6">
        <v>45477</v>
      </c>
      <c r="N469" s="6">
        <v>45560</v>
      </c>
      <c r="O469" s="6">
        <v>45468</v>
      </c>
      <c r="P469" s="7" t="s">
        <v>1814</v>
      </c>
      <c r="Q469" s="5">
        <v>47</v>
      </c>
      <c r="R469" s="10">
        <f t="shared" si="37"/>
        <v>117.5</v>
      </c>
      <c r="S469" s="5">
        <v>4</v>
      </c>
      <c r="T469" s="5" t="s">
        <v>27</v>
      </c>
      <c r="U469" s="11">
        <f t="shared" si="39"/>
        <v>-100</v>
      </c>
    </row>
    <row r="470" spans="1:21" ht="16" x14ac:dyDescent="0.4">
      <c r="A470" s="2" t="s">
        <v>1815</v>
      </c>
      <c r="B470" s="3" t="s">
        <v>168</v>
      </c>
      <c r="C470" s="28" t="s">
        <v>90</v>
      </c>
      <c r="D470" s="2" t="s">
        <v>1816</v>
      </c>
      <c r="E470" s="4" t="s">
        <v>448</v>
      </c>
      <c r="F470" s="5">
        <v>93</v>
      </c>
      <c r="G470" s="5">
        <v>50</v>
      </c>
      <c r="H470" s="5">
        <v>43</v>
      </c>
      <c r="I470" s="10">
        <v>5</v>
      </c>
      <c r="J470" s="11">
        <f t="shared" si="38"/>
        <v>465</v>
      </c>
      <c r="K470" s="12" t="str">
        <f t="shared" si="35"/>
        <v>Stock_Sufficient</v>
      </c>
      <c r="L470" s="12">
        <f t="shared" si="36"/>
        <v>215</v>
      </c>
      <c r="M470" s="6">
        <v>45470</v>
      </c>
      <c r="N470" s="6">
        <v>45428</v>
      </c>
      <c r="O470" s="6">
        <v>45574</v>
      </c>
      <c r="P470" s="7" t="s">
        <v>1817</v>
      </c>
      <c r="Q470" s="5">
        <v>76</v>
      </c>
      <c r="R470" s="10">
        <f t="shared" si="37"/>
        <v>380</v>
      </c>
      <c r="S470" s="5">
        <v>35</v>
      </c>
      <c r="T470" s="5" t="s">
        <v>27</v>
      </c>
      <c r="U470" s="11">
        <f t="shared" si="39"/>
        <v>-85</v>
      </c>
    </row>
    <row r="471" spans="1:21" ht="16" x14ac:dyDescent="0.4">
      <c r="A471" s="2" t="s">
        <v>1818</v>
      </c>
      <c r="B471" s="3" t="s">
        <v>729</v>
      </c>
      <c r="C471" s="28" t="s">
        <v>65</v>
      </c>
      <c r="D471" s="2" t="s">
        <v>1819</v>
      </c>
      <c r="E471" s="4" t="s">
        <v>1820</v>
      </c>
      <c r="F471" s="5">
        <v>23</v>
      </c>
      <c r="G471" s="5">
        <v>21</v>
      </c>
      <c r="H471" s="5">
        <v>59</v>
      </c>
      <c r="I471" s="10">
        <v>2.4</v>
      </c>
      <c r="J471" s="11">
        <f t="shared" si="38"/>
        <v>55.199999999999996</v>
      </c>
      <c r="K471" s="12" t="str">
        <f t="shared" si="35"/>
        <v>Stock_Sufficient</v>
      </c>
      <c r="L471" s="12">
        <f t="shared" si="36"/>
        <v>141.6</v>
      </c>
      <c r="M471" s="6">
        <v>45519</v>
      </c>
      <c r="N471" s="6">
        <v>45361</v>
      </c>
      <c r="O471" s="6">
        <v>45572</v>
      </c>
      <c r="P471" s="7" t="s">
        <v>1821</v>
      </c>
      <c r="Q471" s="5">
        <v>81</v>
      </c>
      <c r="R471" s="10">
        <f t="shared" si="37"/>
        <v>194.4</v>
      </c>
      <c r="S471" s="5">
        <v>8</v>
      </c>
      <c r="T471" s="5" t="s">
        <v>45</v>
      </c>
      <c r="U471" s="11">
        <f t="shared" si="39"/>
        <v>139.20000000000002</v>
      </c>
    </row>
    <row r="472" spans="1:21" ht="16" x14ac:dyDescent="0.4">
      <c r="A472" s="2" t="s">
        <v>1822</v>
      </c>
      <c r="B472" s="3" t="s">
        <v>1434</v>
      </c>
      <c r="C472" s="28" t="s">
        <v>90</v>
      </c>
      <c r="D472" s="2" t="s">
        <v>1823</v>
      </c>
      <c r="E472" s="4" t="s">
        <v>1824</v>
      </c>
      <c r="F472" s="5">
        <v>94</v>
      </c>
      <c r="G472" s="5">
        <v>34</v>
      </c>
      <c r="H472" s="5">
        <v>21</v>
      </c>
      <c r="I472" s="10">
        <v>5.5</v>
      </c>
      <c r="J472" s="11">
        <f t="shared" si="38"/>
        <v>517</v>
      </c>
      <c r="K472" s="12" t="str">
        <f t="shared" si="35"/>
        <v>Stock_Sufficient</v>
      </c>
      <c r="L472" s="12">
        <f t="shared" si="36"/>
        <v>115.5</v>
      </c>
      <c r="M472" s="6">
        <v>45369</v>
      </c>
      <c r="N472" s="6">
        <v>45371</v>
      </c>
      <c r="O472" s="6">
        <v>45597</v>
      </c>
      <c r="P472" s="7" t="s">
        <v>1825</v>
      </c>
      <c r="Q472" s="5">
        <v>74</v>
      </c>
      <c r="R472" s="10">
        <f t="shared" si="37"/>
        <v>407</v>
      </c>
      <c r="S472" s="5">
        <v>70</v>
      </c>
      <c r="T472" s="5" t="s">
        <v>39</v>
      </c>
      <c r="U472" s="11">
        <f t="shared" si="39"/>
        <v>-110</v>
      </c>
    </row>
    <row r="473" spans="1:21" ht="16" x14ac:dyDescent="0.4">
      <c r="A473" s="2" t="s">
        <v>1826</v>
      </c>
      <c r="B473" s="3" t="s">
        <v>984</v>
      </c>
      <c r="C473" s="28" t="s">
        <v>90</v>
      </c>
      <c r="D473" s="2" t="s">
        <v>1827</v>
      </c>
      <c r="E473" s="4" t="s">
        <v>635</v>
      </c>
      <c r="F473" s="5">
        <v>38</v>
      </c>
      <c r="G473" s="5">
        <v>43</v>
      </c>
      <c r="H473" s="5">
        <v>91</v>
      </c>
      <c r="I473" s="10">
        <v>4</v>
      </c>
      <c r="J473" s="11">
        <f t="shared" si="38"/>
        <v>152</v>
      </c>
      <c r="K473" s="12" t="str">
        <f t="shared" si="35"/>
        <v>Low Stock_Reorder Needed</v>
      </c>
      <c r="L473" s="12">
        <f t="shared" si="36"/>
        <v>364</v>
      </c>
      <c r="M473" s="6">
        <v>45402</v>
      </c>
      <c r="N473" s="6">
        <v>45522</v>
      </c>
      <c r="O473" s="6">
        <v>45706</v>
      </c>
      <c r="P473" s="7" t="s">
        <v>1828</v>
      </c>
      <c r="Q473" s="5">
        <v>72</v>
      </c>
      <c r="R473" s="10">
        <f t="shared" si="37"/>
        <v>288</v>
      </c>
      <c r="S473" s="5">
        <v>64</v>
      </c>
      <c r="T473" s="5" t="s">
        <v>45</v>
      </c>
      <c r="U473" s="11">
        <f t="shared" si="39"/>
        <v>136</v>
      </c>
    </row>
    <row r="474" spans="1:21" ht="16" x14ac:dyDescent="0.4">
      <c r="A474" s="2" t="s">
        <v>1829</v>
      </c>
      <c r="B474" s="3" t="s">
        <v>1193</v>
      </c>
      <c r="C474" s="28" t="s">
        <v>65</v>
      </c>
      <c r="D474" s="2" t="s">
        <v>1830</v>
      </c>
      <c r="E474" s="4" t="s">
        <v>670</v>
      </c>
      <c r="F474" s="5">
        <v>11</v>
      </c>
      <c r="G474" s="5">
        <v>9</v>
      </c>
      <c r="H474" s="5">
        <v>65</v>
      </c>
      <c r="I474" s="10">
        <v>2</v>
      </c>
      <c r="J474" s="11">
        <f t="shared" si="38"/>
        <v>22</v>
      </c>
      <c r="K474" s="12" t="str">
        <f t="shared" si="35"/>
        <v>Stock_Sufficient</v>
      </c>
      <c r="L474" s="12">
        <f t="shared" si="36"/>
        <v>130</v>
      </c>
      <c r="M474" s="6">
        <v>45578</v>
      </c>
      <c r="N474" s="6">
        <v>45630</v>
      </c>
      <c r="O474" s="6">
        <v>45453</v>
      </c>
      <c r="P474" s="7" t="s">
        <v>1831</v>
      </c>
      <c r="Q474" s="5">
        <v>48</v>
      </c>
      <c r="R474" s="10">
        <f t="shared" si="37"/>
        <v>96</v>
      </c>
      <c r="S474" s="5">
        <v>96</v>
      </c>
      <c r="T474" s="5" t="s">
        <v>27</v>
      </c>
      <c r="U474" s="11">
        <f t="shared" si="39"/>
        <v>74</v>
      </c>
    </row>
    <row r="475" spans="1:21" ht="16" x14ac:dyDescent="0.4">
      <c r="A475" s="2" t="s">
        <v>1832</v>
      </c>
      <c r="B475" s="3" t="s">
        <v>337</v>
      </c>
      <c r="C475" s="28" t="s">
        <v>30</v>
      </c>
      <c r="D475" s="2" t="s">
        <v>1833</v>
      </c>
      <c r="E475" s="4" t="s">
        <v>1589</v>
      </c>
      <c r="F475" s="5">
        <v>60</v>
      </c>
      <c r="G475" s="5">
        <v>27</v>
      </c>
      <c r="H475" s="5">
        <v>58</v>
      </c>
      <c r="I475" s="10">
        <v>25.3</v>
      </c>
      <c r="J475" s="11">
        <f t="shared" si="38"/>
        <v>1518</v>
      </c>
      <c r="K475" s="12" t="str">
        <f t="shared" si="35"/>
        <v>Stock_Sufficient</v>
      </c>
      <c r="L475" s="12">
        <f t="shared" si="36"/>
        <v>1467.4</v>
      </c>
      <c r="M475" s="6">
        <v>45652</v>
      </c>
      <c r="N475" s="6">
        <v>45470</v>
      </c>
      <c r="O475" s="6">
        <v>45615</v>
      </c>
      <c r="P475" s="7" t="s">
        <v>1834</v>
      </c>
      <c r="Q475" s="5">
        <v>43</v>
      </c>
      <c r="R475" s="10">
        <f t="shared" si="37"/>
        <v>1087.9000000000001</v>
      </c>
      <c r="S475" s="5">
        <v>91</v>
      </c>
      <c r="T475" s="5" t="s">
        <v>45</v>
      </c>
      <c r="U475" s="11">
        <f t="shared" si="39"/>
        <v>-430.09999999999991</v>
      </c>
    </row>
    <row r="476" spans="1:21" ht="16" x14ac:dyDescent="0.4">
      <c r="A476" s="2" t="s">
        <v>1835</v>
      </c>
      <c r="B476" s="3" t="s">
        <v>604</v>
      </c>
      <c r="C476" s="28" t="s">
        <v>59</v>
      </c>
      <c r="D476" s="2" t="s">
        <v>1836</v>
      </c>
      <c r="E476" s="4" t="s">
        <v>300</v>
      </c>
      <c r="F476" s="5">
        <v>50</v>
      </c>
      <c r="G476" s="5">
        <v>36</v>
      </c>
      <c r="H476" s="5">
        <v>81</v>
      </c>
      <c r="I476" s="10">
        <v>10</v>
      </c>
      <c r="J476" s="11">
        <f t="shared" si="38"/>
        <v>500</v>
      </c>
      <c r="K476" s="12" t="str">
        <f t="shared" si="35"/>
        <v>Stock_Sufficient</v>
      </c>
      <c r="L476" s="12">
        <f t="shared" si="36"/>
        <v>810</v>
      </c>
      <c r="M476" s="6">
        <v>45561</v>
      </c>
      <c r="N476" s="6">
        <v>45424</v>
      </c>
      <c r="O476" s="6">
        <v>45447</v>
      </c>
      <c r="P476" s="7" t="s">
        <v>1837</v>
      </c>
      <c r="Q476" s="5">
        <v>27</v>
      </c>
      <c r="R476" s="10">
        <f t="shared" si="37"/>
        <v>270</v>
      </c>
      <c r="S476" s="5">
        <v>6</v>
      </c>
      <c r="T476" s="5" t="s">
        <v>27</v>
      </c>
      <c r="U476" s="11">
        <f t="shared" si="39"/>
        <v>-230</v>
      </c>
    </row>
    <row r="477" spans="1:21" ht="16" x14ac:dyDescent="0.4">
      <c r="A477" s="2" t="s">
        <v>1838</v>
      </c>
      <c r="B477" s="3" t="s">
        <v>64</v>
      </c>
      <c r="C477" s="28" t="s">
        <v>65</v>
      </c>
      <c r="D477" s="2" t="s">
        <v>1839</v>
      </c>
      <c r="E477" s="4" t="s">
        <v>925</v>
      </c>
      <c r="F477" s="5">
        <v>90</v>
      </c>
      <c r="G477" s="5">
        <v>3</v>
      </c>
      <c r="H477" s="5">
        <v>49</v>
      </c>
      <c r="I477" s="10">
        <v>2.5</v>
      </c>
      <c r="J477" s="11">
        <f t="shared" si="38"/>
        <v>225</v>
      </c>
      <c r="K477" s="12" t="str">
        <f t="shared" si="35"/>
        <v>Stock_Sufficient</v>
      </c>
      <c r="L477" s="12">
        <f t="shared" si="36"/>
        <v>122.5</v>
      </c>
      <c r="M477" s="6">
        <v>45418</v>
      </c>
      <c r="N477" s="6">
        <v>45415</v>
      </c>
      <c r="O477" s="6">
        <v>45701</v>
      </c>
      <c r="P477" s="7" t="s">
        <v>1840</v>
      </c>
      <c r="Q477" s="5">
        <v>51</v>
      </c>
      <c r="R477" s="10">
        <f t="shared" si="37"/>
        <v>127.5</v>
      </c>
      <c r="S477" s="5">
        <v>87</v>
      </c>
      <c r="T477" s="5" t="s">
        <v>27</v>
      </c>
      <c r="U477" s="11">
        <f t="shared" si="39"/>
        <v>-97.5</v>
      </c>
    </row>
    <row r="478" spans="1:21" ht="16" x14ac:dyDescent="0.4">
      <c r="A478" s="2" t="s">
        <v>1841</v>
      </c>
      <c r="B478" s="3" t="s">
        <v>386</v>
      </c>
      <c r="C478" s="28" t="s">
        <v>23</v>
      </c>
      <c r="D478" s="2" t="s">
        <v>1842</v>
      </c>
      <c r="E478" s="4" t="s">
        <v>1262</v>
      </c>
      <c r="F478" s="5">
        <v>86</v>
      </c>
      <c r="G478" s="5">
        <v>80</v>
      </c>
      <c r="H478" s="5">
        <v>80</v>
      </c>
      <c r="I478" s="10">
        <v>4.5</v>
      </c>
      <c r="J478" s="11">
        <f t="shared" si="38"/>
        <v>387</v>
      </c>
      <c r="K478" s="12" t="str">
        <f t="shared" si="35"/>
        <v>Stock_Sufficient</v>
      </c>
      <c r="L478" s="12">
        <f t="shared" si="36"/>
        <v>360</v>
      </c>
      <c r="M478" s="6">
        <v>45369</v>
      </c>
      <c r="N478" s="6">
        <v>45425</v>
      </c>
      <c r="O478" s="6">
        <v>45432</v>
      </c>
      <c r="P478" s="7" t="s">
        <v>1843</v>
      </c>
      <c r="Q478" s="5">
        <v>22</v>
      </c>
      <c r="R478" s="10">
        <f t="shared" si="37"/>
        <v>99</v>
      </c>
      <c r="S478" s="5">
        <v>67</v>
      </c>
      <c r="T478" s="5" t="s">
        <v>27</v>
      </c>
      <c r="U478" s="11">
        <f t="shared" si="39"/>
        <v>-288</v>
      </c>
    </row>
    <row r="479" spans="1:21" ht="16" x14ac:dyDescent="0.4">
      <c r="A479" s="2" t="s">
        <v>1844</v>
      </c>
      <c r="B479" s="3" t="s">
        <v>595</v>
      </c>
      <c r="C479" s="28" t="s">
        <v>48</v>
      </c>
      <c r="D479" s="2" t="s">
        <v>1845</v>
      </c>
      <c r="E479" s="4" t="s">
        <v>652</v>
      </c>
      <c r="F479" s="5">
        <v>86</v>
      </c>
      <c r="G479" s="5">
        <v>66</v>
      </c>
      <c r="H479" s="5">
        <v>24</v>
      </c>
      <c r="I479" s="10">
        <v>2.5</v>
      </c>
      <c r="J479" s="11">
        <f t="shared" si="38"/>
        <v>215</v>
      </c>
      <c r="K479" s="12" t="str">
        <f t="shared" si="35"/>
        <v>Stock_Sufficient</v>
      </c>
      <c r="L479" s="12">
        <f t="shared" si="36"/>
        <v>60</v>
      </c>
      <c r="M479" s="6">
        <v>45502</v>
      </c>
      <c r="N479" s="6">
        <v>45692</v>
      </c>
      <c r="O479" s="6">
        <v>45677</v>
      </c>
      <c r="P479" s="7" t="s">
        <v>1846</v>
      </c>
      <c r="Q479" s="5">
        <v>30</v>
      </c>
      <c r="R479" s="10">
        <f t="shared" si="37"/>
        <v>75</v>
      </c>
      <c r="S479" s="5">
        <v>6</v>
      </c>
      <c r="T479" s="5" t="s">
        <v>27</v>
      </c>
      <c r="U479" s="11">
        <f t="shared" si="39"/>
        <v>-140</v>
      </c>
    </row>
    <row r="480" spans="1:21" ht="16" x14ac:dyDescent="0.4">
      <c r="A480" s="2" t="s">
        <v>1847</v>
      </c>
      <c r="B480" s="3" t="s">
        <v>502</v>
      </c>
      <c r="C480" s="28" t="s">
        <v>23</v>
      </c>
      <c r="D480" s="2" t="s">
        <v>1848</v>
      </c>
      <c r="E480" s="4" t="s">
        <v>194</v>
      </c>
      <c r="F480" s="5">
        <v>54</v>
      </c>
      <c r="G480" s="5">
        <v>17</v>
      </c>
      <c r="H480" s="5">
        <v>90</v>
      </c>
      <c r="I480" s="10">
        <v>9.5</v>
      </c>
      <c r="J480" s="11">
        <f t="shared" si="38"/>
        <v>513</v>
      </c>
      <c r="K480" s="12" t="str">
        <f t="shared" si="35"/>
        <v>Stock_Sufficient</v>
      </c>
      <c r="L480" s="12">
        <f t="shared" si="36"/>
        <v>855</v>
      </c>
      <c r="M480" s="6">
        <v>45680</v>
      </c>
      <c r="N480" s="6">
        <v>45511</v>
      </c>
      <c r="O480" s="6">
        <v>45696</v>
      </c>
      <c r="P480" s="7" t="s">
        <v>1849</v>
      </c>
      <c r="Q480" s="5">
        <v>60</v>
      </c>
      <c r="R480" s="10">
        <f t="shared" si="37"/>
        <v>570</v>
      </c>
      <c r="S480" s="5">
        <v>20</v>
      </c>
      <c r="T480" s="5" t="s">
        <v>45</v>
      </c>
      <c r="U480" s="11">
        <f t="shared" si="39"/>
        <v>57</v>
      </c>
    </row>
    <row r="481" spans="1:21" ht="16" x14ac:dyDescent="0.4">
      <c r="A481" s="2" t="s">
        <v>1850</v>
      </c>
      <c r="B481" s="3" t="s">
        <v>781</v>
      </c>
      <c r="C481" s="28" t="s">
        <v>48</v>
      </c>
      <c r="D481" s="2" t="s">
        <v>1851</v>
      </c>
      <c r="E481" s="4" t="s">
        <v>1312</v>
      </c>
      <c r="F481" s="5">
        <v>27</v>
      </c>
      <c r="G481" s="5">
        <v>64</v>
      </c>
      <c r="H481" s="5">
        <v>43</v>
      </c>
      <c r="I481" s="10">
        <v>3</v>
      </c>
      <c r="J481" s="11">
        <f t="shared" si="38"/>
        <v>81</v>
      </c>
      <c r="K481" s="12" t="str">
        <f t="shared" si="35"/>
        <v>Low Stock_Reorder Needed</v>
      </c>
      <c r="L481" s="12">
        <f t="shared" si="36"/>
        <v>129</v>
      </c>
      <c r="M481" s="6">
        <v>45610</v>
      </c>
      <c r="N481" s="6">
        <v>45626</v>
      </c>
      <c r="O481" s="6">
        <v>45373</v>
      </c>
      <c r="P481" s="7" t="s">
        <v>1852</v>
      </c>
      <c r="Q481" s="5">
        <v>70</v>
      </c>
      <c r="R481" s="10">
        <f t="shared" si="37"/>
        <v>210</v>
      </c>
      <c r="S481" s="5">
        <v>58</v>
      </c>
      <c r="T481" s="5" t="s">
        <v>27</v>
      </c>
      <c r="U481" s="11">
        <f t="shared" si="39"/>
        <v>129</v>
      </c>
    </row>
    <row r="482" spans="1:21" ht="16" x14ac:dyDescent="0.4">
      <c r="A482" s="2" t="s">
        <v>1853</v>
      </c>
      <c r="B482" s="3" t="s">
        <v>89</v>
      </c>
      <c r="C482" s="28" t="s">
        <v>90</v>
      </c>
      <c r="D482" s="2" t="s">
        <v>1854</v>
      </c>
      <c r="E482" s="4" t="s">
        <v>1396</v>
      </c>
      <c r="F482" s="5">
        <v>50</v>
      </c>
      <c r="G482" s="5">
        <v>58</v>
      </c>
      <c r="H482" s="5">
        <v>78</v>
      </c>
      <c r="I482" s="10">
        <v>3</v>
      </c>
      <c r="J482" s="11">
        <f t="shared" si="38"/>
        <v>150</v>
      </c>
      <c r="K482" s="12" t="str">
        <f t="shared" si="35"/>
        <v>Low Stock_Reorder Needed</v>
      </c>
      <c r="L482" s="12">
        <f t="shared" si="36"/>
        <v>234</v>
      </c>
      <c r="M482" s="6">
        <v>45579</v>
      </c>
      <c r="N482" s="6">
        <v>45399</v>
      </c>
      <c r="O482" s="6">
        <v>45441</v>
      </c>
      <c r="P482" s="7" t="s">
        <v>1855</v>
      </c>
      <c r="Q482" s="5">
        <v>83</v>
      </c>
      <c r="R482" s="10">
        <f t="shared" si="37"/>
        <v>249</v>
      </c>
      <c r="S482" s="5">
        <v>49</v>
      </c>
      <c r="T482" s="5" t="s">
        <v>45</v>
      </c>
      <c r="U482" s="11">
        <f t="shared" si="39"/>
        <v>99</v>
      </c>
    </row>
    <row r="483" spans="1:21" ht="16" x14ac:dyDescent="0.4">
      <c r="A483" s="2" t="s">
        <v>1856</v>
      </c>
      <c r="B483" s="3" t="s">
        <v>202</v>
      </c>
      <c r="C483" s="28" t="s">
        <v>48</v>
      </c>
      <c r="D483" s="2" t="s">
        <v>1857</v>
      </c>
      <c r="E483" s="4" t="s">
        <v>940</v>
      </c>
      <c r="F483" s="5">
        <v>68</v>
      </c>
      <c r="G483" s="5">
        <v>10</v>
      </c>
      <c r="H483" s="5">
        <v>29</v>
      </c>
      <c r="I483" s="10">
        <v>2</v>
      </c>
      <c r="J483" s="11">
        <f t="shared" si="38"/>
        <v>136</v>
      </c>
      <c r="K483" s="12" t="str">
        <f t="shared" si="35"/>
        <v>Stock_Sufficient</v>
      </c>
      <c r="L483" s="12">
        <f t="shared" si="36"/>
        <v>58</v>
      </c>
      <c r="M483" s="6">
        <v>45596</v>
      </c>
      <c r="N483" s="6">
        <v>45450</v>
      </c>
      <c r="O483" s="6">
        <v>45374</v>
      </c>
      <c r="P483" s="7" t="s">
        <v>1858</v>
      </c>
      <c r="Q483" s="5">
        <v>37</v>
      </c>
      <c r="R483" s="10">
        <f t="shared" si="37"/>
        <v>74</v>
      </c>
      <c r="S483" s="5">
        <v>11</v>
      </c>
      <c r="T483" s="5" t="s">
        <v>27</v>
      </c>
      <c r="U483" s="11">
        <f t="shared" si="39"/>
        <v>-62</v>
      </c>
    </row>
    <row r="484" spans="1:21" ht="16" x14ac:dyDescent="0.4">
      <c r="A484" s="2" t="s">
        <v>1859</v>
      </c>
      <c r="B484" s="3" t="s">
        <v>266</v>
      </c>
      <c r="C484" s="28" t="s">
        <v>90</v>
      </c>
      <c r="D484" s="2" t="s">
        <v>1860</v>
      </c>
      <c r="E484" s="4" t="s">
        <v>766</v>
      </c>
      <c r="F484" s="5">
        <v>22</v>
      </c>
      <c r="G484" s="5">
        <v>60</v>
      </c>
      <c r="H484" s="5">
        <v>73</v>
      </c>
      <c r="I484" s="10">
        <v>4.2</v>
      </c>
      <c r="J484" s="11">
        <f t="shared" si="38"/>
        <v>92.4</v>
      </c>
      <c r="K484" s="12" t="str">
        <f t="shared" si="35"/>
        <v>Low Stock_Reorder Needed</v>
      </c>
      <c r="L484" s="12">
        <f t="shared" si="36"/>
        <v>306.60000000000002</v>
      </c>
      <c r="M484" s="6">
        <v>45482</v>
      </c>
      <c r="N484" s="6">
        <v>45604</v>
      </c>
      <c r="O484" s="6">
        <v>45485</v>
      </c>
      <c r="P484" s="7" t="s">
        <v>1861</v>
      </c>
      <c r="Q484" s="5">
        <v>62</v>
      </c>
      <c r="R484" s="10">
        <f t="shared" si="37"/>
        <v>260.40000000000003</v>
      </c>
      <c r="S484" s="5">
        <v>3</v>
      </c>
      <c r="T484" s="5" t="s">
        <v>39</v>
      </c>
      <c r="U484" s="11">
        <f t="shared" si="39"/>
        <v>168.00000000000003</v>
      </c>
    </row>
    <row r="485" spans="1:21" ht="16" x14ac:dyDescent="0.4">
      <c r="A485" s="2" t="s">
        <v>1862</v>
      </c>
      <c r="B485" s="3" t="s">
        <v>451</v>
      </c>
      <c r="C485" s="28" t="s">
        <v>65</v>
      </c>
      <c r="D485" s="2" t="s">
        <v>1863</v>
      </c>
      <c r="E485" s="4" t="s">
        <v>1025</v>
      </c>
      <c r="F485" s="5">
        <v>50</v>
      </c>
      <c r="G485" s="5">
        <v>14</v>
      </c>
      <c r="H485" s="5">
        <v>6</v>
      </c>
      <c r="I485" s="10">
        <v>9.1999999999999993</v>
      </c>
      <c r="J485" s="11">
        <f t="shared" si="38"/>
        <v>459.99999999999994</v>
      </c>
      <c r="K485" s="12" t="str">
        <f t="shared" si="35"/>
        <v>Stock_Sufficient</v>
      </c>
      <c r="L485" s="12">
        <f t="shared" si="36"/>
        <v>55.199999999999996</v>
      </c>
      <c r="M485" s="6">
        <v>45445</v>
      </c>
      <c r="N485" s="6">
        <v>45645</v>
      </c>
      <c r="O485" s="6">
        <v>45543</v>
      </c>
      <c r="P485" s="7" t="s">
        <v>1864</v>
      </c>
      <c r="Q485" s="5">
        <v>60</v>
      </c>
      <c r="R485" s="10">
        <f t="shared" si="37"/>
        <v>552</v>
      </c>
      <c r="S485" s="5">
        <v>72</v>
      </c>
      <c r="T485" s="5" t="s">
        <v>39</v>
      </c>
      <c r="U485" s="11">
        <f t="shared" si="39"/>
        <v>92.000000000000057</v>
      </c>
    </row>
    <row r="486" spans="1:21" ht="16" x14ac:dyDescent="0.4">
      <c r="A486" s="2" t="s">
        <v>1865</v>
      </c>
      <c r="B486" s="3" t="s">
        <v>369</v>
      </c>
      <c r="C486" s="28" t="s">
        <v>48</v>
      </c>
      <c r="D486" s="2" t="s">
        <v>1866</v>
      </c>
      <c r="E486" s="4" t="s">
        <v>1867</v>
      </c>
      <c r="F486" s="5">
        <v>26</v>
      </c>
      <c r="G486" s="5">
        <v>12</v>
      </c>
      <c r="H486" s="5">
        <v>43</v>
      </c>
      <c r="I486" s="10">
        <v>4.4000000000000004</v>
      </c>
      <c r="J486" s="11">
        <f t="shared" si="38"/>
        <v>114.4</v>
      </c>
      <c r="K486" s="12" t="str">
        <f t="shared" si="35"/>
        <v>Stock_Sufficient</v>
      </c>
      <c r="L486" s="12">
        <f t="shared" si="36"/>
        <v>189.20000000000002</v>
      </c>
      <c r="M486" s="6">
        <v>45674</v>
      </c>
      <c r="N486" s="6">
        <v>45551</v>
      </c>
      <c r="O486" s="6">
        <v>45712</v>
      </c>
      <c r="P486" s="7" t="s">
        <v>1868</v>
      </c>
      <c r="Q486" s="5">
        <v>73</v>
      </c>
      <c r="R486" s="10">
        <f t="shared" si="37"/>
        <v>321.20000000000005</v>
      </c>
      <c r="S486" s="5">
        <v>20</v>
      </c>
      <c r="T486" s="5" t="s">
        <v>39</v>
      </c>
      <c r="U486" s="11">
        <f t="shared" si="39"/>
        <v>206.80000000000004</v>
      </c>
    </row>
    <row r="487" spans="1:21" ht="16" x14ac:dyDescent="0.4">
      <c r="A487" s="2" t="s">
        <v>1869</v>
      </c>
      <c r="B487" s="3" t="s">
        <v>337</v>
      </c>
      <c r="C487" s="28" t="s">
        <v>30</v>
      </c>
      <c r="D487" s="2" t="s">
        <v>1870</v>
      </c>
      <c r="E487" s="4" t="s">
        <v>1871</v>
      </c>
      <c r="F487" s="5">
        <v>62</v>
      </c>
      <c r="G487" s="5">
        <v>31</v>
      </c>
      <c r="H487" s="5">
        <v>24</v>
      </c>
      <c r="I487" s="10">
        <v>25</v>
      </c>
      <c r="J487" s="11">
        <f t="shared" si="38"/>
        <v>1550</v>
      </c>
      <c r="K487" s="12" t="str">
        <f t="shared" si="35"/>
        <v>Stock_Sufficient</v>
      </c>
      <c r="L487" s="12">
        <f t="shared" si="36"/>
        <v>600</v>
      </c>
      <c r="M487" s="6">
        <v>45412</v>
      </c>
      <c r="N487" s="6">
        <v>45453</v>
      </c>
      <c r="O487" s="6">
        <v>45694</v>
      </c>
      <c r="P487" s="7" t="s">
        <v>1872</v>
      </c>
      <c r="Q487" s="5">
        <v>89</v>
      </c>
      <c r="R487" s="10">
        <f t="shared" si="37"/>
        <v>2225</v>
      </c>
      <c r="S487" s="5">
        <v>100</v>
      </c>
      <c r="T487" s="5" t="s">
        <v>39</v>
      </c>
      <c r="U487" s="11">
        <f t="shared" si="39"/>
        <v>675</v>
      </c>
    </row>
    <row r="488" spans="1:21" ht="16" x14ac:dyDescent="0.4">
      <c r="A488" s="2" t="s">
        <v>1873</v>
      </c>
      <c r="B488" s="3" t="s">
        <v>350</v>
      </c>
      <c r="C488" s="28" t="s">
        <v>48</v>
      </c>
      <c r="D488" s="2" t="s">
        <v>1874</v>
      </c>
      <c r="E488" s="4" t="s">
        <v>280</v>
      </c>
      <c r="F488" s="5">
        <v>79</v>
      </c>
      <c r="G488" s="5">
        <v>72</v>
      </c>
      <c r="H488" s="5">
        <v>6</v>
      </c>
      <c r="I488" s="10">
        <v>4</v>
      </c>
      <c r="J488" s="11">
        <f t="shared" si="38"/>
        <v>316</v>
      </c>
      <c r="K488" s="12" t="str">
        <f t="shared" si="35"/>
        <v>Stock_Sufficient</v>
      </c>
      <c r="L488" s="12">
        <f t="shared" si="36"/>
        <v>24</v>
      </c>
      <c r="M488" s="6">
        <v>45484</v>
      </c>
      <c r="N488" s="6">
        <v>45418</v>
      </c>
      <c r="O488" s="6">
        <v>45413</v>
      </c>
      <c r="P488" s="7" t="s">
        <v>1875</v>
      </c>
      <c r="Q488" s="5">
        <v>67</v>
      </c>
      <c r="R488" s="10">
        <f t="shared" si="37"/>
        <v>268</v>
      </c>
      <c r="S488" s="5">
        <v>63</v>
      </c>
      <c r="T488" s="5" t="s">
        <v>45</v>
      </c>
      <c r="U488" s="11">
        <f t="shared" si="39"/>
        <v>-48</v>
      </c>
    </row>
    <row r="489" spans="1:21" ht="16" x14ac:dyDescent="0.4">
      <c r="A489" s="2" t="s">
        <v>1876</v>
      </c>
      <c r="B489" s="3" t="s">
        <v>555</v>
      </c>
      <c r="C489" s="28" t="s">
        <v>48</v>
      </c>
      <c r="D489" s="2" t="s">
        <v>1877</v>
      </c>
      <c r="E489" s="4" t="s">
        <v>1444</v>
      </c>
      <c r="F489" s="5">
        <v>73</v>
      </c>
      <c r="G489" s="5">
        <v>90</v>
      </c>
      <c r="H489" s="5">
        <v>77</v>
      </c>
      <c r="I489" s="10">
        <v>4</v>
      </c>
      <c r="J489" s="11">
        <f t="shared" si="38"/>
        <v>292</v>
      </c>
      <c r="K489" s="12" t="str">
        <f t="shared" si="35"/>
        <v>Low Stock_Reorder Needed</v>
      </c>
      <c r="L489" s="12">
        <f t="shared" si="36"/>
        <v>308</v>
      </c>
      <c r="M489" s="6">
        <v>45348</v>
      </c>
      <c r="N489" s="6">
        <v>45519</v>
      </c>
      <c r="O489" s="6">
        <v>45357</v>
      </c>
      <c r="P489" s="7" t="s">
        <v>1878</v>
      </c>
      <c r="Q489" s="5">
        <v>75</v>
      </c>
      <c r="R489" s="10">
        <f t="shared" si="37"/>
        <v>300</v>
      </c>
      <c r="S489" s="5">
        <v>19</v>
      </c>
      <c r="T489" s="5" t="s">
        <v>39</v>
      </c>
      <c r="U489" s="11">
        <f t="shared" si="39"/>
        <v>8</v>
      </c>
    </row>
    <row r="490" spans="1:21" ht="16" x14ac:dyDescent="0.4">
      <c r="A490" s="2" t="s">
        <v>1879</v>
      </c>
      <c r="B490" s="3" t="s">
        <v>312</v>
      </c>
      <c r="C490" s="28" t="s">
        <v>48</v>
      </c>
      <c r="D490" s="2" t="s">
        <v>1880</v>
      </c>
      <c r="E490" s="4" t="s">
        <v>762</v>
      </c>
      <c r="F490" s="5">
        <v>18</v>
      </c>
      <c r="G490" s="5">
        <v>50</v>
      </c>
      <c r="H490" s="5">
        <v>77</v>
      </c>
      <c r="I490" s="10">
        <v>1.45</v>
      </c>
      <c r="J490" s="11">
        <f t="shared" si="38"/>
        <v>26.099999999999998</v>
      </c>
      <c r="K490" s="12" t="str">
        <f t="shared" si="35"/>
        <v>Low Stock_Reorder Needed</v>
      </c>
      <c r="L490" s="12">
        <f t="shared" si="36"/>
        <v>111.64999999999999</v>
      </c>
      <c r="M490" s="6">
        <v>45599</v>
      </c>
      <c r="N490" s="6">
        <v>45534</v>
      </c>
      <c r="O490" s="6">
        <v>45707</v>
      </c>
      <c r="P490" s="7" t="s">
        <v>1881</v>
      </c>
      <c r="Q490" s="5">
        <v>44</v>
      </c>
      <c r="R490" s="10">
        <f t="shared" si="37"/>
        <v>63.8</v>
      </c>
      <c r="S490" s="5">
        <v>19</v>
      </c>
      <c r="T490" s="5" t="s">
        <v>45</v>
      </c>
      <c r="U490" s="11">
        <f t="shared" si="39"/>
        <v>37.700000000000003</v>
      </c>
    </row>
    <row r="491" spans="1:21" ht="16" x14ac:dyDescent="0.4">
      <c r="A491" s="2" t="s">
        <v>1882</v>
      </c>
      <c r="B491" s="3" t="s">
        <v>1003</v>
      </c>
      <c r="C491" s="28" t="s">
        <v>48</v>
      </c>
      <c r="D491" s="2" t="s">
        <v>1883</v>
      </c>
      <c r="E491" s="4" t="s">
        <v>569</v>
      </c>
      <c r="F491" s="5">
        <v>79</v>
      </c>
      <c r="G491" s="5">
        <v>74</v>
      </c>
      <c r="H491" s="5">
        <v>87</v>
      </c>
      <c r="I491" s="10">
        <v>4</v>
      </c>
      <c r="J491" s="11">
        <f t="shared" si="38"/>
        <v>316</v>
      </c>
      <c r="K491" s="12" t="str">
        <f t="shared" si="35"/>
        <v>Stock_Sufficient</v>
      </c>
      <c r="L491" s="12">
        <f t="shared" si="36"/>
        <v>348</v>
      </c>
      <c r="M491" s="6">
        <v>45511</v>
      </c>
      <c r="N491" s="6">
        <v>45391</v>
      </c>
      <c r="O491" s="6">
        <v>45583</v>
      </c>
      <c r="P491" s="7" t="s">
        <v>1884</v>
      </c>
      <c r="Q491" s="5">
        <v>80</v>
      </c>
      <c r="R491" s="10">
        <f t="shared" si="37"/>
        <v>320</v>
      </c>
      <c r="S491" s="5">
        <v>26</v>
      </c>
      <c r="T491" s="5" t="s">
        <v>39</v>
      </c>
      <c r="U491" s="11">
        <f t="shared" si="39"/>
        <v>4</v>
      </c>
    </row>
    <row r="492" spans="1:21" ht="16" x14ac:dyDescent="0.4">
      <c r="A492" s="2" t="s">
        <v>1885</v>
      </c>
      <c r="B492" s="3" t="s">
        <v>29</v>
      </c>
      <c r="C492" s="28" t="s">
        <v>30</v>
      </c>
      <c r="D492" s="2" t="s">
        <v>1886</v>
      </c>
      <c r="E492" s="4" t="s">
        <v>250</v>
      </c>
      <c r="F492" s="5">
        <v>23</v>
      </c>
      <c r="G492" s="5">
        <v>13</v>
      </c>
      <c r="H492" s="5">
        <v>15</v>
      </c>
      <c r="I492" s="10">
        <v>20</v>
      </c>
      <c r="J492" s="11">
        <f t="shared" si="38"/>
        <v>460</v>
      </c>
      <c r="K492" s="12" t="str">
        <f t="shared" si="35"/>
        <v>Stock_Sufficient</v>
      </c>
      <c r="L492" s="12">
        <f t="shared" si="36"/>
        <v>300</v>
      </c>
      <c r="M492" s="6">
        <v>45378</v>
      </c>
      <c r="N492" s="6">
        <v>45433</v>
      </c>
      <c r="O492" s="6">
        <v>45617</v>
      </c>
      <c r="P492" s="7" t="s">
        <v>1887</v>
      </c>
      <c r="Q492" s="5">
        <v>31</v>
      </c>
      <c r="R492" s="10">
        <f t="shared" si="37"/>
        <v>620</v>
      </c>
      <c r="S492" s="5">
        <v>28</v>
      </c>
      <c r="T492" s="5" t="s">
        <v>39</v>
      </c>
      <c r="U492" s="11">
        <f t="shared" si="39"/>
        <v>160</v>
      </c>
    </row>
    <row r="493" spans="1:21" ht="16" x14ac:dyDescent="0.4">
      <c r="A493" s="2" t="s">
        <v>1888</v>
      </c>
      <c r="B493" s="3" t="s">
        <v>1100</v>
      </c>
      <c r="C493" s="28" t="s">
        <v>65</v>
      </c>
      <c r="D493" s="2" t="s">
        <v>1889</v>
      </c>
      <c r="E493" s="4" t="s">
        <v>1890</v>
      </c>
      <c r="F493" s="5">
        <v>18</v>
      </c>
      <c r="G493" s="5">
        <v>64</v>
      </c>
      <c r="H493" s="5">
        <v>86</v>
      </c>
      <c r="I493" s="10">
        <v>1</v>
      </c>
      <c r="J493" s="11">
        <f t="shared" si="38"/>
        <v>18</v>
      </c>
      <c r="K493" s="12" t="str">
        <f t="shared" si="35"/>
        <v>Low Stock_Reorder Needed</v>
      </c>
      <c r="L493" s="12">
        <f t="shared" si="36"/>
        <v>86</v>
      </c>
      <c r="M493" s="6">
        <v>45548</v>
      </c>
      <c r="N493" s="6">
        <v>45452</v>
      </c>
      <c r="O493" s="6">
        <v>45605</v>
      </c>
      <c r="P493" s="7" t="s">
        <v>1891</v>
      </c>
      <c r="Q493" s="5">
        <v>73</v>
      </c>
      <c r="R493" s="10">
        <f t="shared" si="37"/>
        <v>73</v>
      </c>
      <c r="S493" s="5">
        <v>38</v>
      </c>
      <c r="T493" s="5" t="s">
        <v>45</v>
      </c>
      <c r="U493" s="11">
        <f t="shared" si="39"/>
        <v>55</v>
      </c>
    </row>
    <row r="494" spans="1:21" ht="16" x14ac:dyDescent="0.4">
      <c r="A494" s="2" t="s">
        <v>1892</v>
      </c>
      <c r="B494" s="3" t="s">
        <v>865</v>
      </c>
      <c r="C494" s="28" t="s">
        <v>59</v>
      </c>
      <c r="D494" s="2" t="s">
        <v>1893</v>
      </c>
      <c r="E494" s="4" t="s">
        <v>778</v>
      </c>
      <c r="F494" s="5">
        <v>24</v>
      </c>
      <c r="G494" s="5">
        <v>35</v>
      </c>
      <c r="H494" s="5">
        <v>14</v>
      </c>
      <c r="I494" s="10">
        <v>2.5</v>
      </c>
      <c r="J494" s="11">
        <f t="shared" si="38"/>
        <v>60</v>
      </c>
      <c r="K494" s="12" t="str">
        <f t="shared" si="35"/>
        <v>Low Stock_Reorder Needed</v>
      </c>
      <c r="L494" s="12">
        <f t="shared" si="36"/>
        <v>35</v>
      </c>
      <c r="M494" s="6">
        <v>45416</v>
      </c>
      <c r="N494" s="6">
        <v>45467</v>
      </c>
      <c r="O494" s="6">
        <v>45627</v>
      </c>
      <c r="P494" s="7" t="s">
        <v>1894</v>
      </c>
      <c r="Q494" s="5">
        <v>91</v>
      </c>
      <c r="R494" s="10">
        <f t="shared" si="37"/>
        <v>227.5</v>
      </c>
      <c r="S494" s="5">
        <v>71</v>
      </c>
      <c r="T494" s="5" t="s">
        <v>39</v>
      </c>
      <c r="U494" s="11">
        <f t="shared" si="39"/>
        <v>167.5</v>
      </c>
    </row>
    <row r="495" spans="1:21" ht="16" x14ac:dyDescent="0.4">
      <c r="A495" s="2" t="s">
        <v>1895</v>
      </c>
      <c r="B495" s="3" t="s">
        <v>781</v>
      </c>
      <c r="C495" s="28" t="s">
        <v>48</v>
      </c>
      <c r="D495" s="2" t="s">
        <v>1896</v>
      </c>
      <c r="E495" s="4" t="s">
        <v>610</v>
      </c>
      <c r="F495" s="5">
        <v>53</v>
      </c>
      <c r="G495" s="5">
        <v>41</v>
      </c>
      <c r="H495" s="5">
        <v>30</v>
      </c>
      <c r="I495" s="10">
        <v>3</v>
      </c>
      <c r="J495" s="11">
        <f t="shared" si="38"/>
        <v>159</v>
      </c>
      <c r="K495" s="12" t="str">
        <f t="shared" si="35"/>
        <v>Stock_Sufficient</v>
      </c>
      <c r="L495" s="12">
        <f t="shared" si="36"/>
        <v>90</v>
      </c>
      <c r="M495" s="6">
        <v>45367</v>
      </c>
      <c r="N495" s="6">
        <v>45670</v>
      </c>
      <c r="O495" s="6">
        <v>45554</v>
      </c>
      <c r="P495" s="7" t="s">
        <v>1897</v>
      </c>
      <c r="Q495" s="5">
        <v>24</v>
      </c>
      <c r="R495" s="10">
        <f t="shared" si="37"/>
        <v>72</v>
      </c>
      <c r="S495" s="5">
        <v>77</v>
      </c>
      <c r="T495" s="5" t="s">
        <v>27</v>
      </c>
      <c r="U495" s="11">
        <f t="shared" si="39"/>
        <v>-87</v>
      </c>
    </row>
    <row r="496" spans="1:21" ht="16" x14ac:dyDescent="0.4">
      <c r="A496" s="2" t="s">
        <v>1898</v>
      </c>
      <c r="B496" s="3" t="s">
        <v>1219</v>
      </c>
      <c r="C496" s="28" t="s">
        <v>65</v>
      </c>
      <c r="D496" s="2" t="s">
        <v>1899</v>
      </c>
      <c r="E496" s="4" t="s">
        <v>429</v>
      </c>
      <c r="F496" s="5">
        <v>85</v>
      </c>
      <c r="G496" s="5">
        <v>83</v>
      </c>
      <c r="H496" s="5">
        <v>13</v>
      </c>
      <c r="I496" s="10">
        <v>1.75</v>
      </c>
      <c r="J496" s="11">
        <f t="shared" si="38"/>
        <v>148.75</v>
      </c>
      <c r="K496" s="12" t="str">
        <f t="shared" si="35"/>
        <v>Stock_Sufficient</v>
      </c>
      <c r="L496" s="12">
        <f t="shared" si="36"/>
        <v>22.75</v>
      </c>
      <c r="M496" s="6">
        <v>45387</v>
      </c>
      <c r="N496" s="6">
        <v>45368</v>
      </c>
      <c r="O496" s="6">
        <v>45690</v>
      </c>
      <c r="P496" s="7" t="s">
        <v>1900</v>
      </c>
      <c r="Q496" s="5">
        <v>49</v>
      </c>
      <c r="R496" s="10">
        <f t="shared" si="37"/>
        <v>85.75</v>
      </c>
      <c r="S496" s="5">
        <v>75</v>
      </c>
      <c r="T496" s="5" t="s">
        <v>39</v>
      </c>
      <c r="U496" s="11">
        <f t="shared" si="39"/>
        <v>-63</v>
      </c>
    </row>
    <row r="497" spans="1:21" ht="16" x14ac:dyDescent="0.4">
      <c r="A497" s="2" t="s">
        <v>1901</v>
      </c>
      <c r="B497" s="3" t="s">
        <v>738</v>
      </c>
      <c r="C497" s="28" t="s">
        <v>59</v>
      </c>
      <c r="D497" s="2" t="s">
        <v>1902</v>
      </c>
      <c r="E497" s="4" t="s">
        <v>1221</v>
      </c>
      <c r="F497" s="5">
        <v>15</v>
      </c>
      <c r="G497" s="5">
        <v>34</v>
      </c>
      <c r="H497" s="5">
        <v>57</v>
      </c>
      <c r="I497" s="10">
        <v>6.5</v>
      </c>
      <c r="J497" s="11">
        <f t="shared" si="38"/>
        <v>97.5</v>
      </c>
      <c r="K497" s="12" t="str">
        <f t="shared" si="35"/>
        <v>Low Stock_Reorder Needed</v>
      </c>
      <c r="L497" s="12">
        <f t="shared" si="36"/>
        <v>370.5</v>
      </c>
      <c r="M497" s="6">
        <v>45526</v>
      </c>
      <c r="N497" s="6">
        <v>45669</v>
      </c>
      <c r="O497" s="6">
        <v>45673</v>
      </c>
      <c r="P497" s="7" t="s">
        <v>1903</v>
      </c>
      <c r="Q497" s="5">
        <v>49</v>
      </c>
      <c r="R497" s="10">
        <f t="shared" si="37"/>
        <v>318.5</v>
      </c>
      <c r="S497" s="5">
        <v>96</v>
      </c>
      <c r="T497" s="5" t="s">
        <v>27</v>
      </c>
      <c r="U497" s="11">
        <f t="shared" si="39"/>
        <v>221</v>
      </c>
    </row>
    <row r="498" spans="1:21" ht="16" x14ac:dyDescent="0.4">
      <c r="A498" s="2" t="s">
        <v>1904</v>
      </c>
      <c r="B498" s="3" t="s">
        <v>801</v>
      </c>
      <c r="C498" s="28" t="s">
        <v>133</v>
      </c>
      <c r="D498" s="2" t="s">
        <v>1905</v>
      </c>
      <c r="E498" s="4" t="s">
        <v>908</v>
      </c>
      <c r="F498" s="5">
        <v>66</v>
      </c>
      <c r="G498" s="5">
        <v>49</v>
      </c>
      <c r="H498" s="5">
        <v>41</v>
      </c>
      <c r="I498" s="10">
        <v>10</v>
      </c>
      <c r="J498" s="11">
        <f t="shared" si="38"/>
        <v>660</v>
      </c>
      <c r="K498" s="12" t="str">
        <f t="shared" si="35"/>
        <v>Stock_Sufficient</v>
      </c>
      <c r="L498" s="12">
        <f t="shared" si="36"/>
        <v>410</v>
      </c>
      <c r="M498" s="6">
        <v>45470</v>
      </c>
      <c r="N498" s="6">
        <v>45573</v>
      </c>
      <c r="O498" s="6">
        <v>45499</v>
      </c>
      <c r="P498" s="7" t="s">
        <v>1906</v>
      </c>
      <c r="Q498" s="5">
        <v>27</v>
      </c>
      <c r="R498" s="10">
        <f t="shared" si="37"/>
        <v>270</v>
      </c>
      <c r="S498" s="5">
        <v>37</v>
      </c>
      <c r="T498" s="5" t="s">
        <v>27</v>
      </c>
      <c r="U498" s="11">
        <f t="shared" si="39"/>
        <v>-390</v>
      </c>
    </row>
    <row r="499" spans="1:21" ht="16" x14ac:dyDescent="0.4">
      <c r="A499" s="2" t="s">
        <v>1907</v>
      </c>
      <c r="B499" s="3" t="s">
        <v>58</v>
      </c>
      <c r="C499" s="28" t="s">
        <v>59</v>
      </c>
      <c r="D499" s="2" t="s">
        <v>1908</v>
      </c>
      <c r="E499" s="4" t="s">
        <v>1790</v>
      </c>
      <c r="F499" s="5">
        <v>17</v>
      </c>
      <c r="G499" s="5">
        <v>63</v>
      </c>
      <c r="H499" s="5">
        <v>66</v>
      </c>
      <c r="I499" s="10">
        <v>2.5</v>
      </c>
      <c r="J499" s="11">
        <f t="shared" si="38"/>
        <v>42.5</v>
      </c>
      <c r="K499" s="12" t="str">
        <f t="shared" si="35"/>
        <v>Low Stock_Reorder Needed</v>
      </c>
      <c r="L499" s="12">
        <f t="shared" si="36"/>
        <v>165</v>
      </c>
      <c r="M499" s="6">
        <v>45682</v>
      </c>
      <c r="N499" s="6">
        <v>45681</v>
      </c>
      <c r="O499" s="6">
        <v>45617</v>
      </c>
      <c r="P499" s="7" t="s">
        <v>1909</v>
      </c>
      <c r="Q499" s="5">
        <v>23</v>
      </c>
      <c r="R499" s="10">
        <f t="shared" si="37"/>
        <v>57.5</v>
      </c>
      <c r="S499" s="5">
        <v>46</v>
      </c>
      <c r="T499" s="5" t="s">
        <v>39</v>
      </c>
      <c r="U499" s="11">
        <f t="shared" si="39"/>
        <v>15</v>
      </c>
    </row>
    <row r="500" spans="1:21" ht="16" x14ac:dyDescent="0.4">
      <c r="A500" s="2" t="s">
        <v>1910</v>
      </c>
      <c r="B500" s="3" t="s">
        <v>1126</v>
      </c>
      <c r="C500" s="28" t="s">
        <v>48</v>
      </c>
      <c r="D500" s="2" t="s">
        <v>1911</v>
      </c>
      <c r="E500" s="4" t="s">
        <v>977</v>
      </c>
      <c r="F500" s="5">
        <v>13</v>
      </c>
      <c r="G500" s="5">
        <v>61</v>
      </c>
      <c r="H500" s="5">
        <v>77</v>
      </c>
      <c r="I500" s="10">
        <v>5.5</v>
      </c>
      <c r="J500" s="11">
        <f t="shared" si="38"/>
        <v>71.5</v>
      </c>
      <c r="K500" s="12" t="str">
        <f t="shared" si="35"/>
        <v>Low Stock_Reorder Needed</v>
      </c>
      <c r="L500" s="12">
        <f t="shared" si="36"/>
        <v>423.5</v>
      </c>
      <c r="M500" s="6">
        <v>45495</v>
      </c>
      <c r="N500" s="6">
        <v>45709</v>
      </c>
      <c r="O500" s="6">
        <v>45686</v>
      </c>
      <c r="P500" s="7" t="s">
        <v>1912</v>
      </c>
      <c r="Q500" s="5">
        <v>42</v>
      </c>
      <c r="R500" s="10">
        <f t="shared" si="37"/>
        <v>231</v>
      </c>
      <c r="S500" s="5">
        <v>18</v>
      </c>
      <c r="T500" s="5" t="s">
        <v>39</v>
      </c>
      <c r="U500" s="11">
        <f t="shared" si="39"/>
        <v>159.5</v>
      </c>
    </row>
    <row r="501" spans="1:21" ht="16" x14ac:dyDescent="0.4">
      <c r="A501" s="2" t="s">
        <v>1913</v>
      </c>
      <c r="B501" s="3" t="s">
        <v>984</v>
      </c>
      <c r="C501" s="28" t="s">
        <v>90</v>
      </c>
      <c r="D501" s="2" t="s">
        <v>1914</v>
      </c>
      <c r="E501" s="4" t="s">
        <v>1025</v>
      </c>
      <c r="F501" s="5">
        <v>34</v>
      </c>
      <c r="G501" s="5">
        <v>49</v>
      </c>
      <c r="H501" s="5">
        <v>27</v>
      </c>
      <c r="I501" s="10">
        <v>4</v>
      </c>
      <c r="J501" s="11">
        <f t="shared" si="38"/>
        <v>136</v>
      </c>
      <c r="K501" s="12" t="str">
        <f t="shared" si="35"/>
        <v>Low Stock_Reorder Needed</v>
      </c>
      <c r="L501" s="12">
        <f t="shared" si="36"/>
        <v>108</v>
      </c>
      <c r="M501" s="6">
        <v>45360</v>
      </c>
      <c r="N501" s="6">
        <v>45620</v>
      </c>
      <c r="O501" s="6">
        <v>45701</v>
      </c>
      <c r="P501" s="7" t="s">
        <v>1915</v>
      </c>
      <c r="Q501" s="5">
        <v>78</v>
      </c>
      <c r="R501" s="10">
        <f t="shared" si="37"/>
        <v>312</v>
      </c>
      <c r="S501" s="5">
        <v>20</v>
      </c>
      <c r="T501" s="5" t="s">
        <v>27</v>
      </c>
      <c r="U501" s="11">
        <f t="shared" si="39"/>
        <v>176</v>
      </c>
    </row>
    <row r="502" spans="1:21" ht="16" x14ac:dyDescent="0.4">
      <c r="A502" s="2" t="s">
        <v>1916</v>
      </c>
      <c r="B502" s="3" t="s">
        <v>114</v>
      </c>
      <c r="C502" s="28" t="s">
        <v>65</v>
      </c>
      <c r="D502" s="2" t="s">
        <v>1917</v>
      </c>
      <c r="E502" s="4" t="s">
        <v>1918</v>
      </c>
      <c r="F502" s="5">
        <v>85</v>
      </c>
      <c r="G502" s="5">
        <v>89</v>
      </c>
      <c r="H502" s="5">
        <v>41</v>
      </c>
      <c r="I502" s="10">
        <v>8</v>
      </c>
      <c r="J502" s="11">
        <f t="shared" si="38"/>
        <v>680</v>
      </c>
      <c r="K502" s="12" t="str">
        <f t="shared" si="35"/>
        <v>Low Stock_Reorder Needed</v>
      </c>
      <c r="L502" s="12">
        <f t="shared" si="36"/>
        <v>328</v>
      </c>
      <c r="M502" s="6">
        <v>45404</v>
      </c>
      <c r="N502" s="6">
        <v>45389</v>
      </c>
      <c r="O502" s="6">
        <v>45703</v>
      </c>
      <c r="P502" s="7" t="s">
        <v>1919</v>
      </c>
      <c r="Q502" s="5">
        <v>68</v>
      </c>
      <c r="R502" s="10">
        <f t="shared" si="37"/>
        <v>544</v>
      </c>
      <c r="S502" s="5">
        <v>93</v>
      </c>
      <c r="T502" s="5" t="s">
        <v>27</v>
      </c>
      <c r="U502" s="11">
        <f t="shared" si="39"/>
        <v>-136</v>
      </c>
    </row>
    <row r="503" spans="1:21" ht="16" x14ac:dyDescent="0.4">
      <c r="A503" s="2" t="s">
        <v>1920</v>
      </c>
      <c r="B503" s="3" t="s">
        <v>143</v>
      </c>
      <c r="C503" s="28" t="s">
        <v>48</v>
      </c>
      <c r="D503" s="2" t="s">
        <v>1921</v>
      </c>
      <c r="E503" s="4" t="s">
        <v>766</v>
      </c>
      <c r="F503" s="5">
        <v>12</v>
      </c>
      <c r="G503" s="5">
        <v>95</v>
      </c>
      <c r="H503" s="5">
        <v>49</v>
      </c>
      <c r="I503" s="10">
        <v>1</v>
      </c>
      <c r="J503" s="11">
        <f t="shared" si="38"/>
        <v>12</v>
      </c>
      <c r="K503" s="12" t="str">
        <f t="shared" si="35"/>
        <v>Low Stock_Reorder Needed</v>
      </c>
      <c r="L503" s="12">
        <f t="shared" si="36"/>
        <v>49</v>
      </c>
      <c r="M503" s="6">
        <v>45452</v>
      </c>
      <c r="N503" s="6">
        <v>45456</v>
      </c>
      <c r="O503" s="6">
        <v>45606</v>
      </c>
      <c r="P503" s="7" t="s">
        <v>1922</v>
      </c>
      <c r="Q503" s="5">
        <v>25</v>
      </c>
      <c r="R503" s="10">
        <f t="shared" si="37"/>
        <v>25</v>
      </c>
      <c r="S503" s="5">
        <v>23</v>
      </c>
      <c r="T503" s="5" t="s">
        <v>39</v>
      </c>
      <c r="U503" s="11">
        <f t="shared" si="39"/>
        <v>13</v>
      </c>
    </row>
    <row r="504" spans="1:21" ht="16" x14ac:dyDescent="0.4">
      <c r="A504" s="2" t="s">
        <v>1923</v>
      </c>
      <c r="B504" s="3" t="s">
        <v>168</v>
      </c>
      <c r="C504" s="28" t="s">
        <v>90</v>
      </c>
      <c r="D504" s="2" t="s">
        <v>1924</v>
      </c>
      <c r="E504" s="4" t="s">
        <v>1029</v>
      </c>
      <c r="F504" s="5">
        <v>82</v>
      </c>
      <c r="G504" s="5">
        <v>6</v>
      </c>
      <c r="H504" s="5">
        <v>53</v>
      </c>
      <c r="I504" s="10">
        <v>5</v>
      </c>
      <c r="J504" s="11">
        <f t="shared" si="38"/>
        <v>410</v>
      </c>
      <c r="K504" s="12" t="str">
        <f t="shared" si="35"/>
        <v>Stock_Sufficient</v>
      </c>
      <c r="L504" s="12">
        <f t="shared" si="36"/>
        <v>265</v>
      </c>
      <c r="M504" s="6">
        <v>45603</v>
      </c>
      <c r="N504" s="6">
        <v>45411</v>
      </c>
      <c r="O504" s="6">
        <v>45421</v>
      </c>
      <c r="P504" s="7" t="s">
        <v>1925</v>
      </c>
      <c r="Q504" s="5">
        <v>21</v>
      </c>
      <c r="R504" s="10">
        <f t="shared" si="37"/>
        <v>105</v>
      </c>
      <c r="S504" s="5">
        <v>58</v>
      </c>
      <c r="T504" s="5" t="s">
        <v>45</v>
      </c>
      <c r="U504" s="11">
        <f t="shared" si="39"/>
        <v>-305</v>
      </c>
    </row>
    <row r="505" spans="1:21" ht="16" x14ac:dyDescent="0.4">
      <c r="A505" s="2" t="s">
        <v>1926</v>
      </c>
      <c r="B505" s="3" t="s">
        <v>266</v>
      </c>
      <c r="C505" s="28" t="s">
        <v>90</v>
      </c>
      <c r="D505" s="2" t="s">
        <v>1927</v>
      </c>
      <c r="E505" s="4" t="s">
        <v>1928</v>
      </c>
      <c r="F505" s="5">
        <v>71</v>
      </c>
      <c r="G505" s="5">
        <v>97</v>
      </c>
      <c r="H505" s="5">
        <v>44</v>
      </c>
      <c r="I505" s="10">
        <v>4</v>
      </c>
      <c r="J505" s="11">
        <f t="shared" si="38"/>
        <v>284</v>
      </c>
      <c r="K505" s="12" t="str">
        <f t="shared" si="35"/>
        <v>Low Stock_Reorder Needed</v>
      </c>
      <c r="L505" s="12">
        <f t="shared" si="36"/>
        <v>176</v>
      </c>
      <c r="M505" s="6">
        <v>45623</v>
      </c>
      <c r="N505" s="6">
        <v>45348</v>
      </c>
      <c r="O505" s="6">
        <v>45480</v>
      </c>
      <c r="P505" s="7" t="s">
        <v>1929</v>
      </c>
      <c r="Q505" s="5">
        <v>58</v>
      </c>
      <c r="R505" s="10">
        <f t="shared" si="37"/>
        <v>232</v>
      </c>
      <c r="S505" s="5">
        <v>14</v>
      </c>
      <c r="T505" s="5" t="s">
        <v>27</v>
      </c>
      <c r="U505" s="11">
        <f t="shared" si="39"/>
        <v>-52</v>
      </c>
    </row>
    <row r="506" spans="1:21" ht="16" x14ac:dyDescent="0.4">
      <c r="A506" s="2" t="s">
        <v>1930</v>
      </c>
      <c r="B506" s="3" t="s">
        <v>345</v>
      </c>
      <c r="C506" s="28" t="s">
        <v>65</v>
      </c>
      <c r="D506" s="2" t="s">
        <v>1931</v>
      </c>
      <c r="E506" s="4" t="s">
        <v>309</v>
      </c>
      <c r="F506" s="5">
        <v>58</v>
      </c>
      <c r="G506" s="5">
        <v>17</v>
      </c>
      <c r="H506" s="5">
        <v>26</v>
      </c>
      <c r="I506" s="10">
        <v>7</v>
      </c>
      <c r="J506" s="11">
        <f t="shared" si="38"/>
        <v>406</v>
      </c>
      <c r="K506" s="12" t="str">
        <f t="shared" si="35"/>
        <v>Stock_Sufficient</v>
      </c>
      <c r="L506" s="12">
        <f t="shared" si="36"/>
        <v>182</v>
      </c>
      <c r="M506" s="6">
        <v>45466</v>
      </c>
      <c r="N506" s="6">
        <v>45480</v>
      </c>
      <c r="O506" s="6">
        <v>45660</v>
      </c>
      <c r="P506" s="7" t="s">
        <v>1932</v>
      </c>
      <c r="Q506" s="5">
        <v>62</v>
      </c>
      <c r="R506" s="10">
        <f t="shared" si="37"/>
        <v>434</v>
      </c>
      <c r="S506" s="5">
        <v>89</v>
      </c>
      <c r="T506" s="5" t="s">
        <v>39</v>
      </c>
      <c r="U506" s="11">
        <f t="shared" si="39"/>
        <v>28</v>
      </c>
    </row>
    <row r="507" spans="1:21" ht="16" x14ac:dyDescent="0.4">
      <c r="A507" s="2" t="s">
        <v>1933</v>
      </c>
      <c r="B507" s="3" t="s">
        <v>473</v>
      </c>
      <c r="C507" s="28" t="s">
        <v>23</v>
      </c>
      <c r="D507" s="2" t="s">
        <v>1934</v>
      </c>
      <c r="E507" s="4" t="s">
        <v>486</v>
      </c>
      <c r="F507" s="5">
        <v>15</v>
      </c>
      <c r="G507" s="5">
        <v>76</v>
      </c>
      <c r="H507" s="5">
        <v>81</v>
      </c>
      <c r="I507" s="10">
        <v>2</v>
      </c>
      <c r="J507" s="11">
        <f t="shared" si="38"/>
        <v>30</v>
      </c>
      <c r="K507" s="12" t="str">
        <f t="shared" si="35"/>
        <v>Low Stock_Reorder Needed</v>
      </c>
      <c r="L507" s="12">
        <f t="shared" si="36"/>
        <v>162</v>
      </c>
      <c r="M507" s="6">
        <v>45612</v>
      </c>
      <c r="N507" s="6">
        <v>45460</v>
      </c>
      <c r="O507" s="6">
        <v>45694</v>
      </c>
      <c r="P507" s="7" t="s">
        <v>1935</v>
      </c>
      <c r="Q507" s="5">
        <v>90</v>
      </c>
      <c r="R507" s="10">
        <f t="shared" si="37"/>
        <v>180</v>
      </c>
      <c r="S507" s="5">
        <v>26</v>
      </c>
      <c r="T507" s="5" t="s">
        <v>39</v>
      </c>
      <c r="U507" s="11">
        <f t="shared" si="39"/>
        <v>150</v>
      </c>
    </row>
    <row r="508" spans="1:21" ht="16" x14ac:dyDescent="0.4">
      <c r="A508" s="2" t="s">
        <v>1936</v>
      </c>
      <c r="B508" s="3" t="s">
        <v>182</v>
      </c>
      <c r="C508" s="28" t="s">
        <v>48</v>
      </c>
      <c r="D508" s="2" t="s">
        <v>1937</v>
      </c>
      <c r="E508" s="4" t="s">
        <v>1116</v>
      </c>
      <c r="F508" s="5">
        <v>68</v>
      </c>
      <c r="G508" s="5">
        <v>25</v>
      </c>
      <c r="H508" s="5">
        <v>16</v>
      </c>
      <c r="I508" s="10">
        <v>3.5</v>
      </c>
      <c r="J508" s="11">
        <f t="shared" si="38"/>
        <v>238</v>
      </c>
      <c r="K508" s="12" t="str">
        <f t="shared" si="35"/>
        <v>Stock_Sufficient</v>
      </c>
      <c r="L508" s="12">
        <f t="shared" si="36"/>
        <v>56</v>
      </c>
      <c r="M508" s="6">
        <v>45386</v>
      </c>
      <c r="N508" s="6">
        <v>45523</v>
      </c>
      <c r="O508" s="6">
        <v>45470</v>
      </c>
      <c r="P508" s="7" t="s">
        <v>1938</v>
      </c>
      <c r="Q508" s="5">
        <v>25</v>
      </c>
      <c r="R508" s="10">
        <f t="shared" si="37"/>
        <v>87.5</v>
      </c>
      <c r="S508" s="5">
        <v>83</v>
      </c>
      <c r="T508" s="5" t="s">
        <v>45</v>
      </c>
      <c r="U508" s="11">
        <f t="shared" si="39"/>
        <v>-150.5</v>
      </c>
    </row>
    <row r="509" spans="1:21" ht="16" x14ac:dyDescent="0.4">
      <c r="A509" s="2" t="s">
        <v>1939</v>
      </c>
      <c r="B509" s="3" t="s">
        <v>84</v>
      </c>
      <c r="C509" s="28" t="s">
        <v>23</v>
      </c>
      <c r="D509" s="2" t="s">
        <v>1940</v>
      </c>
      <c r="E509" s="4" t="s">
        <v>1941</v>
      </c>
      <c r="F509" s="5">
        <v>13</v>
      </c>
      <c r="G509" s="5">
        <v>32</v>
      </c>
      <c r="H509" s="5">
        <v>79</v>
      </c>
      <c r="I509" s="10">
        <v>2</v>
      </c>
      <c r="J509" s="11">
        <f t="shared" si="38"/>
        <v>26</v>
      </c>
      <c r="K509" s="12" t="str">
        <f t="shared" si="35"/>
        <v>Low Stock_Reorder Needed</v>
      </c>
      <c r="L509" s="12">
        <f t="shared" si="36"/>
        <v>158</v>
      </c>
      <c r="M509" s="6">
        <v>45419</v>
      </c>
      <c r="N509" s="6">
        <v>45704</v>
      </c>
      <c r="O509" s="6">
        <v>45576</v>
      </c>
      <c r="P509" s="7" t="s">
        <v>1942</v>
      </c>
      <c r="Q509" s="5">
        <v>38</v>
      </c>
      <c r="R509" s="10">
        <f t="shared" si="37"/>
        <v>76</v>
      </c>
      <c r="S509" s="5">
        <v>61</v>
      </c>
      <c r="T509" s="5" t="s">
        <v>27</v>
      </c>
      <c r="U509" s="11">
        <f t="shared" si="39"/>
        <v>50</v>
      </c>
    </row>
    <row r="510" spans="1:21" ht="16" x14ac:dyDescent="0.4">
      <c r="A510" s="2" t="s">
        <v>1943</v>
      </c>
      <c r="B510" s="3" t="s">
        <v>738</v>
      </c>
      <c r="C510" s="28" t="s">
        <v>59</v>
      </c>
      <c r="D510" s="2" t="s">
        <v>1944</v>
      </c>
      <c r="E510" s="4" t="s">
        <v>1701</v>
      </c>
      <c r="F510" s="5">
        <v>45</v>
      </c>
      <c r="G510" s="5">
        <v>7</v>
      </c>
      <c r="H510" s="5">
        <v>58</v>
      </c>
      <c r="I510" s="10">
        <v>6.5</v>
      </c>
      <c r="J510" s="11">
        <f t="shared" si="38"/>
        <v>292.5</v>
      </c>
      <c r="K510" s="12" t="str">
        <f t="shared" si="35"/>
        <v>Stock_Sufficient</v>
      </c>
      <c r="L510" s="12">
        <f t="shared" si="36"/>
        <v>377</v>
      </c>
      <c r="M510" s="6">
        <v>45537</v>
      </c>
      <c r="N510" s="6">
        <v>45387</v>
      </c>
      <c r="O510" s="6">
        <v>45530</v>
      </c>
      <c r="P510" s="7" t="s">
        <v>1945</v>
      </c>
      <c r="Q510" s="5">
        <v>86</v>
      </c>
      <c r="R510" s="10">
        <f t="shared" si="37"/>
        <v>559</v>
      </c>
      <c r="S510" s="5">
        <v>77</v>
      </c>
      <c r="T510" s="5" t="s">
        <v>27</v>
      </c>
      <c r="U510" s="11">
        <f t="shared" si="39"/>
        <v>266.5</v>
      </c>
    </row>
    <row r="511" spans="1:21" ht="16" x14ac:dyDescent="0.4">
      <c r="A511" s="2" t="s">
        <v>1946</v>
      </c>
      <c r="B511" s="3" t="s">
        <v>64</v>
      </c>
      <c r="C511" s="28" t="s">
        <v>65</v>
      </c>
      <c r="D511" s="2" t="s">
        <v>1947</v>
      </c>
      <c r="E511" s="4" t="s">
        <v>101</v>
      </c>
      <c r="F511" s="5">
        <v>40</v>
      </c>
      <c r="G511" s="5">
        <v>22</v>
      </c>
      <c r="H511" s="5">
        <v>74</v>
      </c>
      <c r="I511" s="10">
        <v>2.4500000000000002</v>
      </c>
      <c r="J511" s="11">
        <f t="shared" si="38"/>
        <v>98</v>
      </c>
      <c r="K511" s="12" t="str">
        <f t="shared" si="35"/>
        <v>Stock_Sufficient</v>
      </c>
      <c r="L511" s="12">
        <f t="shared" si="36"/>
        <v>181.3</v>
      </c>
      <c r="M511" s="6">
        <v>45373</v>
      </c>
      <c r="N511" s="6">
        <v>45558</v>
      </c>
      <c r="O511" s="6">
        <v>45367</v>
      </c>
      <c r="P511" s="7" t="s">
        <v>1948</v>
      </c>
      <c r="Q511" s="5">
        <v>76</v>
      </c>
      <c r="R511" s="10">
        <f t="shared" si="37"/>
        <v>186.20000000000002</v>
      </c>
      <c r="S511" s="5">
        <v>70</v>
      </c>
      <c r="T511" s="5" t="s">
        <v>39</v>
      </c>
      <c r="U511" s="11">
        <f t="shared" si="39"/>
        <v>88.200000000000017</v>
      </c>
    </row>
    <row r="512" spans="1:21" ht="16" x14ac:dyDescent="0.4">
      <c r="A512" s="2" t="s">
        <v>1949</v>
      </c>
      <c r="B512" s="3" t="s">
        <v>235</v>
      </c>
      <c r="C512" s="28" t="s">
        <v>30</v>
      </c>
      <c r="D512" s="2" t="s">
        <v>1950</v>
      </c>
      <c r="E512" s="4" t="s">
        <v>1951</v>
      </c>
      <c r="F512" s="5">
        <v>62</v>
      </c>
      <c r="G512" s="5">
        <v>23</v>
      </c>
      <c r="H512" s="5">
        <v>25</v>
      </c>
      <c r="I512" s="10">
        <v>15.5</v>
      </c>
      <c r="J512" s="11">
        <f t="shared" si="38"/>
        <v>961</v>
      </c>
      <c r="K512" s="12" t="str">
        <f t="shared" si="35"/>
        <v>Stock_Sufficient</v>
      </c>
      <c r="L512" s="12">
        <f t="shared" si="36"/>
        <v>387.5</v>
      </c>
      <c r="M512" s="6">
        <v>45496</v>
      </c>
      <c r="N512" s="6">
        <v>45411</v>
      </c>
      <c r="O512" s="6">
        <v>45359</v>
      </c>
      <c r="P512" s="7" t="s">
        <v>1952</v>
      </c>
      <c r="Q512" s="5">
        <v>34</v>
      </c>
      <c r="R512" s="10">
        <f t="shared" si="37"/>
        <v>527</v>
      </c>
      <c r="S512" s="5">
        <v>68</v>
      </c>
      <c r="T512" s="5" t="s">
        <v>27</v>
      </c>
      <c r="U512" s="11">
        <f t="shared" si="39"/>
        <v>-434</v>
      </c>
    </row>
    <row r="513" spans="1:21" ht="16" x14ac:dyDescent="0.4">
      <c r="A513" s="2" t="s">
        <v>1953</v>
      </c>
      <c r="B513" s="3" t="s">
        <v>436</v>
      </c>
      <c r="C513" s="28" t="s">
        <v>59</v>
      </c>
      <c r="D513" s="2" t="s">
        <v>1954</v>
      </c>
      <c r="E513" s="4" t="s">
        <v>1955</v>
      </c>
      <c r="F513" s="5">
        <v>79</v>
      </c>
      <c r="G513" s="5">
        <v>3</v>
      </c>
      <c r="H513" s="5">
        <v>36</v>
      </c>
      <c r="I513" s="10">
        <v>4</v>
      </c>
      <c r="J513" s="11">
        <f t="shared" si="38"/>
        <v>316</v>
      </c>
      <c r="K513" s="12" t="str">
        <f t="shared" si="35"/>
        <v>Stock_Sufficient</v>
      </c>
      <c r="L513" s="12">
        <f t="shared" si="36"/>
        <v>144</v>
      </c>
      <c r="M513" s="6">
        <v>45520</v>
      </c>
      <c r="N513" s="6">
        <v>45682</v>
      </c>
      <c r="O513" s="6">
        <v>45534</v>
      </c>
      <c r="P513" s="7" t="s">
        <v>1956</v>
      </c>
      <c r="Q513" s="5">
        <v>46</v>
      </c>
      <c r="R513" s="10">
        <f t="shared" si="37"/>
        <v>184</v>
      </c>
      <c r="S513" s="5">
        <v>29</v>
      </c>
      <c r="T513" s="5" t="s">
        <v>27</v>
      </c>
      <c r="U513" s="11">
        <f t="shared" si="39"/>
        <v>-132</v>
      </c>
    </row>
    <row r="514" spans="1:21" ht="16" x14ac:dyDescent="0.4">
      <c r="A514" s="2" t="s">
        <v>1957</v>
      </c>
      <c r="B514" s="3" t="s">
        <v>403</v>
      </c>
      <c r="C514" s="28" t="s">
        <v>48</v>
      </c>
      <c r="D514" s="2" t="s">
        <v>1958</v>
      </c>
      <c r="E514" s="4" t="s">
        <v>698</v>
      </c>
      <c r="F514" s="5">
        <v>75</v>
      </c>
      <c r="G514" s="5">
        <v>91</v>
      </c>
      <c r="H514" s="5">
        <v>68</v>
      </c>
      <c r="I514" s="10">
        <v>3</v>
      </c>
      <c r="J514" s="11">
        <f t="shared" si="38"/>
        <v>225</v>
      </c>
      <c r="K514" s="12" t="str">
        <f t="shared" ref="K514:K577" si="40">IF(F514&lt;=G514,"Low Stock_Reorder Needed","Stock_Sufficient")</f>
        <v>Low Stock_Reorder Needed</v>
      </c>
      <c r="L514" s="12">
        <f t="shared" ref="L514:L577" si="41">H514*I514</f>
        <v>204</v>
      </c>
      <c r="M514" s="6">
        <v>45596</v>
      </c>
      <c r="N514" s="6">
        <v>45405</v>
      </c>
      <c r="O514" s="6">
        <v>45636</v>
      </c>
      <c r="P514" s="7" t="s">
        <v>1959</v>
      </c>
      <c r="Q514" s="5">
        <v>96</v>
      </c>
      <c r="R514" s="10">
        <f t="shared" ref="R514:R577" si="42">Q514*I514</f>
        <v>288</v>
      </c>
      <c r="S514" s="5">
        <v>73</v>
      </c>
      <c r="T514" s="5" t="s">
        <v>39</v>
      </c>
      <c r="U514" s="11">
        <f t="shared" si="39"/>
        <v>63</v>
      </c>
    </row>
    <row r="515" spans="1:21" ht="16" x14ac:dyDescent="0.4">
      <c r="A515" s="2" t="s">
        <v>1960</v>
      </c>
      <c r="B515" s="3" t="s">
        <v>502</v>
      </c>
      <c r="C515" s="28" t="s">
        <v>23</v>
      </c>
      <c r="D515" s="2" t="s">
        <v>1961</v>
      </c>
      <c r="E515" s="4" t="s">
        <v>1962</v>
      </c>
      <c r="F515" s="5">
        <v>76</v>
      </c>
      <c r="G515" s="5">
        <v>8</v>
      </c>
      <c r="H515" s="5">
        <v>2</v>
      </c>
      <c r="I515" s="10">
        <v>9.5</v>
      </c>
      <c r="J515" s="11">
        <f t="shared" ref="J515:J578" si="43">I515*F515</f>
        <v>722</v>
      </c>
      <c r="K515" s="12" t="str">
        <f t="shared" si="40"/>
        <v>Stock_Sufficient</v>
      </c>
      <c r="L515" s="12">
        <f t="shared" si="41"/>
        <v>19</v>
      </c>
      <c r="M515" s="6">
        <v>45569</v>
      </c>
      <c r="N515" s="6">
        <v>45604</v>
      </c>
      <c r="O515" s="6">
        <v>45440</v>
      </c>
      <c r="P515" s="7" t="s">
        <v>1963</v>
      </c>
      <c r="Q515" s="5">
        <v>24</v>
      </c>
      <c r="R515" s="10">
        <f t="shared" si="42"/>
        <v>228</v>
      </c>
      <c r="S515" s="5">
        <v>53</v>
      </c>
      <c r="T515" s="5" t="s">
        <v>45</v>
      </c>
      <c r="U515" s="11">
        <f t="shared" ref="U515:U578" si="44">R515-J515</f>
        <v>-494</v>
      </c>
    </row>
    <row r="516" spans="1:21" ht="16" x14ac:dyDescent="0.4">
      <c r="A516" s="2" t="s">
        <v>1964</v>
      </c>
      <c r="B516" s="3" t="s">
        <v>600</v>
      </c>
      <c r="C516" s="28" t="s">
        <v>59</v>
      </c>
      <c r="D516" s="2" t="s">
        <v>1965</v>
      </c>
      <c r="E516" s="4" t="s">
        <v>561</v>
      </c>
      <c r="F516" s="5">
        <v>96</v>
      </c>
      <c r="G516" s="5">
        <v>51</v>
      </c>
      <c r="H516" s="5">
        <v>40</v>
      </c>
      <c r="I516" s="10">
        <v>2.2999999999999998</v>
      </c>
      <c r="J516" s="11">
        <f t="shared" si="43"/>
        <v>220.79999999999998</v>
      </c>
      <c r="K516" s="12" t="str">
        <f t="shared" si="40"/>
        <v>Stock_Sufficient</v>
      </c>
      <c r="L516" s="12">
        <f t="shared" si="41"/>
        <v>92</v>
      </c>
      <c r="M516" s="6">
        <v>45367</v>
      </c>
      <c r="N516" s="6">
        <v>45416</v>
      </c>
      <c r="O516" s="6">
        <v>45622</v>
      </c>
      <c r="P516" s="7" t="s">
        <v>1966</v>
      </c>
      <c r="Q516" s="5">
        <v>61</v>
      </c>
      <c r="R516" s="10">
        <f t="shared" si="42"/>
        <v>140.29999999999998</v>
      </c>
      <c r="S516" s="5">
        <v>4</v>
      </c>
      <c r="T516" s="5" t="s">
        <v>27</v>
      </c>
      <c r="U516" s="11">
        <f t="shared" si="44"/>
        <v>-80.5</v>
      </c>
    </row>
    <row r="517" spans="1:21" ht="16" x14ac:dyDescent="0.4">
      <c r="A517" s="2" t="s">
        <v>1967</v>
      </c>
      <c r="B517" s="3" t="s">
        <v>600</v>
      </c>
      <c r="C517" s="28" t="s">
        <v>59</v>
      </c>
      <c r="D517" s="2" t="s">
        <v>1968</v>
      </c>
      <c r="E517" s="4" t="s">
        <v>1969</v>
      </c>
      <c r="F517" s="5">
        <v>69</v>
      </c>
      <c r="G517" s="5">
        <v>17</v>
      </c>
      <c r="H517" s="5">
        <v>27</v>
      </c>
      <c r="I517" s="10">
        <v>2.2999999999999998</v>
      </c>
      <c r="J517" s="11">
        <f t="shared" si="43"/>
        <v>158.69999999999999</v>
      </c>
      <c r="K517" s="12" t="str">
        <f t="shared" si="40"/>
        <v>Stock_Sufficient</v>
      </c>
      <c r="L517" s="12">
        <f t="shared" si="41"/>
        <v>62.099999999999994</v>
      </c>
      <c r="M517" s="6">
        <v>45671</v>
      </c>
      <c r="N517" s="6">
        <v>45461</v>
      </c>
      <c r="O517" s="6">
        <v>45441</v>
      </c>
      <c r="P517" s="7" t="s">
        <v>1970</v>
      </c>
      <c r="Q517" s="5">
        <v>79</v>
      </c>
      <c r="R517" s="10">
        <f t="shared" si="42"/>
        <v>181.7</v>
      </c>
      <c r="S517" s="5">
        <v>75</v>
      </c>
      <c r="T517" s="5" t="s">
        <v>39</v>
      </c>
      <c r="U517" s="11">
        <f t="shared" si="44"/>
        <v>23</v>
      </c>
    </row>
    <row r="518" spans="1:21" ht="16" x14ac:dyDescent="0.4">
      <c r="A518" s="2" t="s">
        <v>1971</v>
      </c>
      <c r="B518" s="3" t="s">
        <v>239</v>
      </c>
      <c r="C518" s="28" t="s">
        <v>65</v>
      </c>
      <c r="D518" s="2" t="s">
        <v>1972</v>
      </c>
      <c r="E518" s="4" t="s">
        <v>807</v>
      </c>
      <c r="F518" s="5">
        <v>48</v>
      </c>
      <c r="G518" s="5">
        <v>71</v>
      </c>
      <c r="H518" s="5">
        <v>86</v>
      </c>
      <c r="I518" s="10">
        <v>3</v>
      </c>
      <c r="J518" s="11">
        <f t="shared" si="43"/>
        <v>144</v>
      </c>
      <c r="K518" s="12" t="str">
        <f t="shared" si="40"/>
        <v>Low Stock_Reorder Needed</v>
      </c>
      <c r="L518" s="12">
        <f t="shared" si="41"/>
        <v>258</v>
      </c>
      <c r="M518" s="6">
        <v>45411</v>
      </c>
      <c r="N518" s="6">
        <v>45475</v>
      </c>
      <c r="O518" s="6">
        <v>45533</v>
      </c>
      <c r="P518" s="7" t="s">
        <v>1973</v>
      </c>
      <c r="Q518" s="5">
        <v>95</v>
      </c>
      <c r="R518" s="10">
        <f t="shared" si="42"/>
        <v>285</v>
      </c>
      <c r="S518" s="5">
        <v>3</v>
      </c>
      <c r="T518" s="5" t="s">
        <v>27</v>
      </c>
      <c r="U518" s="11">
        <f t="shared" si="44"/>
        <v>141</v>
      </c>
    </row>
    <row r="519" spans="1:21" ht="16" x14ac:dyDescent="0.4">
      <c r="A519" s="2" t="s">
        <v>1974</v>
      </c>
      <c r="B519" s="3" t="s">
        <v>408</v>
      </c>
      <c r="C519" s="28" t="s">
        <v>65</v>
      </c>
      <c r="D519" s="2" t="s">
        <v>1975</v>
      </c>
      <c r="E519" s="4" t="s">
        <v>1976</v>
      </c>
      <c r="F519" s="5">
        <v>82</v>
      </c>
      <c r="G519" s="5">
        <v>3</v>
      </c>
      <c r="H519" s="5">
        <v>82</v>
      </c>
      <c r="I519" s="10">
        <v>2.4</v>
      </c>
      <c r="J519" s="11">
        <f t="shared" si="43"/>
        <v>196.79999999999998</v>
      </c>
      <c r="K519" s="12" t="str">
        <f t="shared" si="40"/>
        <v>Stock_Sufficient</v>
      </c>
      <c r="L519" s="12">
        <f t="shared" si="41"/>
        <v>196.79999999999998</v>
      </c>
      <c r="M519" s="6">
        <v>45568</v>
      </c>
      <c r="N519" s="6">
        <v>45636</v>
      </c>
      <c r="O519" s="6">
        <v>45530</v>
      </c>
      <c r="P519" s="7" t="s">
        <v>1977</v>
      </c>
      <c r="Q519" s="5">
        <v>48</v>
      </c>
      <c r="R519" s="10">
        <f t="shared" si="42"/>
        <v>115.19999999999999</v>
      </c>
      <c r="S519" s="5">
        <v>31</v>
      </c>
      <c r="T519" s="5" t="s">
        <v>45</v>
      </c>
      <c r="U519" s="11">
        <f t="shared" si="44"/>
        <v>-81.599999999999994</v>
      </c>
    </row>
    <row r="520" spans="1:21" ht="16" x14ac:dyDescent="0.4">
      <c r="A520" s="2" t="s">
        <v>1978</v>
      </c>
      <c r="B520" s="3" t="s">
        <v>215</v>
      </c>
      <c r="C520" s="28" t="s">
        <v>48</v>
      </c>
      <c r="D520" s="2" t="s">
        <v>1979</v>
      </c>
      <c r="E520" s="4" t="s">
        <v>101</v>
      </c>
      <c r="F520" s="5">
        <v>43</v>
      </c>
      <c r="G520" s="5">
        <v>21</v>
      </c>
      <c r="H520" s="5">
        <v>31</v>
      </c>
      <c r="I520" s="10">
        <v>2.5</v>
      </c>
      <c r="J520" s="11">
        <f t="shared" si="43"/>
        <v>107.5</v>
      </c>
      <c r="K520" s="12" t="str">
        <f t="shared" si="40"/>
        <v>Stock_Sufficient</v>
      </c>
      <c r="L520" s="12">
        <f t="shared" si="41"/>
        <v>77.5</v>
      </c>
      <c r="M520" s="6">
        <v>45707</v>
      </c>
      <c r="N520" s="6">
        <v>45468</v>
      </c>
      <c r="O520" s="6">
        <v>45674</v>
      </c>
      <c r="P520" s="7" t="s">
        <v>1980</v>
      </c>
      <c r="Q520" s="5">
        <v>22</v>
      </c>
      <c r="R520" s="10">
        <f t="shared" si="42"/>
        <v>55</v>
      </c>
      <c r="S520" s="5">
        <v>25</v>
      </c>
      <c r="T520" s="5" t="s">
        <v>39</v>
      </c>
      <c r="U520" s="11">
        <f t="shared" si="44"/>
        <v>-52.5</v>
      </c>
    </row>
    <row r="521" spans="1:21" ht="16" x14ac:dyDescent="0.4">
      <c r="A521" s="2" t="s">
        <v>1981</v>
      </c>
      <c r="B521" s="3" t="s">
        <v>287</v>
      </c>
      <c r="C521" s="28" t="s">
        <v>30</v>
      </c>
      <c r="D521" s="2" t="s">
        <v>1982</v>
      </c>
      <c r="E521" s="4" t="s">
        <v>940</v>
      </c>
      <c r="F521" s="5">
        <v>90</v>
      </c>
      <c r="G521" s="5">
        <v>68</v>
      </c>
      <c r="H521" s="5">
        <v>74</v>
      </c>
      <c r="I521" s="10">
        <v>12</v>
      </c>
      <c r="J521" s="11">
        <f t="shared" si="43"/>
        <v>1080</v>
      </c>
      <c r="K521" s="12" t="str">
        <f t="shared" si="40"/>
        <v>Stock_Sufficient</v>
      </c>
      <c r="L521" s="12">
        <f t="shared" si="41"/>
        <v>888</v>
      </c>
      <c r="M521" s="6">
        <v>45384</v>
      </c>
      <c r="N521" s="6">
        <v>45622</v>
      </c>
      <c r="O521" s="6">
        <v>45595</v>
      </c>
      <c r="P521" s="7" t="s">
        <v>1983</v>
      </c>
      <c r="Q521" s="5">
        <v>81</v>
      </c>
      <c r="R521" s="10">
        <f t="shared" si="42"/>
        <v>972</v>
      </c>
      <c r="S521" s="5">
        <v>26</v>
      </c>
      <c r="T521" s="5" t="s">
        <v>39</v>
      </c>
      <c r="U521" s="11">
        <f t="shared" si="44"/>
        <v>-108</v>
      </c>
    </row>
    <row r="522" spans="1:21" ht="16" x14ac:dyDescent="0.4">
      <c r="A522" s="2" t="s">
        <v>1984</v>
      </c>
      <c r="B522" s="3" t="s">
        <v>1100</v>
      </c>
      <c r="C522" s="28" t="s">
        <v>65</v>
      </c>
      <c r="D522" s="2" t="s">
        <v>1985</v>
      </c>
      <c r="E522" s="4" t="s">
        <v>1986</v>
      </c>
      <c r="F522" s="5">
        <v>13</v>
      </c>
      <c r="G522" s="5">
        <v>39</v>
      </c>
      <c r="H522" s="5">
        <v>98</v>
      </c>
      <c r="I522" s="10">
        <v>0.9</v>
      </c>
      <c r="J522" s="11">
        <f t="shared" si="43"/>
        <v>11.700000000000001</v>
      </c>
      <c r="K522" s="12" t="str">
        <f t="shared" si="40"/>
        <v>Low Stock_Reorder Needed</v>
      </c>
      <c r="L522" s="12">
        <f t="shared" si="41"/>
        <v>88.2</v>
      </c>
      <c r="M522" s="6">
        <v>45445</v>
      </c>
      <c r="N522" s="6">
        <v>45601</v>
      </c>
      <c r="O522" s="6">
        <v>45553</v>
      </c>
      <c r="P522" s="7" t="s">
        <v>1987</v>
      </c>
      <c r="Q522" s="5">
        <v>46</v>
      </c>
      <c r="R522" s="10">
        <f t="shared" si="42"/>
        <v>41.4</v>
      </c>
      <c r="S522" s="5">
        <v>46</v>
      </c>
      <c r="T522" s="5" t="s">
        <v>39</v>
      </c>
      <c r="U522" s="11">
        <f t="shared" si="44"/>
        <v>29.699999999999996</v>
      </c>
    </row>
    <row r="523" spans="1:21" ht="16" x14ac:dyDescent="0.4">
      <c r="A523" s="2" t="s">
        <v>1988</v>
      </c>
      <c r="B523" s="3" t="s">
        <v>143</v>
      </c>
      <c r="C523" s="28" t="s">
        <v>48</v>
      </c>
      <c r="D523" s="2" t="s">
        <v>1989</v>
      </c>
      <c r="E523" s="4" t="s">
        <v>120</v>
      </c>
      <c r="F523" s="5">
        <v>62</v>
      </c>
      <c r="G523" s="5">
        <v>79</v>
      </c>
      <c r="H523" s="5">
        <v>95</v>
      </c>
      <c r="I523" s="10">
        <v>1</v>
      </c>
      <c r="J523" s="11">
        <f t="shared" si="43"/>
        <v>62</v>
      </c>
      <c r="K523" s="12" t="str">
        <f t="shared" si="40"/>
        <v>Low Stock_Reorder Needed</v>
      </c>
      <c r="L523" s="12">
        <f t="shared" si="41"/>
        <v>95</v>
      </c>
      <c r="M523" s="6">
        <v>45428</v>
      </c>
      <c r="N523" s="6">
        <v>45479</v>
      </c>
      <c r="O523" s="6">
        <v>45656</v>
      </c>
      <c r="P523" s="7" t="s">
        <v>1990</v>
      </c>
      <c r="Q523" s="5">
        <v>34</v>
      </c>
      <c r="R523" s="10">
        <f t="shared" si="42"/>
        <v>34</v>
      </c>
      <c r="S523" s="5">
        <v>12</v>
      </c>
      <c r="T523" s="5" t="s">
        <v>45</v>
      </c>
      <c r="U523" s="11">
        <f t="shared" si="44"/>
        <v>-28</v>
      </c>
    </row>
    <row r="524" spans="1:21" ht="16" x14ac:dyDescent="0.4">
      <c r="A524" s="2" t="s">
        <v>1991</v>
      </c>
      <c r="B524" s="3" t="s">
        <v>1265</v>
      </c>
      <c r="C524" s="28" t="s">
        <v>23</v>
      </c>
      <c r="D524" s="2" t="s">
        <v>1992</v>
      </c>
      <c r="E524" s="4" t="s">
        <v>1258</v>
      </c>
      <c r="F524" s="5">
        <v>17</v>
      </c>
      <c r="G524" s="5">
        <v>85</v>
      </c>
      <c r="H524" s="5">
        <v>74</v>
      </c>
      <c r="I524" s="10">
        <v>5</v>
      </c>
      <c r="J524" s="11">
        <f t="shared" si="43"/>
        <v>85</v>
      </c>
      <c r="K524" s="12" t="str">
        <f t="shared" si="40"/>
        <v>Low Stock_Reorder Needed</v>
      </c>
      <c r="L524" s="12">
        <f t="shared" si="41"/>
        <v>370</v>
      </c>
      <c r="M524" s="6">
        <v>45413</v>
      </c>
      <c r="N524" s="6">
        <v>45686</v>
      </c>
      <c r="O524" s="6">
        <v>45381</v>
      </c>
      <c r="P524" s="7" t="s">
        <v>1993</v>
      </c>
      <c r="Q524" s="5">
        <v>76</v>
      </c>
      <c r="R524" s="10">
        <f t="shared" si="42"/>
        <v>380</v>
      </c>
      <c r="S524" s="5">
        <v>89</v>
      </c>
      <c r="T524" s="5" t="s">
        <v>45</v>
      </c>
      <c r="U524" s="11">
        <f t="shared" si="44"/>
        <v>295</v>
      </c>
    </row>
    <row r="525" spans="1:21" ht="16" x14ac:dyDescent="0.4">
      <c r="A525" s="2" t="s">
        <v>1994</v>
      </c>
      <c r="B525" s="3" t="s">
        <v>738</v>
      </c>
      <c r="C525" s="28" t="s">
        <v>59</v>
      </c>
      <c r="D525" s="2" t="s">
        <v>1995</v>
      </c>
      <c r="E525" s="4" t="s">
        <v>1343</v>
      </c>
      <c r="F525" s="5">
        <v>100</v>
      </c>
      <c r="G525" s="5">
        <v>86</v>
      </c>
      <c r="H525" s="5">
        <v>94</v>
      </c>
      <c r="I525" s="10">
        <v>6.5</v>
      </c>
      <c r="J525" s="11">
        <f t="shared" si="43"/>
        <v>650</v>
      </c>
      <c r="K525" s="12" t="str">
        <f t="shared" si="40"/>
        <v>Stock_Sufficient</v>
      </c>
      <c r="L525" s="12">
        <f t="shared" si="41"/>
        <v>611</v>
      </c>
      <c r="M525" s="6">
        <v>45515</v>
      </c>
      <c r="N525" s="6">
        <v>45394</v>
      </c>
      <c r="O525" s="6">
        <v>45447</v>
      </c>
      <c r="P525" s="7" t="s">
        <v>1996</v>
      </c>
      <c r="Q525" s="5">
        <v>77</v>
      </c>
      <c r="R525" s="10">
        <f t="shared" si="42"/>
        <v>500.5</v>
      </c>
      <c r="S525" s="5">
        <v>57</v>
      </c>
      <c r="T525" s="5" t="s">
        <v>45</v>
      </c>
      <c r="U525" s="11">
        <f t="shared" si="44"/>
        <v>-149.5</v>
      </c>
    </row>
    <row r="526" spans="1:21" ht="16" x14ac:dyDescent="0.4">
      <c r="A526" s="2" t="s">
        <v>1997</v>
      </c>
      <c r="B526" s="3" t="s">
        <v>53</v>
      </c>
      <c r="C526" s="28" t="s">
        <v>23</v>
      </c>
      <c r="D526" s="2" t="s">
        <v>1998</v>
      </c>
      <c r="E526" s="4" t="s">
        <v>1392</v>
      </c>
      <c r="F526" s="5">
        <v>54</v>
      </c>
      <c r="G526" s="5">
        <v>69</v>
      </c>
      <c r="H526" s="5">
        <v>68</v>
      </c>
      <c r="I526" s="10">
        <v>1.75</v>
      </c>
      <c r="J526" s="11">
        <f t="shared" si="43"/>
        <v>94.5</v>
      </c>
      <c r="K526" s="12" t="str">
        <f t="shared" si="40"/>
        <v>Low Stock_Reorder Needed</v>
      </c>
      <c r="L526" s="12">
        <f t="shared" si="41"/>
        <v>119</v>
      </c>
      <c r="M526" s="6">
        <v>45497</v>
      </c>
      <c r="N526" s="6">
        <v>45601</v>
      </c>
      <c r="O526" s="6">
        <v>45425</v>
      </c>
      <c r="P526" s="7" t="s">
        <v>1999</v>
      </c>
      <c r="Q526" s="5">
        <v>77</v>
      </c>
      <c r="R526" s="10">
        <f t="shared" si="42"/>
        <v>134.75</v>
      </c>
      <c r="S526" s="5">
        <v>56</v>
      </c>
      <c r="T526" s="5" t="s">
        <v>27</v>
      </c>
      <c r="U526" s="11">
        <f t="shared" si="44"/>
        <v>40.25</v>
      </c>
    </row>
    <row r="527" spans="1:21" ht="16" x14ac:dyDescent="0.4">
      <c r="A527" s="2" t="s">
        <v>2000</v>
      </c>
      <c r="B527" s="3" t="s">
        <v>497</v>
      </c>
      <c r="C527" s="28" t="s">
        <v>65</v>
      </c>
      <c r="D527" s="2" t="s">
        <v>2001</v>
      </c>
      <c r="E527" s="4" t="s">
        <v>726</v>
      </c>
      <c r="F527" s="5">
        <v>98</v>
      </c>
      <c r="G527" s="5">
        <v>24</v>
      </c>
      <c r="H527" s="5">
        <v>4</v>
      </c>
      <c r="I527" s="10">
        <v>4.0999999999999996</v>
      </c>
      <c r="J527" s="11">
        <f t="shared" si="43"/>
        <v>401.79999999999995</v>
      </c>
      <c r="K527" s="12" t="str">
        <f t="shared" si="40"/>
        <v>Stock_Sufficient</v>
      </c>
      <c r="L527" s="12">
        <f t="shared" si="41"/>
        <v>16.399999999999999</v>
      </c>
      <c r="M527" s="6">
        <v>45359</v>
      </c>
      <c r="N527" s="6">
        <v>45647</v>
      </c>
      <c r="O527" s="6">
        <v>45435</v>
      </c>
      <c r="P527" s="7" t="s">
        <v>2002</v>
      </c>
      <c r="Q527" s="5">
        <v>89</v>
      </c>
      <c r="R527" s="10">
        <f t="shared" si="42"/>
        <v>364.9</v>
      </c>
      <c r="S527" s="5">
        <v>80</v>
      </c>
      <c r="T527" s="5" t="s">
        <v>45</v>
      </c>
      <c r="U527" s="11">
        <f t="shared" si="44"/>
        <v>-36.899999999999977</v>
      </c>
    </row>
    <row r="528" spans="1:21" ht="16" x14ac:dyDescent="0.4">
      <c r="A528" s="2" t="s">
        <v>2003</v>
      </c>
      <c r="B528" s="3" t="s">
        <v>192</v>
      </c>
      <c r="C528" s="28" t="s">
        <v>30</v>
      </c>
      <c r="D528" s="2" t="s">
        <v>2004</v>
      </c>
      <c r="E528" s="4" t="s">
        <v>2005</v>
      </c>
      <c r="F528" s="5">
        <v>20</v>
      </c>
      <c r="G528" s="5">
        <v>9</v>
      </c>
      <c r="H528" s="5">
        <v>12</v>
      </c>
      <c r="I528" s="10">
        <v>30.5</v>
      </c>
      <c r="J528" s="11">
        <f t="shared" si="43"/>
        <v>610</v>
      </c>
      <c r="K528" s="12" t="str">
        <f t="shared" si="40"/>
        <v>Stock_Sufficient</v>
      </c>
      <c r="L528" s="12">
        <f t="shared" si="41"/>
        <v>366</v>
      </c>
      <c r="M528" s="6">
        <v>45469</v>
      </c>
      <c r="N528" s="6">
        <v>45710</v>
      </c>
      <c r="O528" s="6">
        <v>45367</v>
      </c>
      <c r="P528" s="7" t="s">
        <v>2006</v>
      </c>
      <c r="Q528" s="5">
        <v>46</v>
      </c>
      <c r="R528" s="10">
        <f t="shared" si="42"/>
        <v>1403</v>
      </c>
      <c r="S528" s="5">
        <v>32</v>
      </c>
      <c r="T528" s="5" t="s">
        <v>27</v>
      </c>
      <c r="U528" s="11">
        <f t="shared" si="44"/>
        <v>793</v>
      </c>
    </row>
    <row r="529" spans="1:21" ht="16" x14ac:dyDescent="0.4">
      <c r="A529" s="2" t="s">
        <v>2007</v>
      </c>
      <c r="B529" s="3" t="s">
        <v>197</v>
      </c>
      <c r="C529" s="28" t="s">
        <v>133</v>
      </c>
      <c r="D529" s="2" t="s">
        <v>2008</v>
      </c>
      <c r="E529" s="4" t="s">
        <v>933</v>
      </c>
      <c r="F529" s="5">
        <v>43</v>
      </c>
      <c r="G529" s="5">
        <v>7</v>
      </c>
      <c r="H529" s="5">
        <v>63</v>
      </c>
      <c r="I529" s="10">
        <v>9</v>
      </c>
      <c r="J529" s="11">
        <f t="shared" si="43"/>
        <v>387</v>
      </c>
      <c r="K529" s="12" t="str">
        <f t="shared" si="40"/>
        <v>Stock_Sufficient</v>
      </c>
      <c r="L529" s="12">
        <f t="shared" si="41"/>
        <v>567</v>
      </c>
      <c r="M529" s="6">
        <v>45561</v>
      </c>
      <c r="N529" s="6">
        <v>45497</v>
      </c>
      <c r="O529" s="6">
        <v>45359</v>
      </c>
      <c r="P529" s="7" t="s">
        <v>2009</v>
      </c>
      <c r="Q529" s="5">
        <v>66</v>
      </c>
      <c r="R529" s="10">
        <f t="shared" si="42"/>
        <v>594</v>
      </c>
      <c r="S529" s="5">
        <v>71</v>
      </c>
      <c r="T529" s="5" t="s">
        <v>45</v>
      </c>
      <c r="U529" s="11">
        <f t="shared" si="44"/>
        <v>207</v>
      </c>
    </row>
    <row r="530" spans="1:21" ht="16" x14ac:dyDescent="0.4">
      <c r="A530" s="2" t="s">
        <v>2010</v>
      </c>
      <c r="B530" s="3" t="s">
        <v>287</v>
      </c>
      <c r="C530" s="28" t="s">
        <v>30</v>
      </c>
      <c r="D530" s="2" t="s">
        <v>2011</v>
      </c>
      <c r="E530" s="4" t="s">
        <v>422</v>
      </c>
      <c r="F530" s="5">
        <v>29</v>
      </c>
      <c r="G530" s="5">
        <v>91</v>
      </c>
      <c r="H530" s="5">
        <v>48</v>
      </c>
      <c r="I530" s="10">
        <v>12</v>
      </c>
      <c r="J530" s="11">
        <f t="shared" si="43"/>
        <v>348</v>
      </c>
      <c r="K530" s="12" t="str">
        <f t="shared" si="40"/>
        <v>Low Stock_Reorder Needed</v>
      </c>
      <c r="L530" s="12">
        <f t="shared" si="41"/>
        <v>576</v>
      </c>
      <c r="M530" s="6">
        <v>45570</v>
      </c>
      <c r="N530" s="6">
        <v>45483</v>
      </c>
      <c r="O530" s="6">
        <v>45520</v>
      </c>
      <c r="P530" s="7" t="s">
        <v>2012</v>
      </c>
      <c r="Q530" s="5">
        <v>28</v>
      </c>
      <c r="R530" s="10">
        <f t="shared" si="42"/>
        <v>336</v>
      </c>
      <c r="S530" s="5">
        <v>40</v>
      </c>
      <c r="T530" s="5" t="s">
        <v>45</v>
      </c>
      <c r="U530" s="11">
        <f t="shared" si="44"/>
        <v>-12</v>
      </c>
    </row>
    <row r="531" spans="1:21" ht="16" x14ac:dyDescent="0.4">
      <c r="A531" s="2" t="s">
        <v>2013</v>
      </c>
      <c r="B531" s="3" t="s">
        <v>1126</v>
      </c>
      <c r="C531" s="28" t="s">
        <v>48</v>
      </c>
      <c r="D531" s="2" t="s">
        <v>2014</v>
      </c>
      <c r="E531" s="4" t="s">
        <v>639</v>
      </c>
      <c r="F531" s="5">
        <v>37</v>
      </c>
      <c r="G531" s="5">
        <v>45</v>
      </c>
      <c r="H531" s="5">
        <v>62</v>
      </c>
      <c r="I531" s="10">
        <v>5.5</v>
      </c>
      <c r="J531" s="11">
        <f t="shared" si="43"/>
        <v>203.5</v>
      </c>
      <c r="K531" s="12" t="str">
        <f t="shared" si="40"/>
        <v>Low Stock_Reorder Needed</v>
      </c>
      <c r="L531" s="12">
        <f t="shared" si="41"/>
        <v>341</v>
      </c>
      <c r="M531" s="6">
        <v>45634</v>
      </c>
      <c r="N531" s="6">
        <v>45669</v>
      </c>
      <c r="O531" s="6">
        <v>45402</v>
      </c>
      <c r="P531" s="7" t="s">
        <v>2015</v>
      </c>
      <c r="Q531" s="5">
        <v>34</v>
      </c>
      <c r="R531" s="10">
        <f t="shared" si="42"/>
        <v>187</v>
      </c>
      <c r="S531" s="5">
        <v>23</v>
      </c>
      <c r="T531" s="5" t="s">
        <v>39</v>
      </c>
      <c r="U531" s="11">
        <f t="shared" si="44"/>
        <v>-16.5</v>
      </c>
    </row>
    <row r="532" spans="1:21" ht="16" x14ac:dyDescent="0.4">
      <c r="A532" s="2" t="s">
        <v>2016</v>
      </c>
      <c r="B532" s="3" t="s">
        <v>720</v>
      </c>
      <c r="C532" s="28" t="s">
        <v>65</v>
      </c>
      <c r="D532" s="2" t="s">
        <v>2017</v>
      </c>
      <c r="E532" s="4" t="s">
        <v>2018</v>
      </c>
      <c r="F532" s="5">
        <v>85</v>
      </c>
      <c r="G532" s="5">
        <v>28</v>
      </c>
      <c r="H532" s="5">
        <v>32</v>
      </c>
      <c r="I532" s="10">
        <v>8.9</v>
      </c>
      <c r="J532" s="11">
        <f t="shared" si="43"/>
        <v>756.5</v>
      </c>
      <c r="K532" s="12" t="str">
        <f t="shared" si="40"/>
        <v>Stock_Sufficient</v>
      </c>
      <c r="L532" s="12">
        <f t="shared" si="41"/>
        <v>284.8</v>
      </c>
      <c r="M532" s="6">
        <v>45674</v>
      </c>
      <c r="N532" s="6">
        <v>45468</v>
      </c>
      <c r="O532" s="6">
        <v>45685</v>
      </c>
      <c r="P532" s="7" t="s">
        <v>2019</v>
      </c>
      <c r="Q532" s="5">
        <v>57</v>
      </c>
      <c r="R532" s="10">
        <f t="shared" si="42"/>
        <v>507.3</v>
      </c>
      <c r="S532" s="5">
        <v>41</v>
      </c>
      <c r="T532" s="5" t="s">
        <v>39</v>
      </c>
      <c r="U532" s="11">
        <f t="shared" si="44"/>
        <v>-249.2</v>
      </c>
    </row>
    <row r="533" spans="1:21" ht="16" x14ac:dyDescent="0.4">
      <c r="A533" s="2" t="s">
        <v>2020</v>
      </c>
      <c r="B533" s="3" t="s">
        <v>829</v>
      </c>
      <c r="C533" s="28" t="s">
        <v>23</v>
      </c>
      <c r="D533" s="2" t="s">
        <v>2021</v>
      </c>
      <c r="E533" s="4" t="s">
        <v>694</v>
      </c>
      <c r="F533" s="5">
        <v>26</v>
      </c>
      <c r="G533" s="5">
        <v>67</v>
      </c>
      <c r="H533" s="5">
        <v>46</v>
      </c>
      <c r="I533" s="10">
        <v>4.4000000000000004</v>
      </c>
      <c r="J533" s="11">
        <f t="shared" si="43"/>
        <v>114.4</v>
      </c>
      <c r="K533" s="12" t="str">
        <f t="shared" si="40"/>
        <v>Low Stock_Reorder Needed</v>
      </c>
      <c r="L533" s="12">
        <f t="shared" si="41"/>
        <v>202.4</v>
      </c>
      <c r="M533" s="6">
        <v>45634</v>
      </c>
      <c r="N533" s="6">
        <v>45547</v>
      </c>
      <c r="O533" s="6">
        <v>45386</v>
      </c>
      <c r="P533" s="7" t="s">
        <v>2022</v>
      </c>
      <c r="Q533" s="5">
        <v>54</v>
      </c>
      <c r="R533" s="10">
        <f t="shared" si="42"/>
        <v>237.60000000000002</v>
      </c>
      <c r="S533" s="5">
        <v>46</v>
      </c>
      <c r="T533" s="5" t="s">
        <v>39</v>
      </c>
      <c r="U533" s="11">
        <f t="shared" si="44"/>
        <v>123.20000000000002</v>
      </c>
    </row>
    <row r="534" spans="1:21" ht="16" x14ac:dyDescent="0.4">
      <c r="A534" s="2" t="s">
        <v>2023</v>
      </c>
      <c r="B534" s="3" t="s">
        <v>337</v>
      </c>
      <c r="C534" s="28" t="s">
        <v>30</v>
      </c>
      <c r="D534" s="2" t="s">
        <v>2024</v>
      </c>
      <c r="E534" s="4" t="s">
        <v>43</v>
      </c>
      <c r="F534" s="5">
        <v>91</v>
      </c>
      <c r="G534" s="5">
        <v>78</v>
      </c>
      <c r="H534" s="5">
        <v>61</v>
      </c>
      <c r="I534" s="10">
        <v>25</v>
      </c>
      <c r="J534" s="11">
        <f t="shared" si="43"/>
        <v>2275</v>
      </c>
      <c r="K534" s="12" t="str">
        <f t="shared" si="40"/>
        <v>Stock_Sufficient</v>
      </c>
      <c r="L534" s="12">
        <f t="shared" si="41"/>
        <v>1525</v>
      </c>
      <c r="M534" s="6">
        <v>45417</v>
      </c>
      <c r="N534" s="6">
        <v>45592</v>
      </c>
      <c r="O534" s="6">
        <v>45514</v>
      </c>
      <c r="P534" s="7" t="s">
        <v>2025</v>
      </c>
      <c r="Q534" s="5">
        <v>63</v>
      </c>
      <c r="R534" s="10">
        <f t="shared" si="42"/>
        <v>1575</v>
      </c>
      <c r="S534" s="5">
        <v>15</v>
      </c>
      <c r="T534" s="5" t="s">
        <v>39</v>
      </c>
      <c r="U534" s="11">
        <f t="shared" si="44"/>
        <v>-700</v>
      </c>
    </row>
    <row r="535" spans="1:21" ht="16" x14ac:dyDescent="0.4">
      <c r="A535" s="2" t="s">
        <v>2026</v>
      </c>
      <c r="B535" s="3" t="s">
        <v>329</v>
      </c>
      <c r="C535" s="28" t="s">
        <v>65</v>
      </c>
      <c r="D535" s="2" t="s">
        <v>2027</v>
      </c>
      <c r="E535" s="4" t="s">
        <v>663</v>
      </c>
      <c r="F535" s="5">
        <v>50</v>
      </c>
      <c r="G535" s="5">
        <v>46</v>
      </c>
      <c r="H535" s="5">
        <v>38</v>
      </c>
      <c r="I535" s="10">
        <v>6.2</v>
      </c>
      <c r="J535" s="11">
        <f t="shared" si="43"/>
        <v>310</v>
      </c>
      <c r="K535" s="12" t="str">
        <f t="shared" si="40"/>
        <v>Stock_Sufficient</v>
      </c>
      <c r="L535" s="12">
        <f t="shared" si="41"/>
        <v>235.6</v>
      </c>
      <c r="M535" s="6">
        <v>45566</v>
      </c>
      <c r="N535" s="6">
        <v>45476</v>
      </c>
      <c r="O535" s="6">
        <v>45504</v>
      </c>
      <c r="P535" s="7" t="s">
        <v>2028</v>
      </c>
      <c r="Q535" s="5">
        <v>88</v>
      </c>
      <c r="R535" s="10">
        <f t="shared" si="42"/>
        <v>545.6</v>
      </c>
      <c r="S535" s="5">
        <v>70</v>
      </c>
      <c r="T535" s="5" t="s">
        <v>45</v>
      </c>
      <c r="U535" s="11">
        <f t="shared" si="44"/>
        <v>235.60000000000002</v>
      </c>
    </row>
    <row r="536" spans="1:21" ht="16" x14ac:dyDescent="0.4">
      <c r="A536" s="2" t="s">
        <v>2029</v>
      </c>
      <c r="B536" s="3" t="s">
        <v>132</v>
      </c>
      <c r="C536" s="28" t="s">
        <v>133</v>
      </c>
      <c r="D536" s="2" t="s">
        <v>2030</v>
      </c>
      <c r="E536" s="4" t="s">
        <v>822</v>
      </c>
      <c r="F536" s="5">
        <v>98</v>
      </c>
      <c r="G536" s="5">
        <v>65</v>
      </c>
      <c r="H536" s="5">
        <v>76</v>
      </c>
      <c r="I536" s="10">
        <v>12</v>
      </c>
      <c r="J536" s="11">
        <f t="shared" si="43"/>
        <v>1176</v>
      </c>
      <c r="K536" s="12" t="str">
        <f t="shared" si="40"/>
        <v>Stock_Sufficient</v>
      </c>
      <c r="L536" s="12">
        <f t="shared" si="41"/>
        <v>912</v>
      </c>
      <c r="M536" s="6">
        <v>45562</v>
      </c>
      <c r="N536" s="6">
        <v>45492</v>
      </c>
      <c r="O536" s="6">
        <v>45470</v>
      </c>
      <c r="P536" s="7" t="s">
        <v>2031</v>
      </c>
      <c r="Q536" s="5">
        <v>62</v>
      </c>
      <c r="R536" s="10">
        <f t="shared" si="42"/>
        <v>744</v>
      </c>
      <c r="S536" s="5">
        <v>47</v>
      </c>
      <c r="T536" s="5" t="s">
        <v>45</v>
      </c>
      <c r="U536" s="11">
        <f t="shared" si="44"/>
        <v>-432</v>
      </c>
    </row>
    <row r="537" spans="1:21" ht="16" x14ac:dyDescent="0.4">
      <c r="A537" s="2" t="s">
        <v>2032</v>
      </c>
      <c r="B537" s="3" t="s">
        <v>75</v>
      </c>
      <c r="C537" s="28" t="s">
        <v>65</v>
      </c>
      <c r="D537" s="2" t="s">
        <v>2033</v>
      </c>
      <c r="E537" s="4" t="s">
        <v>272</v>
      </c>
      <c r="F537" s="5">
        <v>37</v>
      </c>
      <c r="G537" s="5">
        <v>53</v>
      </c>
      <c r="H537" s="5">
        <v>61</v>
      </c>
      <c r="I537" s="10">
        <v>1</v>
      </c>
      <c r="J537" s="11">
        <f t="shared" si="43"/>
        <v>37</v>
      </c>
      <c r="K537" s="12" t="str">
        <f t="shared" si="40"/>
        <v>Low Stock_Reorder Needed</v>
      </c>
      <c r="L537" s="12">
        <f t="shared" si="41"/>
        <v>61</v>
      </c>
      <c r="M537" s="6">
        <v>45385</v>
      </c>
      <c r="N537" s="6">
        <v>45490</v>
      </c>
      <c r="O537" s="6">
        <v>45372</v>
      </c>
      <c r="P537" s="7" t="s">
        <v>2034</v>
      </c>
      <c r="Q537" s="5">
        <v>90</v>
      </c>
      <c r="R537" s="10">
        <f t="shared" si="42"/>
        <v>90</v>
      </c>
      <c r="S537" s="5">
        <v>89</v>
      </c>
      <c r="T537" s="5" t="s">
        <v>39</v>
      </c>
      <c r="U537" s="11">
        <f t="shared" si="44"/>
        <v>53</v>
      </c>
    </row>
    <row r="538" spans="1:21" ht="16" x14ac:dyDescent="0.4">
      <c r="A538" s="2" t="s">
        <v>2035</v>
      </c>
      <c r="B538" s="3" t="s">
        <v>283</v>
      </c>
      <c r="C538" s="28" t="s">
        <v>90</v>
      </c>
      <c r="D538" s="2" t="s">
        <v>2036</v>
      </c>
      <c r="E538" s="4" t="s">
        <v>754</v>
      </c>
      <c r="F538" s="5">
        <v>78</v>
      </c>
      <c r="G538" s="5">
        <v>68</v>
      </c>
      <c r="H538" s="5">
        <v>68</v>
      </c>
      <c r="I538" s="10">
        <v>2.5</v>
      </c>
      <c r="J538" s="11">
        <f t="shared" si="43"/>
        <v>195</v>
      </c>
      <c r="K538" s="12" t="str">
        <f t="shared" si="40"/>
        <v>Stock_Sufficient</v>
      </c>
      <c r="L538" s="12">
        <f t="shared" si="41"/>
        <v>170</v>
      </c>
      <c r="M538" s="6">
        <v>45547</v>
      </c>
      <c r="N538" s="6">
        <v>45356</v>
      </c>
      <c r="O538" s="6">
        <v>45651</v>
      </c>
      <c r="P538" s="7" t="s">
        <v>2037</v>
      </c>
      <c r="Q538" s="5">
        <v>89</v>
      </c>
      <c r="R538" s="10">
        <f t="shared" si="42"/>
        <v>222.5</v>
      </c>
      <c r="S538" s="5">
        <v>24</v>
      </c>
      <c r="T538" s="5" t="s">
        <v>39</v>
      </c>
      <c r="U538" s="11">
        <f t="shared" si="44"/>
        <v>27.5</v>
      </c>
    </row>
    <row r="539" spans="1:21" ht="16" x14ac:dyDescent="0.4">
      <c r="A539" s="2" t="s">
        <v>2038</v>
      </c>
      <c r="B539" s="3" t="s">
        <v>595</v>
      </c>
      <c r="C539" s="28" t="s">
        <v>48</v>
      </c>
      <c r="D539" s="2" t="s">
        <v>2039</v>
      </c>
      <c r="E539" s="4" t="s">
        <v>160</v>
      </c>
      <c r="F539" s="5">
        <v>48</v>
      </c>
      <c r="G539" s="5">
        <v>27</v>
      </c>
      <c r="H539" s="5">
        <v>73</v>
      </c>
      <c r="I539" s="10">
        <v>2.5499999999999998</v>
      </c>
      <c r="J539" s="11">
        <f t="shared" si="43"/>
        <v>122.39999999999999</v>
      </c>
      <c r="K539" s="12" t="str">
        <f t="shared" si="40"/>
        <v>Stock_Sufficient</v>
      </c>
      <c r="L539" s="12">
        <f t="shared" si="41"/>
        <v>186.14999999999998</v>
      </c>
      <c r="M539" s="6">
        <v>45670</v>
      </c>
      <c r="N539" s="6">
        <v>45394</v>
      </c>
      <c r="O539" s="6">
        <v>45442</v>
      </c>
      <c r="P539" s="7" t="s">
        <v>2040</v>
      </c>
      <c r="Q539" s="5">
        <v>52</v>
      </c>
      <c r="R539" s="10">
        <f t="shared" si="42"/>
        <v>132.6</v>
      </c>
      <c r="S539" s="5">
        <v>97</v>
      </c>
      <c r="T539" s="5" t="s">
        <v>27</v>
      </c>
      <c r="U539" s="11">
        <f t="shared" si="44"/>
        <v>10.200000000000003</v>
      </c>
    </row>
    <row r="540" spans="1:21" ht="16" x14ac:dyDescent="0.4">
      <c r="A540" s="2" t="s">
        <v>2041</v>
      </c>
      <c r="B540" s="3" t="s">
        <v>29</v>
      </c>
      <c r="C540" s="28" t="s">
        <v>30</v>
      </c>
      <c r="D540" s="2" t="s">
        <v>2042</v>
      </c>
      <c r="E540" s="4" t="s">
        <v>2043</v>
      </c>
      <c r="F540" s="5">
        <v>74</v>
      </c>
      <c r="G540" s="5">
        <v>10</v>
      </c>
      <c r="H540" s="5">
        <v>74</v>
      </c>
      <c r="I540" s="10">
        <v>20</v>
      </c>
      <c r="J540" s="11">
        <f t="shared" si="43"/>
        <v>1480</v>
      </c>
      <c r="K540" s="12" t="str">
        <f t="shared" si="40"/>
        <v>Stock_Sufficient</v>
      </c>
      <c r="L540" s="12">
        <f t="shared" si="41"/>
        <v>1480</v>
      </c>
      <c r="M540" s="6">
        <v>45500</v>
      </c>
      <c r="N540" s="6">
        <v>45567</v>
      </c>
      <c r="O540" s="6">
        <v>45371</v>
      </c>
      <c r="P540" s="7" t="s">
        <v>2044</v>
      </c>
      <c r="Q540" s="5">
        <v>100</v>
      </c>
      <c r="R540" s="10">
        <f t="shared" si="42"/>
        <v>2000</v>
      </c>
      <c r="S540" s="5">
        <v>66</v>
      </c>
      <c r="T540" s="5" t="s">
        <v>39</v>
      </c>
      <c r="U540" s="11">
        <f t="shared" si="44"/>
        <v>520</v>
      </c>
    </row>
    <row r="541" spans="1:21" ht="16" x14ac:dyDescent="0.4">
      <c r="A541" s="2" t="s">
        <v>2045</v>
      </c>
      <c r="B541" s="3" t="s">
        <v>182</v>
      </c>
      <c r="C541" s="28" t="s">
        <v>48</v>
      </c>
      <c r="D541" s="2" t="s">
        <v>2046</v>
      </c>
      <c r="E541" s="4" t="s">
        <v>1094</v>
      </c>
      <c r="F541" s="5">
        <v>18</v>
      </c>
      <c r="G541" s="5">
        <v>7</v>
      </c>
      <c r="H541" s="5">
        <v>58</v>
      </c>
      <c r="I541" s="10">
        <v>3.5</v>
      </c>
      <c r="J541" s="11">
        <f t="shared" si="43"/>
        <v>63</v>
      </c>
      <c r="K541" s="12" t="str">
        <f t="shared" si="40"/>
        <v>Stock_Sufficient</v>
      </c>
      <c r="L541" s="12">
        <f t="shared" si="41"/>
        <v>203</v>
      </c>
      <c r="M541" s="6">
        <v>45622</v>
      </c>
      <c r="N541" s="6">
        <v>45509</v>
      </c>
      <c r="O541" s="6">
        <v>45469</v>
      </c>
      <c r="P541" s="7" t="s">
        <v>2047</v>
      </c>
      <c r="Q541" s="5">
        <v>88</v>
      </c>
      <c r="R541" s="10">
        <f t="shared" si="42"/>
        <v>308</v>
      </c>
      <c r="S541" s="5">
        <v>96</v>
      </c>
      <c r="T541" s="5" t="s">
        <v>27</v>
      </c>
      <c r="U541" s="11">
        <f t="shared" si="44"/>
        <v>245</v>
      </c>
    </row>
    <row r="542" spans="1:21" ht="16" x14ac:dyDescent="0.4">
      <c r="A542" s="2" t="s">
        <v>2048</v>
      </c>
      <c r="B542" s="3" t="s">
        <v>595</v>
      </c>
      <c r="C542" s="28" t="s">
        <v>48</v>
      </c>
      <c r="D542" s="2" t="s">
        <v>2049</v>
      </c>
      <c r="E542" s="4" t="s">
        <v>486</v>
      </c>
      <c r="F542" s="5">
        <v>95</v>
      </c>
      <c r="G542" s="5">
        <v>66</v>
      </c>
      <c r="H542" s="5">
        <v>69</v>
      </c>
      <c r="I542" s="10">
        <v>2.48</v>
      </c>
      <c r="J542" s="11">
        <f t="shared" si="43"/>
        <v>235.6</v>
      </c>
      <c r="K542" s="12" t="str">
        <f t="shared" si="40"/>
        <v>Stock_Sufficient</v>
      </c>
      <c r="L542" s="12">
        <f t="shared" si="41"/>
        <v>171.12</v>
      </c>
      <c r="M542" s="6">
        <v>45451</v>
      </c>
      <c r="N542" s="6">
        <v>45379</v>
      </c>
      <c r="O542" s="6">
        <v>45692</v>
      </c>
      <c r="P542" s="7" t="s">
        <v>2050</v>
      </c>
      <c r="Q542" s="5">
        <v>92</v>
      </c>
      <c r="R542" s="10">
        <f t="shared" si="42"/>
        <v>228.16</v>
      </c>
      <c r="S542" s="5">
        <v>72</v>
      </c>
      <c r="T542" s="5" t="s">
        <v>39</v>
      </c>
      <c r="U542" s="11">
        <f t="shared" si="44"/>
        <v>-7.4399999999999977</v>
      </c>
    </row>
    <row r="543" spans="1:21" ht="16" x14ac:dyDescent="0.4">
      <c r="A543" s="2" t="s">
        <v>2051</v>
      </c>
      <c r="B543" s="3" t="s">
        <v>729</v>
      </c>
      <c r="C543" s="28" t="s">
        <v>65</v>
      </c>
      <c r="D543" s="2" t="s">
        <v>2052</v>
      </c>
      <c r="E543" s="4" t="s">
        <v>1116</v>
      </c>
      <c r="F543" s="5">
        <v>39</v>
      </c>
      <c r="G543" s="5">
        <v>93</v>
      </c>
      <c r="H543" s="5">
        <v>57</v>
      </c>
      <c r="I543" s="10">
        <v>2.5</v>
      </c>
      <c r="J543" s="11">
        <f t="shared" si="43"/>
        <v>97.5</v>
      </c>
      <c r="K543" s="12" t="str">
        <f t="shared" si="40"/>
        <v>Low Stock_Reorder Needed</v>
      </c>
      <c r="L543" s="12">
        <f t="shared" si="41"/>
        <v>142.5</v>
      </c>
      <c r="M543" s="6">
        <v>45447</v>
      </c>
      <c r="N543" s="6">
        <v>45440</v>
      </c>
      <c r="O543" s="6">
        <v>45660</v>
      </c>
      <c r="P543" s="7" t="s">
        <v>2053</v>
      </c>
      <c r="Q543" s="5">
        <v>26</v>
      </c>
      <c r="R543" s="10">
        <f t="shared" si="42"/>
        <v>65</v>
      </c>
      <c r="S543" s="5">
        <v>44</v>
      </c>
      <c r="T543" s="5" t="s">
        <v>39</v>
      </c>
      <c r="U543" s="11">
        <f t="shared" si="44"/>
        <v>-32.5</v>
      </c>
    </row>
    <row r="544" spans="1:21" ht="16" x14ac:dyDescent="0.4">
      <c r="A544" s="2" t="s">
        <v>2054</v>
      </c>
      <c r="B544" s="3" t="s">
        <v>403</v>
      </c>
      <c r="C544" s="28" t="s">
        <v>48</v>
      </c>
      <c r="D544" s="2" t="s">
        <v>2055</v>
      </c>
      <c r="E544" s="4" t="s">
        <v>2056</v>
      </c>
      <c r="F544" s="5">
        <v>48</v>
      </c>
      <c r="G544" s="5">
        <v>72</v>
      </c>
      <c r="H544" s="5">
        <v>55</v>
      </c>
      <c r="I544" s="10">
        <v>3</v>
      </c>
      <c r="J544" s="11">
        <f t="shared" si="43"/>
        <v>144</v>
      </c>
      <c r="K544" s="12" t="str">
        <f t="shared" si="40"/>
        <v>Low Stock_Reorder Needed</v>
      </c>
      <c r="L544" s="12">
        <f t="shared" si="41"/>
        <v>165</v>
      </c>
      <c r="M544" s="6">
        <v>45553</v>
      </c>
      <c r="N544" s="6">
        <v>45424</v>
      </c>
      <c r="O544" s="6">
        <v>45473</v>
      </c>
      <c r="P544" s="7" t="s">
        <v>2057</v>
      </c>
      <c r="Q544" s="5">
        <v>51</v>
      </c>
      <c r="R544" s="10">
        <f t="shared" si="42"/>
        <v>153</v>
      </c>
      <c r="S544" s="5">
        <v>41</v>
      </c>
      <c r="T544" s="5" t="s">
        <v>45</v>
      </c>
      <c r="U544" s="11">
        <f t="shared" si="44"/>
        <v>9</v>
      </c>
    </row>
    <row r="545" spans="1:21" ht="16" x14ac:dyDescent="0.4">
      <c r="A545" s="2" t="s">
        <v>2058</v>
      </c>
      <c r="B545" s="3" t="s">
        <v>99</v>
      </c>
      <c r="C545" s="28" t="s">
        <v>48</v>
      </c>
      <c r="D545" s="2" t="s">
        <v>2059</v>
      </c>
      <c r="E545" s="4" t="s">
        <v>766</v>
      </c>
      <c r="F545" s="5">
        <v>58</v>
      </c>
      <c r="G545" s="5">
        <v>15</v>
      </c>
      <c r="H545" s="5">
        <v>87</v>
      </c>
      <c r="I545" s="10">
        <v>5.9</v>
      </c>
      <c r="J545" s="11">
        <f t="shared" si="43"/>
        <v>342.20000000000005</v>
      </c>
      <c r="K545" s="12" t="str">
        <f t="shared" si="40"/>
        <v>Stock_Sufficient</v>
      </c>
      <c r="L545" s="12">
        <f t="shared" si="41"/>
        <v>513.30000000000007</v>
      </c>
      <c r="M545" s="6">
        <v>45483</v>
      </c>
      <c r="N545" s="6">
        <v>45473</v>
      </c>
      <c r="O545" s="6">
        <v>45502</v>
      </c>
      <c r="P545" s="7" t="s">
        <v>2060</v>
      </c>
      <c r="Q545" s="5">
        <v>52</v>
      </c>
      <c r="R545" s="10">
        <f t="shared" si="42"/>
        <v>306.8</v>
      </c>
      <c r="S545" s="5">
        <v>81</v>
      </c>
      <c r="T545" s="5" t="s">
        <v>39</v>
      </c>
      <c r="U545" s="11">
        <f t="shared" si="44"/>
        <v>-35.400000000000034</v>
      </c>
    </row>
    <row r="546" spans="1:21" ht="16" x14ac:dyDescent="0.4">
      <c r="A546" s="2" t="s">
        <v>2061</v>
      </c>
      <c r="B546" s="3" t="s">
        <v>70</v>
      </c>
      <c r="C546" s="28" t="s">
        <v>65</v>
      </c>
      <c r="D546" s="2" t="s">
        <v>2062</v>
      </c>
      <c r="E546" s="4" t="s">
        <v>597</v>
      </c>
      <c r="F546" s="5">
        <v>39</v>
      </c>
      <c r="G546" s="5">
        <v>55</v>
      </c>
      <c r="H546" s="5">
        <v>39</v>
      </c>
      <c r="I546" s="10">
        <v>3</v>
      </c>
      <c r="J546" s="11">
        <f t="shared" si="43"/>
        <v>117</v>
      </c>
      <c r="K546" s="12" t="str">
        <f t="shared" si="40"/>
        <v>Low Stock_Reorder Needed</v>
      </c>
      <c r="L546" s="12">
        <f t="shared" si="41"/>
        <v>117</v>
      </c>
      <c r="M546" s="6">
        <v>45519</v>
      </c>
      <c r="N546" s="6">
        <v>45480</v>
      </c>
      <c r="O546" s="6">
        <v>45463</v>
      </c>
      <c r="P546" s="7" t="s">
        <v>2063</v>
      </c>
      <c r="Q546" s="5">
        <v>47</v>
      </c>
      <c r="R546" s="10">
        <f t="shared" si="42"/>
        <v>141</v>
      </c>
      <c r="S546" s="5">
        <v>59</v>
      </c>
      <c r="T546" s="5" t="s">
        <v>39</v>
      </c>
      <c r="U546" s="11">
        <f t="shared" si="44"/>
        <v>24</v>
      </c>
    </row>
    <row r="547" spans="1:21" ht="16" x14ac:dyDescent="0.4">
      <c r="A547" s="2" t="s">
        <v>2064</v>
      </c>
      <c r="B547" s="3" t="s">
        <v>1206</v>
      </c>
      <c r="C547" s="28" t="s">
        <v>48</v>
      </c>
      <c r="D547" s="2" t="s">
        <v>2065</v>
      </c>
      <c r="E547" s="4" t="s">
        <v>305</v>
      </c>
      <c r="F547" s="5">
        <v>84</v>
      </c>
      <c r="G547" s="5">
        <v>28</v>
      </c>
      <c r="H547" s="5">
        <v>29</v>
      </c>
      <c r="I547" s="10">
        <v>4.4000000000000004</v>
      </c>
      <c r="J547" s="11">
        <f t="shared" si="43"/>
        <v>369.6</v>
      </c>
      <c r="K547" s="12" t="str">
        <f t="shared" si="40"/>
        <v>Stock_Sufficient</v>
      </c>
      <c r="L547" s="12">
        <f t="shared" si="41"/>
        <v>127.60000000000001</v>
      </c>
      <c r="M547" s="6">
        <v>45697</v>
      </c>
      <c r="N547" s="6">
        <v>45703</v>
      </c>
      <c r="O547" s="6">
        <v>45640</v>
      </c>
      <c r="P547" s="7" t="s">
        <v>2066</v>
      </c>
      <c r="Q547" s="5">
        <v>54</v>
      </c>
      <c r="R547" s="10">
        <f t="shared" si="42"/>
        <v>237.60000000000002</v>
      </c>
      <c r="S547" s="5">
        <v>32</v>
      </c>
      <c r="T547" s="5" t="s">
        <v>27</v>
      </c>
      <c r="U547" s="11">
        <f t="shared" si="44"/>
        <v>-132</v>
      </c>
    </row>
    <row r="548" spans="1:21" ht="16" x14ac:dyDescent="0.4">
      <c r="A548" s="2" t="s">
        <v>2067</v>
      </c>
      <c r="B548" s="3" t="s">
        <v>303</v>
      </c>
      <c r="C548" s="28" t="s">
        <v>133</v>
      </c>
      <c r="D548" s="2" t="s">
        <v>2068</v>
      </c>
      <c r="E548" s="4" t="s">
        <v>208</v>
      </c>
      <c r="F548" s="5">
        <v>30</v>
      </c>
      <c r="G548" s="5">
        <v>55</v>
      </c>
      <c r="H548" s="5">
        <v>4</v>
      </c>
      <c r="I548" s="10">
        <v>6</v>
      </c>
      <c r="J548" s="11">
        <f t="shared" si="43"/>
        <v>180</v>
      </c>
      <c r="K548" s="12" t="str">
        <f t="shared" si="40"/>
        <v>Low Stock_Reorder Needed</v>
      </c>
      <c r="L548" s="12">
        <f t="shared" si="41"/>
        <v>24</v>
      </c>
      <c r="M548" s="6">
        <v>45529</v>
      </c>
      <c r="N548" s="6">
        <v>45501</v>
      </c>
      <c r="O548" s="6">
        <v>45688</v>
      </c>
      <c r="P548" s="7" t="s">
        <v>2069</v>
      </c>
      <c r="Q548" s="5">
        <v>56</v>
      </c>
      <c r="R548" s="10">
        <f t="shared" si="42"/>
        <v>336</v>
      </c>
      <c r="S548" s="5">
        <v>31</v>
      </c>
      <c r="T548" s="5" t="s">
        <v>45</v>
      </c>
      <c r="U548" s="11">
        <f t="shared" si="44"/>
        <v>156</v>
      </c>
    </row>
    <row r="549" spans="1:21" ht="16" x14ac:dyDescent="0.4">
      <c r="A549" s="2" t="s">
        <v>2070</v>
      </c>
      <c r="B549" s="3" t="s">
        <v>738</v>
      </c>
      <c r="C549" s="28" t="s">
        <v>59</v>
      </c>
      <c r="D549" s="2" t="s">
        <v>2071</v>
      </c>
      <c r="E549" s="4" t="s">
        <v>717</v>
      </c>
      <c r="F549" s="5">
        <v>14</v>
      </c>
      <c r="G549" s="5">
        <v>84</v>
      </c>
      <c r="H549" s="5">
        <v>15</v>
      </c>
      <c r="I549" s="10">
        <v>6.5</v>
      </c>
      <c r="J549" s="11">
        <f t="shared" si="43"/>
        <v>91</v>
      </c>
      <c r="K549" s="12" t="str">
        <f t="shared" si="40"/>
        <v>Low Stock_Reorder Needed</v>
      </c>
      <c r="L549" s="12">
        <f t="shared" si="41"/>
        <v>97.5</v>
      </c>
      <c r="M549" s="6">
        <v>45685</v>
      </c>
      <c r="N549" s="6">
        <v>45695</v>
      </c>
      <c r="O549" s="6">
        <v>45638</v>
      </c>
      <c r="P549" s="7" t="s">
        <v>2072</v>
      </c>
      <c r="Q549" s="5">
        <v>51</v>
      </c>
      <c r="R549" s="10">
        <f t="shared" si="42"/>
        <v>331.5</v>
      </c>
      <c r="S549" s="5">
        <v>73</v>
      </c>
      <c r="T549" s="5" t="s">
        <v>45</v>
      </c>
      <c r="U549" s="11">
        <f t="shared" si="44"/>
        <v>240.5</v>
      </c>
    </row>
    <row r="550" spans="1:21" ht="16" x14ac:dyDescent="0.4">
      <c r="A550" s="2" t="s">
        <v>2073</v>
      </c>
      <c r="B550" s="3" t="s">
        <v>688</v>
      </c>
      <c r="C550" s="28" t="s">
        <v>23</v>
      </c>
      <c r="D550" s="2" t="s">
        <v>2074</v>
      </c>
      <c r="E550" s="4" t="s">
        <v>694</v>
      </c>
      <c r="F550" s="5">
        <v>21</v>
      </c>
      <c r="G550" s="5">
        <v>15</v>
      </c>
      <c r="H550" s="5">
        <v>27</v>
      </c>
      <c r="I550" s="10">
        <v>2.5</v>
      </c>
      <c r="J550" s="11">
        <f t="shared" si="43"/>
        <v>52.5</v>
      </c>
      <c r="K550" s="12" t="str">
        <f t="shared" si="40"/>
        <v>Stock_Sufficient</v>
      </c>
      <c r="L550" s="12">
        <f t="shared" si="41"/>
        <v>67.5</v>
      </c>
      <c r="M550" s="6">
        <v>45693</v>
      </c>
      <c r="N550" s="6">
        <v>45576</v>
      </c>
      <c r="O550" s="6">
        <v>45512</v>
      </c>
      <c r="P550" s="7" t="s">
        <v>2075</v>
      </c>
      <c r="Q550" s="5">
        <v>37</v>
      </c>
      <c r="R550" s="10">
        <f t="shared" si="42"/>
        <v>92.5</v>
      </c>
      <c r="S550" s="5">
        <v>41</v>
      </c>
      <c r="T550" s="5" t="s">
        <v>45</v>
      </c>
      <c r="U550" s="11">
        <f t="shared" si="44"/>
        <v>40</v>
      </c>
    </row>
    <row r="551" spans="1:21" ht="16" x14ac:dyDescent="0.4">
      <c r="A551" s="2" t="s">
        <v>2076</v>
      </c>
      <c r="B551" s="3" t="s">
        <v>468</v>
      </c>
      <c r="C551" s="28" t="s">
        <v>23</v>
      </c>
      <c r="D551" s="2" t="s">
        <v>2077</v>
      </c>
      <c r="E551" s="4" t="s">
        <v>2078</v>
      </c>
      <c r="F551" s="5">
        <v>17</v>
      </c>
      <c r="G551" s="5">
        <v>19</v>
      </c>
      <c r="H551" s="5">
        <v>74</v>
      </c>
      <c r="I551" s="10">
        <v>4.75</v>
      </c>
      <c r="J551" s="11">
        <f t="shared" si="43"/>
        <v>80.75</v>
      </c>
      <c r="K551" s="12" t="str">
        <f t="shared" si="40"/>
        <v>Low Stock_Reorder Needed</v>
      </c>
      <c r="L551" s="12">
        <f t="shared" si="41"/>
        <v>351.5</v>
      </c>
      <c r="M551" s="6">
        <v>45569</v>
      </c>
      <c r="N551" s="6">
        <v>45634</v>
      </c>
      <c r="O551" s="6">
        <v>45496</v>
      </c>
      <c r="P551" s="7" t="s">
        <v>2079</v>
      </c>
      <c r="Q551" s="5">
        <v>58</v>
      </c>
      <c r="R551" s="10">
        <f t="shared" si="42"/>
        <v>275.5</v>
      </c>
      <c r="S551" s="5">
        <v>27</v>
      </c>
      <c r="T551" s="5" t="s">
        <v>27</v>
      </c>
      <c r="U551" s="11">
        <f t="shared" si="44"/>
        <v>194.75</v>
      </c>
    </row>
    <row r="552" spans="1:21" ht="16" x14ac:dyDescent="0.4">
      <c r="A552" s="2" t="s">
        <v>2080</v>
      </c>
      <c r="B552" s="3" t="s">
        <v>595</v>
      </c>
      <c r="C552" s="28" t="s">
        <v>48</v>
      </c>
      <c r="D552" s="2" t="s">
        <v>2081</v>
      </c>
      <c r="E552" s="4" t="s">
        <v>433</v>
      </c>
      <c r="F552" s="5">
        <v>34</v>
      </c>
      <c r="G552" s="5">
        <v>92</v>
      </c>
      <c r="H552" s="5">
        <v>26</v>
      </c>
      <c r="I552" s="10">
        <v>2.5</v>
      </c>
      <c r="J552" s="11">
        <f t="shared" si="43"/>
        <v>85</v>
      </c>
      <c r="K552" s="12" t="str">
        <f t="shared" si="40"/>
        <v>Low Stock_Reorder Needed</v>
      </c>
      <c r="L552" s="12">
        <f t="shared" si="41"/>
        <v>65</v>
      </c>
      <c r="M552" s="6">
        <v>45536</v>
      </c>
      <c r="N552" s="6">
        <v>45392</v>
      </c>
      <c r="O552" s="6">
        <v>45653</v>
      </c>
      <c r="P552" s="7" t="s">
        <v>2082</v>
      </c>
      <c r="Q552" s="5">
        <v>28</v>
      </c>
      <c r="R552" s="10">
        <f t="shared" si="42"/>
        <v>70</v>
      </c>
      <c r="S552" s="5">
        <v>71</v>
      </c>
      <c r="T552" s="5" t="s">
        <v>45</v>
      </c>
      <c r="U552" s="11">
        <f t="shared" si="44"/>
        <v>-15</v>
      </c>
    </row>
    <row r="553" spans="1:21" ht="16" x14ac:dyDescent="0.4">
      <c r="A553" s="2" t="s">
        <v>2083</v>
      </c>
      <c r="B553" s="3" t="s">
        <v>468</v>
      </c>
      <c r="C553" s="28" t="s">
        <v>23</v>
      </c>
      <c r="D553" s="2" t="s">
        <v>2084</v>
      </c>
      <c r="E553" s="4" t="s">
        <v>101</v>
      </c>
      <c r="F553" s="5">
        <v>56</v>
      </c>
      <c r="G553" s="5">
        <v>48</v>
      </c>
      <c r="H553" s="5">
        <v>82</v>
      </c>
      <c r="I553" s="10">
        <v>4.75</v>
      </c>
      <c r="J553" s="11">
        <f t="shared" si="43"/>
        <v>266</v>
      </c>
      <c r="K553" s="12" t="str">
        <f t="shared" si="40"/>
        <v>Stock_Sufficient</v>
      </c>
      <c r="L553" s="12">
        <f t="shared" si="41"/>
        <v>389.5</v>
      </c>
      <c r="M553" s="6">
        <v>45583</v>
      </c>
      <c r="N553" s="6">
        <v>45647</v>
      </c>
      <c r="O553" s="6">
        <v>45668</v>
      </c>
      <c r="P553" s="7" t="s">
        <v>2085</v>
      </c>
      <c r="Q553" s="5">
        <v>71</v>
      </c>
      <c r="R553" s="10">
        <f t="shared" si="42"/>
        <v>337.25</v>
      </c>
      <c r="S553" s="5">
        <v>65</v>
      </c>
      <c r="T553" s="5" t="s">
        <v>39</v>
      </c>
      <c r="U553" s="11">
        <f t="shared" si="44"/>
        <v>71.25</v>
      </c>
    </row>
    <row r="554" spans="1:21" ht="16" x14ac:dyDescent="0.4">
      <c r="A554" s="2" t="s">
        <v>2086</v>
      </c>
      <c r="B554" s="3" t="s">
        <v>47</v>
      </c>
      <c r="C554" s="28" t="s">
        <v>48</v>
      </c>
      <c r="D554" s="2" t="s">
        <v>2087</v>
      </c>
      <c r="E554" s="4" t="s">
        <v>1774</v>
      </c>
      <c r="F554" s="5">
        <v>64</v>
      </c>
      <c r="G554" s="5">
        <v>71</v>
      </c>
      <c r="H554" s="5">
        <v>69</v>
      </c>
      <c r="I554" s="10">
        <v>3.9</v>
      </c>
      <c r="J554" s="11">
        <f t="shared" si="43"/>
        <v>249.6</v>
      </c>
      <c r="K554" s="12" t="str">
        <f t="shared" si="40"/>
        <v>Low Stock_Reorder Needed</v>
      </c>
      <c r="L554" s="12">
        <f t="shared" si="41"/>
        <v>269.09999999999997</v>
      </c>
      <c r="M554" s="6">
        <v>45575</v>
      </c>
      <c r="N554" s="6">
        <v>45457</v>
      </c>
      <c r="O554" s="6">
        <v>45575</v>
      </c>
      <c r="P554" s="7" t="s">
        <v>2088</v>
      </c>
      <c r="Q554" s="5">
        <v>60</v>
      </c>
      <c r="R554" s="10">
        <f t="shared" si="42"/>
        <v>234</v>
      </c>
      <c r="S554" s="5">
        <v>67</v>
      </c>
      <c r="T554" s="5" t="s">
        <v>45</v>
      </c>
      <c r="U554" s="11">
        <f t="shared" si="44"/>
        <v>-15.599999999999994</v>
      </c>
    </row>
    <row r="555" spans="1:21" ht="16" x14ac:dyDescent="0.4">
      <c r="A555" s="2" t="s">
        <v>2089</v>
      </c>
      <c r="B555" s="3" t="s">
        <v>1126</v>
      </c>
      <c r="C555" s="28" t="s">
        <v>48</v>
      </c>
      <c r="D555" s="2" t="s">
        <v>2090</v>
      </c>
      <c r="E555" s="4" t="s">
        <v>1280</v>
      </c>
      <c r="F555" s="5">
        <v>87</v>
      </c>
      <c r="G555" s="5">
        <v>62</v>
      </c>
      <c r="H555" s="5">
        <v>2</v>
      </c>
      <c r="I555" s="10">
        <v>5.5</v>
      </c>
      <c r="J555" s="11">
        <f t="shared" si="43"/>
        <v>478.5</v>
      </c>
      <c r="K555" s="12" t="str">
        <f t="shared" si="40"/>
        <v>Stock_Sufficient</v>
      </c>
      <c r="L555" s="12">
        <f t="shared" si="41"/>
        <v>11</v>
      </c>
      <c r="M555" s="6">
        <v>45482</v>
      </c>
      <c r="N555" s="6">
        <v>45376</v>
      </c>
      <c r="O555" s="6">
        <v>45565</v>
      </c>
      <c r="P555" s="7" t="s">
        <v>2091</v>
      </c>
      <c r="Q555" s="5">
        <v>22</v>
      </c>
      <c r="R555" s="10">
        <f t="shared" si="42"/>
        <v>121</v>
      </c>
      <c r="S555" s="5">
        <v>38</v>
      </c>
      <c r="T555" s="5" t="s">
        <v>39</v>
      </c>
      <c r="U555" s="11">
        <f t="shared" si="44"/>
        <v>-357.5</v>
      </c>
    </row>
    <row r="556" spans="1:21" ht="16" x14ac:dyDescent="0.4">
      <c r="A556" s="2" t="s">
        <v>2092</v>
      </c>
      <c r="B556" s="3" t="s">
        <v>1206</v>
      </c>
      <c r="C556" s="28" t="s">
        <v>48</v>
      </c>
      <c r="D556" s="2" t="s">
        <v>2093</v>
      </c>
      <c r="E556" s="4" t="s">
        <v>289</v>
      </c>
      <c r="F556" s="5">
        <v>24</v>
      </c>
      <c r="G556" s="5">
        <v>25</v>
      </c>
      <c r="H556" s="5">
        <v>52</v>
      </c>
      <c r="I556" s="10">
        <v>4.5</v>
      </c>
      <c r="J556" s="11">
        <f t="shared" si="43"/>
        <v>108</v>
      </c>
      <c r="K556" s="12" t="str">
        <f t="shared" si="40"/>
        <v>Low Stock_Reorder Needed</v>
      </c>
      <c r="L556" s="12">
        <f t="shared" si="41"/>
        <v>234</v>
      </c>
      <c r="M556" s="6">
        <v>45437</v>
      </c>
      <c r="N556" s="6">
        <v>45435</v>
      </c>
      <c r="O556" s="6">
        <v>45552</v>
      </c>
      <c r="P556" s="7" t="s">
        <v>2094</v>
      </c>
      <c r="Q556" s="5">
        <v>24</v>
      </c>
      <c r="R556" s="10">
        <f t="shared" si="42"/>
        <v>108</v>
      </c>
      <c r="S556" s="5">
        <v>77</v>
      </c>
      <c r="T556" s="5" t="s">
        <v>39</v>
      </c>
      <c r="U556" s="11">
        <f t="shared" si="44"/>
        <v>0</v>
      </c>
    </row>
    <row r="557" spans="1:21" ht="16" x14ac:dyDescent="0.4">
      <c r="A557" s="2" t="s">
        <v>2095</v>
      </c>
      <c r="B557" s="3" t="s">
        <v>22</v>
      </c>
      <c r="C557" s="28" t="s">
        <v>23</v>
      </c>
      <c r="D557" s="2" t="s">
        <v>2096</v>
      </c>
      <c r="E557" s="4" t="s">
        <v>486</v>
      </c>
      <c r="F557" s="5">
        <v>47</v>
      </c>
      <c r="G557" s="5">
        <v>1</v>
      </c>
      <c r="H557" s="5">
        <v>60</v>
      </c>
      <c r="I557" s="10">
        <v>4.2</v>
      </c>
      <c r="J557" s="11">
        <f t="shared" si="43"/>
        <v>197.4</v>
      </c>
      <c r="K557" s="12" t="str">
        <f t="shared" si="40"/>
        <v>Stock_Sufficient</v>
      </c>
      <c r="L557" s="12">
        <f t="shared" si="41"/>
        <v>252</v>
      </c>
      <c r="M557" s="6">
        <v>45686</v>
      </c>
      <c r="N557" s="6">
        <v>45431</v>
      </c>
      <c r="O557" s="6">
        <v>45400</v>
      </c>
      <c r="P557" s="7" t="s">
        <v>2097</v>
      </c>
      <c r="Q557" s="5">
        <v>32</v>
      </c>
      <c r="R557" s="10">
        <f t="shared" si="42"/>
        <v>134.4</v>
      </c>
      <c r="S557" s="5">
        <v>87</v>
      </c>
      <c r="T557" s="5" t="s">
        <v>27</v>
      </c>
      <c r="U557" s="11">
        <f t="shared" si="44"/>
        <v>-63</v>
      </c>
    </row>
    <row r="558" spans="1:21" ht="16" x14ac:dyDescent="0.4">
      <c r="A558" s="2" t="s">
        <v>2098</v>
      </c>
      <c r="B558" s="3" t="s">
        <v>984</v>
      </c>
      <c r="C558" s="28" t="s">
        <v>90</v>
      </c>
      <c r="D558" s="2" t="s">
        <v>2099</v>
      </c>
      <c r="E558" s="4" t="s">
        <v>908</v>
      </c>
      <c r="F558" s="5">
        <v>61</v>
      </c>
      <c r="G558" s="5">
        <v>8</v>
      </c>
      <c r="H558" s="5">
        <v>45</v>
      </c>
      <c r="I558" s="10">
        <v>4</v>
      </c>
      <c r="J558" s="11">
        <f t="shared" si="43"/>
        <v>244</v>
      </c>
      <c r="K558" s="12" t="str">
        <f t="shared" si="40"/>
        <v>Stock_Sufficient</v>
      </c>
      <c r="L558" s="12">
        <f t="shared" si="41"/>
        <v>180</v>
      </c>
      <c r="M558" s="6">
        <v>45463</v>
      </c>
      <c r="N558" s="6">
        <v>45562</v>
      </c>
      <c r="O558" s="6">
        <v>45552</v>
      </c>
      <c r="P558" s="7" t="s">
        <v>2100</v>
      </c>
      <c r="Q558" s="5">
        <v>73</v>
      </c>
      <c r="R558" s="10">
        <f t="shared" si="42"/>
        <v>292</v>
      </c>
      <c r="S558" s="5">
        <v>64</v>
      </c>
      <c r="T558" s="5" t="s">
        <v>27</v>
      </c>
      <c r="U558" s="11">
        <f t="shared" si="44"/>
        <v>48</v>
      </c>
    </row>
    <row r="559" spans="1:21" ht="16" x14ac:dyDescent="0.4">
      <c r="A559" s="2" t="s">
        <v>2101</v>
      </c>
      <c r="B559" s="3" t="s">
        <v>89</v>
      </c>
      <c r="C559" s="28" t="s">
        <v>90</v>
      </c>
      <c r="D559" s="2" t="s">
        <v>2102</v>
      </c>
      <c r="E559" s="4" t="s">
        <v>352</v>
      </c>
      <c r="F559" s="5">
        <v>48</v>
      </c>
      <c r="G559" s="5">
        <v>2</v>
      </c>
      <c r="H559" s="5">
        <v>16</v>
      </c>
      <c r="I559" s="10">
        <v>2.8</v>
      </c>
      <c r="J559" s="11">
        <f t="shared" si="43"/>
        <v>134.39999999999998</v>
      </c>
      <c r="K559" s="12" t="str">
        <f t="shared" si="40"/>
        <v>Stock_Sufficient</v>
      </c>
      <c r="L559" s="12">
        <f t="shared" si="41"/>
        <v>44.8</v>
      </c>
      <c r="M559" s="6">
        <v>45377</v>
      </c>
      <c r="N559" s="6">
        <v>45620</v>
      </c>
      <c r="O559" s="6">
        <v>45451</v>
      </c>
      <c r="P559" s="7" t="s">
        <v>2103</v>
      </c>
      <c r="Q559" s="5">
        <v>27</v>
      </c>
      <c r="R559" s="10">
        <f t="shared" si="42"/>
        <v>75.599999999999994</v>
      </c>
      <c r="S559" s="5">
        <v>1</v>
      </c>
      <c r="T559" s="5" t="s">
        <v>27</v>
      </c>
      <c r="U559" s="11">
        <f t="shared" si="44"/>
        <v>-58.799999999999983</v>
      </c>
    </row>
    <row r="560" spans="1:21" ht="16" x14ac:dyDescent="0.4">
      <c r="A560" s="2" t="s">
        <v>2104</v>
      </c>
      <c r="B560" s="3" t="s">
        <v>446</v>
      </c>
      <c r="C560" s="28" t="s">
        <v>90</v>
      </c>
      <c r="D560" s="2" t="s">
        <v>2105</v>
      </c>
      <c r="E560" s="4" t="s">
        <v>422</v>
      </c>
      <c r="F560" s="5">
        <v>37</v>
      </c>
      <c r="G560" s="5">
        <v>96</v>
      </c>
      <c r="H560" s="5">
        <v>82</v>
      </c>
      <c r="I560" s="10">
        <v>5</v>
      </c>
      <c r="J560" s="11">
        <f t="shared" si="43"/>
        <v>185</v>
      </c>
      <c r="K560" s="12" t="str">
        <f t="shared" si="40"/>
        <v>Low Stock_Reorder Needed</v>
      </c>
      <c r="L560" s="12">
        <f t="shared" si="41"/>
        <v>410</v>
      </c>
      <c r="M560" s="6">
        <v>45571</v>
      </c>
      <c r="N560" s="6">
        <v>45671</v>
      </c>
      <c r="O560" s="6">
        <v>45632</v>
      </c>
      <c r="P560" s="7" t="s">
        <v>2106</v>
      </c>
      <c r="Q560" s="5">
        <v>35</v>
      </c>
      <c r="R560" s="10">
        <f t="shared" si="42"/>
        <v>175</v>
      </c>
      <c r="S560" s="5">
        <v>23</v>
      </c>
      <c r="T560" s="5" t="s">
        <v>39</v>
      </c>
      <c r="U560" s="11">
        <f t="shared" si="44"/>
        <v>-10</v>
      </c>
    </row>
    <row r="561" spans="1:21" ht="16" x14ac:dyDescent="0.4">
      <c r="A561" s="2" t="s">
        <v>2107</v>
      </c>
      <c r="B561" s="3" t="s">
        <v>29</v>
      </c>
      <c r="C561" s="28" t="s">
        <v>30</v>
      </c>
      <c r="D561" s="2" t="s">
        <v>2108</v>
      </c>
      <c r="E561" s="4" t="s">
        <v>1589</v>
      </c>
      <c r="F561" s="5">
        <v>45</v>
      </c>
      <c r="G561" s="5">
        <v>36</v>
      </c>
      <c r="H561" s="5">
        <v>97</v>
      </c>
      <c r="I561" s="10">
        <v>20</v>
      </c>
      <c r="J561" s="11">
        <f t="shared" si="43"/>
        <v>900</v>
      </c>
      <c r="K561" s="12" t="str">
        <f t="shared" si="40"/>
        <v>Stock_Sufficient</v>
      </c>
      <c r="L561" s="12">
        <f t="shared" si="41"/>
        <v>1940</v>
      </c>
      <c r="M561" s="6">
        <v>45653</v>
      </c>
      <c r="N561" s="6">
        <v>45438</v>
      </c>
      <c r="O561" s="6">
        <v>45682</v>
      </c>
      <c r="P561" s="7" t="s">
        <v>2109</v>
      </c>
      <c r="Q561" s="5">
        <v>36</v>
      </c>
      <c r="R561" s="10">
        <f t="shared" si="42"/>
        <v>720</v>
      </c>
      <c r="S561" s="5">
        <v>6</v>
      </c>
      <c r="T561" s="5" t="s">
        <v>45</v>
      </c>
      <c r="U561" s="11">
        <f t="shared" si="44"/>
        <v>-180</v>
      </c>
    </row>
    <row r="562" spans="1:21" ht="16" x14ac:dyDescent="0.4">
      <c r="A562" s="2" t="s">
        <v>2110</v>
      </c>
      <c r="B562" s="3" t="s">
        <v>109</v>
      </c>
      <c r="C562" s="28" t="s">
        <v>23</v>
      </c>
      <c r="D562" s="2" t="s">
        <v>2111</v>
      </c>
      <c r="E562" s="4" t="s">
        <v>849</v>
      </c>
      <c r="F562" s="5">
        <v>87</v>
      </c>
      <c r="G562" s="5">
        <v>97</v>
      </c>
      <c r="H562" s="5">
        <v>28</v>
      </c>
      <c r="I562" s="10">
        <v>1.5</v>
      </c>
      <c r="J562" s="11">
        <f t="shared" si="43"/>
        <v>130.5</v>
      </c>
      <c r="K562" s="12" t="str">
        <f t="shared" si="40"/>
        <v>Low Stock_Reorder Needed</v>
      </c>
      <c r="L562" s="12">
        <f t="shared" si="41"/>
        <v>42</v>
      </c>
      <c r="M562" s="6">
        <v>45455</v>
      </c>
      <c r="N562" s="6">
        <v>45558</v>
      </c>
      <c r="O562" s="6">
        <v>45400</v>
      </c>
      <c r="P562" s="7" t="s">
        <v>2112</v>
      </c>
      <c r="Q562" s="5">
        <v>58</v>
      </c>
      <c r="R562" s="10">
        <f t="shared" si="42"/>
        <v>87</v>
      </c>
      <c r="S562" s="5">
        <v>21</v>
      </c>
      <c r="T562" s="5" t="s">
        <v>45</v>
      </c>
      <c r="U562" s="11">
        <f t="shared" si="44"/>
        <v>-43.5</v>
      </c>
    </row>
    <row r="563" spans="1:21" ht="16" x14ac:dyDescent="0.4">
      <c r="A563" s="2" t="s">
        <v>2113</v>
      </c>
      <c r="B563" s="3" t="s">
        <v>502</v>
      </c>
      <c r="C563" s="28" t="s">
        <v>23</v>
      </c>
      <c r="D563" s="2" t="s">
        <v>2114</v>
      </c>
      <c r="E563" s="4" t="s">
        <v>831</v>
      </c>
      <c r="F563" s="5">
        <v>37</v>
      </c>
      <c r="G563" s="5">
        <v>47</v>
      </c>
      <c r="H563" s="5">
        <v>34</v>
      </c>
      <c r="I563" s="10">
        <v>9.5</v>
      </c>
      <c r="J563" s="11">
        <f t="shared" si="43"/>
        <v>351.5</v>
      </c>
      <c r="K563" s="12" t="str">
        <f t="shared" si="40"/>
        <v>Low Stock_Reorder Needed</v>
      </c>
      <c r="L563" s="12">
        <f t="shared" si="41"/>
        <v>323</v>
      </c>
      <c r="M563" s="6">
        <v>45503</v>
      </c>
      <c r="N563" s="6">
        <v>45596</v>
      </c>
      <c r="O563" s="6">
        <v>45493</v>
      </c>
      <c r="P563" s="7" t="s">
        <v>2115</v>
      </c>
      <c r="Q563" s="5">
        <v>38</v>
      </c>
      <c r="R563" s="10">
        <f t="shared" si="42"/>
        <v>361</v>
      </c>
      <c r="S563" s="5">
        <v>89</v>
      </c>
      <c r="T563" s="5" t="s">
        <v>39</v>
      </c>
      <c r="U563" s="11">
        <f t="shared" si="44"/>
        <v>9.5</v>
      </c>
    </row>
    <row r="564" spans="1:21" ht="16" x14ac:dyDescent="0.4">
      <c r="A564" s="2" t="s">
        <v>2116</v>
      </c>
      <c r="B564" s="3" t="s">
        <v>776</v>
      </c>
      <c r="C564" s="28" t="s">
        <v>30</v>
      </c>
      <c r="D564" s="2" t="s">
        <v>2117</v>
      </c>
      <c r="E564" s="4" t="s">
        <v>272</v>
      </c>
      <c r="F564" s="5">
        <v>59</v>
      </c>
      <c r="G564" s="5">
        <v>62</v>
      </c>
      <c r="H564" s="5">
        <v>57</v>
      </c>
      <c r="I564" s="10">
        <v>10.3</v>
      </c>
      <c r="J564" s="11">
        <f t="shared" si="43"/>
        <v>607.70000000000005</v>
      </c>
      <c r="K564" s="12" t="str">
        <f t="shared" si="40"/>
        <v>Low Stock_Reorder Needed</v>
      </c>
      <c r="L564" s="12">
        <f t="shared" si="41"/>
        <v>587.1</v>
      </c>
      <c r="M564" s="6">
        <v>45546</v>
      </c>
      <c r="N564" s="6">
        <v>45489</v>
      </c>
      <c r="O564" s="6">
        <v>45347</v>
      </c>
      <c r="P564" s="7" t="s">
        <v>2118</v>
      </c>
      <c r="Q564" s="5">
        <v>90</v>
      </c>
      <c r="R564" s="10">
        <f t="shared" si="42"/>
        <v>927.00000000000011</v>
      </c>
      <c r="S564" s="5">
        <v>94</v>
      </c>
      <c r="T564" s="5" t="s">
        <v>39</v>
      </c>
      <c r="U564" s="11">
        <f t="shared" si="44"/>
        <v>319.30000000000007</v>
      </c>
    </row>
    <row r="565" spans="1:21" ht="16" x14ac:dyDescent="0.4">
      <c r="A565" s="2" t="s">
        <v>2119</v>
      </c>
      <c r="B565" s="3" t="s">
        <v>546</v>
      </c>
      <c r="C565" s="28" t="s">
        <v>48</v>
      </c>
      <c r="D565" s="2" t="s">
        <v>2120</v>
      </c>
      <c r="E565" s="4" t="s">
        <v>2121</v>
      </c>
      <c r="F565" s="5">
        <v>62</v>
      </c>
      <c r="G565" s="5">
        <v>40</v>
      </c>
      <c r="H565" s="5">
        <v>86</v>
      </c>
      <c r="I565" s="10">
        <v>6</v>
      </c>
      <c r="J565" s="11">
        <f t="shared" si="43"/>
        <v>372</v>
      </c>
      <c r="K565" s="12" t="str">
        <f t="shared" si="40"/>
        <v>Stock_Sufficient</v>
      </c>
      <c r="L565" s="12">
        <f t="shared" si="41"/>
        <v>516</v>
      </c>
      <c r="M565" s="6">
        <v>45488</v>
      </c>
      <c r="N565" s="6">
        <v>45612</v>
      </c>
      <c r="O565" s="6">
        <v>45448</v>
      </c>
      <c r="P565" s="7" t="s">
        <v>2122</v>
      </c>
      <c r="Q565" s="5">
        <v>45</v>
      </c>
      <c r="R565" s="10">
        <f t="shared" si="42"/>
        <v>270</v>
      </c>
      <c r="S565" s="5">
        <v>86</v>
      </c>
      <c r="T565" s="5" t="s">
        <v>39</v>
      </c>
      <c r="U565" s="11">
        <f t="shared" si="44"/>
        <v>-102</v>
      </c>
    </row>
    <row r="566" spans="1:21" ht="16" x14ac:dyDescent="0.4">
      <c r="A566" s="2" t="s">
        <v>2123</v>
      </c>
      <c r="B566" s="3" t="s">
        <v>1219</v>
      </c>
      <c r="C566" s="28" t="s">
        <v>65</v>
      </c>
      <c r="D566" s="2" t="s">
        <v>2124</v>
      </c>
      <c r="E566" s="4" t="s">
        <v>1606</v>
      </c>
      <c r="F566" s="5">
        <v>63</v>
      </c>
      <c r="G566" s="5">
        <v>12</v>
      </c>
      <c r="H566" s="5">
        <v>82</v>
      </c>
      <c r="I566" s="10">
        <v>1.7</v>
      </c>
      <c r="J566" s="11">
        <f t="shared" si="43"/>
        <v>107.1</v>
      </c>
      <c r="K566" s="12" t="str">
        <f t="shared" si="40"/>
        <v>Stock_Sufficient</v>
      </c>
      <c r="L566" s="12">
        <f t="shared" si="41"/>
        <v>139.4</v>
      </c>
      <c r="M566" s="6">
        <v>45558</v>
      </c>
      <c r="N566" s="6">
        <v>45474</v>
      </c>
      <c r="O566" s="6">
        <v>45435</v>
      </c>
      <c r="P566" s="7" t="s">
        <v>2125</v>
      </c>
      <c r="Q566" s="5">
        <v>56</v>
      </c>
      <c r="R566" s="10">
        <f t="shared" si="42"/>
        <v>95.2</v>
      </c>
      <c r="S566" s="5">
        <v>31</v>
      </c>
      <c r="T566" s="5" t="s">
        <v>39</v>
      </c>
      <c r="U566" s="11">
        <f t="shared" si="44"/>
        <v>-11.899999999999991</v>
      </c>
    </row>
    <row r="567" spans="1:21" ht="16" x14ac:dyDescent="0.4">
      <c r="A567" s="2" t="s">
        <v>2126</v>
      </c>
      <c r="B567" s="3" t="s">
        <v>1126</v>
      </c>
      <c r="C567" s="28" t="s">
        <v>48</v>
      </c>
      <c r="D567" s="2" t="s">
        <v>2127</v>
      </c>
      <c r="E567" s="4" t="s">
        <v>232</v>
      </c>
      <c r="F567" s="5">
        <v>38</v>
      </c>
      <c r="G567" s="5">
        <v>72</v>
      </c>
      <c r="H567" s="5">
        <v>39</v>
      </c>
      <c r="I567" s="10">
        <v>5.5</v>
      </c>
      <c r="J567" s="11">
        <f t="shared" si="43"/>
        <v>209</v>
      </c>
      <c r="K567" s="12" t="str">
        <f t="shared" si="40"/>
        <v>Low Stock_Reorder Needed</v>
      </c>
      <c r="L567" s="12">
        <f t="shared" si="41"/>
        <v>214.5</v>
      </c>
      <c r="M567" s="6">
        <v>45483</v>
      </c>
      <c r="N567" s="6">
        <v>45467</v>
      </c>
      <c r="O567" s="6">
        <v>45575</v>
      </c>
      <c r="P567" s="7" t="s">
        <v>2128</v>
      </c>
      <c r="Q567" s="5">
        <v>59</v>
      </c>
      <c r="R567" s="10">
        <f t="shared" si="42"/>
        <v>324.5</v>
      </c>
      <c r="S567" s="5">
        <v>8</v>
      </c>
      <c r="T567" s="5" t="s">
        <v>45</v>
      </c>
      <c r="U567" s="11">
        <f t="shared" si="44"/>
        <v>115.5</v>
      </c>
    </row>
    <row r="568" spans="1:21" ht="16" x14ac:dyDescent="0.4">
      <c r="A568" s="2" t="s">
        <v>2129</v>
      </c>
      <c r="B568" s="3" t="s">
        <v>1043</v>
      </c>
      <c r="C568" s="28" t="s">
        <v>133</v>
      </c>
      <c r="D568" s="2" t="s">
        <v>2130</v>
      </c>
      <c r="E568" s="4" t="s">
        <v>2131</v>
      </c>
      <c r="F568" s="5">
        <v>76</v>
      </c>
      <c r="G568" s="5">
        <v>21</v>
      </c>
      <c r="H568" s="5">
        <v>3</v>
      </c>
      <c r="I568" s="10">
        <v>7.5</v>
      </c>
      <c r="J568" s="11">
        <f t="shared" si="43"/>
        <v>570</v>
      </c>
      <c r="K568" s="12" t="str">
        <f t="shared" si="40"/>
        <v>Stock_Sufficient</v>
      </c>
      <c r="L568" s="12">
        <f t="shared" si="41"/>
        <v>22.5</v>
      </c>
      <c r="M568" s="6">
        <v>45678</v>
      </c>
      <c r="N568" s="6">
        <v>45514</v>
      </c>
      <c r="O568" s="6">
        <v>45365</v>
      </c>
      <c r="P568" s="7" t="s">
        <v>2132</v>
      </c>
      <c r="Q568" s="5">
        <v>31</v>
      </c>
      <c r="R568" s="10">
        <f t="shared" si="42"/>
        <v>232.5</v>
      </c>
      <c r="S568" s="5">
        <v>47</v>
      </c>
      <c r="T568" s="5" t="s">
        <v>27</v>
      </c>
      <c r="U568" s="11">
        <f t="shared" si="44"/>
        <v>-337.5</v>
      </c>
    </row>
    <row r="569" spans="1:21" ht="16" x14ac:dyDescent="0.4">
      <c r="A569" s="2" t="s">
        <v>2133</v>
      </c>
      <c r="B569" s="3" t="s">
        <v>158</v>
      </c>
      <c r="C569" s="28" t="s">
        <v>65</v>
      </c>
      <c r="D569" s="2" t="s">
        <v>2134</v>
      </c>
      <c r="E569" s="4" t="s">
        <v>663</v>
      </c>
      <c r="F569" s="5">
        <v>34</v>
      </c>
      <c r="G569" s="5">
        <v>94</v>
      </c>
      <c r="H569" s="5">
        <v>69</v>
      </c>
      <c r="I569" s="10">
        <v>0.8</v>
      </c>
      <c r="J569" s="11">
        <f t="shared" si="43"/>
        <v>27.200000000000003</v>
      </c>
      <c r="K569" s="12" t="str">
        <f t="shared" si="40"/>
        <v>Low Stock_Reorder Needed</v>
      </c>
      <c r="L569" s="12">
        <f t="shared" si="41"/>
        <v>55.2</v>
      </c>
      <c r="M569" s="6">
        <v>45660</v>
      </c>
      <c r="N569" s="6">
        <v>45363</v>
      </c>
      <c r="O569" s="6">
        <v>45490</v>
      </c>
      <c r="P569" s="7" t="s">
        <v>2135</v>
      </c>
      <c r="Q569" s="5">
        <v>96</v>
      </c>
      <c r="R569" s="10">
        <f t="shared" si="42"/>
        <v>76.800000000000011</v>
      </c>
      <c r="S569" s="5">
        <v>30</v>
      </c>
      <c r="T569" s="5" t="s">
        <v>39</v>
      </c>
      <c r="U569" s="11">
        <f t="shared" si="44"/>
        <v>49.600000000000009</v>
      </c>
    </row>
    <row r="570" spans="1:21" ht="16" x14ac:dyDescent="0.4">
      <c r="A570" s="2" t="s">
        <v>2136</v>
      </c>
      <c r="B570" s="3" t="s">
        <v>355</v>
      </c>
      <c r="C570" s="28" t="s">
        <v>48</v>
      </c>
      <c r="D570" s="2" t="s">
        <v>2137</v>
      </c>
      <c r="E570" s="4" t="s">
        <v>2138</v>
      </c>
      <c r="F570" s="5">
        <v>25</v>
      </c>
      <c r="G570" s="5">
        <v>62</v>
      </c>
      <c r="H570" s="5">
        <v>11</v>
      </c>
      <c r="I570" s="10">
        <v>3</v>
      </c>
      <c r="J570" s="11">
        <f t="shared" si="43"/>
        <v>75</v>
      </c>
      <c r="K570" s="12" t="str">
        <f t="shared" si="40"/>
        <v>Low Stock_Reorder Needed</v>
      </c>
      <c r="L570" s="12">
        <f t="shared" si="41"/>
        <v>33</v>
      </c>
      <c r="M570" s="6">
        <v>45566</v>
      </c>
      <c r="N570" s="6">
        <v>45627</v>
      </c>
      <c r="O570" s="6">
        <v>45542</v>
      </c>
      <c r="P570" s="7" t="s">
        <v>2139</v>
      </c>
      <c r="Q570" s="5">
        <v>57</v>
      </c>
      <c r="R570" s="10">
        <f t="shared" si="42"/>
        <v>171</v>
      </c>
      <c r="S570" s="5">
        <v>98</v>
      </c>
      <c r="T570" s="5" t="s">
        <v>39</v>
      </c>
      <c r="U570" s="11">
        <f t="shared" si="44"/>
        <v>96</v>
      </c>
    </row>
    <row r="571" spans="1:21" ht="16" x14ac:dyDescent="0.4">
      <c r="A571" s="2" t="s">
        <v>2140</v>
      </c>
      <c r="B571" s="3" t="s">
        <v>729</v>
      </c>
      <c r="C571" s="28" t="s">
        <v>65</v>
      </c>
      <c r="D571" s="2" t="s">
        <v>2141</v>
      </c>
      <c r="E571" s="4" t="s">
        <v>2142</v>
      </c>
      <c r="F571" s="5">
        <v>86</v>
      </c>
      <c r="G571" s="5">
        <v>16</v>
      </c>
      <c r="H571" s="5">
        <v>37</v>
      </c>
      <c r="I571" s="10">
        <v>2.5</v>
      </c>
      <c r="J571" s="11">
        <f t="shared" si="43"/>
        <v>215</v>
      </c>
      <c r="K571" s="12" t="str">
        <f t="shared" si="40"/>
        <v>Stock_Sufficient</v>
      </c>
      <c r="L571" s="12">
        <f t="shared" si="41"/>
        <v>92.5</v>
      </c>
      <c r="M571" s="6">
        <v>45378</v>
      </c>
      <c r="N571" s="6">
        <v>45421</v>
      </c>
      <c r="O571" s="6">
        <v>45646</v>
      </c>
      <c r="P571" s="7" t="s">
        <v>2143</v>
      </c>
      <c r="Q571" s="5">
        <v>34</v>
      </c>
      <c r="R571" s="10">
        <f t="shared" si="42"/>
        <v>85</v>
      </c>
      <c r="S571" s="5">
        <v>66</v>
      </c>
      <c r="T571" s="5" t="s">
        <v>45</v>
      </c>
      <c r="U571" s="11">
        <f t="shared" si="44"/>
        <v>-130</v>
      </c>
    </row>
    <row r="572" spans="1:21" ht="16" x14ac:dyDescent="0.4">
      <c r="A572" s="2" t="s">
        <v>2144</v>
      </c>
      <c r="B572" s="3" t="s">
        <v>168</v>
      </c>
      <c r="C572" s="28" t="s">
        <v>90</v>
      </c>
      <c r="D572" s="2" t="s">
        <v>2145</v>
      </c>
      <c r="E572" s="4" t="s">
        <v>1674</v>
      </c>
      <c r="F572" s="5">
        <v>41</v>
      </c>
      <c r="G572" s="5">
        <v>21</v>
      </c>
      <c r="H572" s="5">
        <v>47</v>
      </c>
      <c r="I572" s="10">
        <v>5</v>
      </c>
      <c r="J572" s="11">
        <f t="shared" si="43"/>
        <v>205</v>
      </c>
      <c r="K572" s="12" t="str">
        <f t="shared" si="40"/>
        <v>Stock_Sufficient</v>
      </c>
      <c r="L572" s="12">
        <f t="shared" si="41"/>
        <v>235</v>
      </c>
      <c r="M572" s="6">
        <v>45358</v>
      </c>
      <c r="N572" s="6">
        <v>45658</v>
      </c>
      <c r="O572" s="6">
        <v>45408</v>
      </c>
      <c r="P572" s="7" t="s">
        <v>2146</v>
      </c>
      <c r="Q572" s="5">
        <v>50</v>
      </c>
      <c r="R572" s="10">
        <f t="shared" si="42"/>
        <v>250</v>
      </c>
      <c r="S572" s="5">
        <v>99</v>
      </c>
      <c r="T572" s="5" t="s">
        <v>45</v>
      </c>
      <c r="U572" s="11">
        <f t="shared" si="44"/>
        <v>45</v>
      </c>
    </row>
    <row r="573" spans="1:21" ht="16" x14ac:dyDescent="0.4">
      <c r="A573" s="2" t="s">
        <v>2147</v>
      </c>
      <c r="B573" s="3" t="s">
        <v>595</v>
      </c>
      <c r="C573" s="28" t="s">
        <v>48</v>
      </c>
      <c r="D573" s="2" t="s">
        <v>2148</v>
      </c>
      <c r="E573" s="4" t="s">
        <v>2149</v>
      </c>
      <c r="F573" s="5">
        <v>77</v>
      </c>
      <c r="G573" s="5">
        <v>54</v>
      </c>
      <c r="H573" s="5">
        <v>10</v>
      </c>
      <c r="I573" s="10">
        <v>2.5</v>
      </c>
      <c r="J573" s="11">
        <f t="shared" si="43"/>
        <v>192.5</v>
      </c>
      <c r="K573" s="12" t="str">
        <f t="shared" si="40"/>
        <v>Stock_Sufficient</v>
      </c>
      <c r="L573" s="12">
        <f t="shared" si="41"/>
        <v>25</v>
      </c>
      <c r="M573" s="6">
        <v>45500</v>
      </c>
      <c r="N573" s="6">
        <v>45567</v>
      </c>
      <c r="O573" s="6">
        <v>45648</v>
      </c>
      <c r="P573" s="7" t="s">
        <v>2150</v>
      </c>
      <c r="Q573" s="5">
        <v>64</v>
      </c>
      <c r="R573" s="10">
        <f t="shared" si="42"/>
        <v>160</v>
      </c>
      <c r="S573" s="5">
        <v>73</v>
      </c>
      <c r="T573" s="5" t="s">
        <v>45</v>
      </c>
      <c r="U573" s="11">
        <f t="shared" si="44"/>
        <v>-32.5</v>
      </c>
    </row>
    <row r="574" spans="1:21" ht="16" x14ac:dyDescent="0.4">
      <c r="A574" s="2" t="s">
        <v>2151</v>
      </c>
      <c r="B574" s="3" t="s">
        <v>75</v>
      </c>
      <c r="C574" s="28" t="s">
        <v>65</v>
      </c>
      <c r="D574" s="2" t="s">
        <v>2152</v>
      </c>
      <c r="E574" s="4" t="s">
        <v>2005</v>
      </c>
      <c r="F574" s="5">
        <v>41</v>
      </c>
      <c r="G574" s="5">
        <v>61</v>
      </c>
      <c r="H574" s="5">
        <v>69</v>
      </c>
      <c r="I574" s="10">
        <v>1</v>
      </c>
      <c r="J574" s="11">
        <f t="shared" si="43"/>
        <v>41</v>
      </c>
      <c r="K574" s="12" t="str">
        <f t="shared" si="40"/>
        <v>Low Stock_Reorder Needed</v>
      </c>
      <c r="L574" s="12">
        <f t="shared" si="41"/>
        <v>69</v>
      </c>
      <c r="M574" s="6">
        <v>45499</v>
      </c>
      <c r="N574" s="6">
        <v>45691</v>
      </c>
      <c r="O574" s="6">
        <v>45500</v>
      </c>
      <c r="P574" s="7" t="s">
        <v>2153</v>
      </c>
      <c r="Q574" s="5">
        <v>30</v>
      </c>
      <c r="R574" s="10">
        <f t="shared" si="42"/>
        <v>30</v>
      </c>
      <c r="S574" s="5">
        <v>100</v>
      </c>
      <c r="T574" s="5" t="s">
        <v>27</v>
      </c>
      <c r="U574" s="11">
        <f t="shared" si="44"/>
        <v>-11</v>
      </c>
    </row>
    <row r="575" spans="1:21" ht="16" x14ac:dyDescent="0.4">
      <c r="A575" s="2" t="s">
        <v>2154</v>
      </c>
      <c r="B575" s="3" t="s">
        <v>275</v>
      </c>
      <c r="C575" s="28" t="s">
        <v>48</v>
      </c>
      <c r="D575" s="2" t="s">
        <v>2155</v>
      </c>
      <c r="E575" s="4" t="s">
        <v>410</v>
      </c>
      <c r="F575" s="5">
        <v>44</v>
      </c>
      <c r="G575" s="5">
        <v>8</v>
      </c>
      <c r="H575" s="5">
        <v>52</v>
      </c>
      <c r="I575" s="10">
        <v>2.95</v>
      </c>
      <c r="J575" s="11">
        <f t="shared" si="43"/>
        <v>129.80000000000001</v>
      </c>
      <c r="K575" s="12" t="str">
        <f t="shared" si="40"/>
        <v>Stock_Sufficient</v>
      </c>
      <c r="L575" s="12">
        <f t="shared" si="41"/>
        <v>153.4</v>
      </c>
      <c r="M575" s="6">
        <v>45423</v>
      </c>
      <c r="N575" s="6">
        <v>45636</v>
      </c>
      <c r="O575" s="6">
        <v>45508</v>
      </c>
      <c r="P575" s="7" t="s">
        <v>2156</v>
      </c>
      <c r="Q575" s="5">
        <v>42</v>
      </c>
      <c r="R575" s="10">
        <f t="shared" si="42"/>
        <v>123.9</v>
      </c>
      <c r="S575" s="5">
        <v>66</v>
      </c>
      <c r="T575" s="5" t="s">
        <v>45</v>
      </c>
      <c r="U575" s="11">
        <f t="shared" si="44"/>
        <v>-5.9000000000000057</v>
      </c>
    </row>
    <row r="576" spans="1:21" ht="16" x14ac:dyDescent="0.4">
      <c r="A576" s="2" t="s">
        <v>2157</v>
      </c>
      <c r="B576" s="3" t="s">
        <v>604</v>
      </c>
      <c r="C576" s="28" t="s">
        <v>59</v>
      </c>
      <c r="D576" s="2" t="s">
        <v>2158</v>
      </c>
      <c r="E576" s="4" t="s">
        <v>1701</v>
      </c>
      <c r="F576" s="5">
        <v>53</v>
      </c>
      <c r="G576" s="5">
        <v>89</v>
      </c>
      <c r="H576" s="5">
        <v>100</v>
      </c>
      <c r="I576" s="10">
        <v>10</v>
      </c>
      <c r="J576" s="11">
        <f t="shared" si="43"/>
        <v>530</v>
      </c>
      <c r="K576" s="12" t="str">
        <f t="shared" si="40"/>
        <v>Low Stock_Reorder Needed</v>
      </c>
      <c r="L576" s="12">
        <f t="shared" si="41"/>
        <v>1000</v>
      </c>
      <c r="M576" s="6">
        <v>45474</v>
      </c>
      <c r="N576" s="6">
        <v>45388</v>
      </c>
      <c r="O576" s="6">
        <v>45571</v>
      </c>
      <c r="P576" s="7" t="s">
        <v>2159</v>
      </c>
      <c r="Q576" s="5">
        <v>22</v>
      </c>
      <c r="R576" s="10">
        <f t="shared" si="42"/>
        <v>220</v>
      </c>
      <c r="S576" s="5">
        <v>83</v>
      </c>
      <c r="T576" s="5" t="s">
        <v>39</v>
      </c>
      <c r="U576" s="11">
        <f t="shared" si="44"/>
        <v>-310</v>
      </c>
    </row>
    <row r="577" spans="1:21" ht="16" x14ac:dyDescent="0.4">
      <c r="A577" s="2" t="s">
        <v>2160</v>
      </c>
      <c r="B577" s="3" t="s">
        <v>446</v>
      </c>
      <c r="C577" s="28" t="s">
        <v>90</v>
      </c>
      <c r="D577" s="2" t="s">
        <v>2161</v>
      </c>
      <c r="E577" s="4" t="s">
        <v>145</v>
      </c>
      <c r="F577" s="5">
        <v>68</v>
      </c>
      <c r="G577" s="5">
        <v>29</v>
      </c>
      <c r="H577" s="5">
        <v>100</v>
      </c>
      <c r="I577" s="10">
        <v>5</v>
      </c>
      <c r="J577" s="11">
        <f t="shared" si="43"/>
        <v>340</v>
      </c>
      <c r="K577" s="12" t="str">
        <f t="shared" si="40"/>
        <v>Stock_Sufficient</v>
      </c>
      <c r="L577" s="12">
        <f t="shared" si="41"/>
        <v>500</v>
      </c>
      <c r="M577" s="6">
        <v>45609</v>
      </c>
      <c r="N577" s="6">
        <v>45562</v>
      </c>
      <c r="O577" s="6">
        <v>45489</v>
      </c>
      <c r="P577" s="7" t="s">
        <v>2162</v>
      </c>
      <c r="Q577" s="5">
        <v>70</v>
      </c>
      <c r="R577" s="10">
        <f t="shared" si="42"/>
        <v>350</v>
      </c>
      <c r="S577" s="5">
        <v>26</v>
      </c>
      <c r="T577" s="5" t="s">
        <v>39</v>
      </c>
      <c r="U577" s="11">
        <f t="shared" si="44"/>
        <v>10</v>
      </c>
    </row>
    <row r="578" spans="1:21" ht="16" x14ac:dyDescent="0.4">
      <c r="A578" s="2" t="s">
        <v>2163</v>
      </c>
      <c r="B578" s="3" t="s">
        <v>114</v>
      </c>
      <c r="C578" s="28" t="s">
        <v>65</v>
      </c>
      <c r="D578" s="2" t="s">
        <v>2164</v>
      </c>
      <c r="E578" s="4" t="s">
        <v>592</v>
      </c>
      <c r="F578" s="5">
        <v>96</v>
      </c>
      <c r="G578" s="5">
        <v>34</v>
      </c>
      <c r="H578" s="5">
        <v>57</v>
      </c>
      <c r="I578" s="10">
        <v>8</v>
      </c>
      <c r="J578" s="11">
        <f t="shared" si="43"/>
        <v>768</v>
      </c>
      <c r="K578" s="12" t="str">
        <f t="shared" ref="K578:K641" si="45">IF(F578&lt;=G578,"Low Stock_Reorder Needed","Stock_Sufficient")</f>
        <v>Stock_Sufficient</v>
      </c>
      <c r="L578" s="12">
        <f t="shared" ref="L578:L641" si="46">H578*I578</f>
        <v>456</v>
      </c>
      <c r="M578" s="6">
        <v>45619</v>
      </c>
      <c r="N578" s="6">
        <v>45585</v>
      </c>
      <c r="O578" s="6">
        <v>45462</v>
      </c>
      <c r="P578" s="7" t="s">
        <v>2165</v>
      </c>
      <c r="Q578" s="5">
        <v>71</v>
      </c>
      <c r="R578" s="10">
        <f t="shared" ref="R578:R641" si="47">Q578*I578</f>
        <v>568</v>
      </c>
      <c r="S578" s="5">
        <v>17</v>
      </c>
      <c r="T578" s="5" t="s">
        <v>27</v>
      </c>
      <c r="U578" s="11">
        <f t="shared" si="44"/>
        <v>-200</v>
      </c>
    </row>
    <row r="579" spans="1:21" ht="16" x14ac:dyDescent="0.4">
      <c r="A579" s="2" t="s">
        <v>2166</v>
      </c>
      <c r="B579" s="3" t="s">
        <v>464</v>
      </c>
      <c r="C579" s="28" t="s">
        <v>48</v>
      </c>
      <c r="D579" s="2" t="s">
        <v>2167</v>
      </c>
      <c r="E579" s="4" t="s">
        <v>232</v>
      </c>
      <c r="F579" s="5">
        <v>33</v>
      </c>
      <c r="G579" s="5">
        <v>4</v>
      </c>
      <c r="H579" s="5">
        <v>31</v>
      </c>
      <c r="I579" s="10">
        <v>7</v>
      </c>
      <c r="J579" s="11">
        <f t="shared" ref="J579:J642" si="48">I579*F579</f>
        <v>231</v>
      </c>
      <c r="K579" s="12" t="str">
        <f t="shared" si="45"/>
        <v>Stock_Sufficient</v>
      </c>
      <c r="L579" s="12">
        <f t="shared" si="46"/>
        <v>217</v>
      </c>
      <c r="M579" s="6">
        <v>45364</v>
      </c>
      <c r="N579" s="6">
        <v>45669</v>
      </c>
      <c r="O579" s="6">
        <v>45457</v>
      </c>
      <c r="P579" s="7" t="s">
        <v>2168</v>
      </c>
      <c r="Q579" s="5">
        <v>46</v>
      </c>
      <c r="R579" s="10">
        <f t="shared" si="47"/>
        <v>322</v>
      </c>
      <c r="S579" s="5">
        <v>92</v>
      </c>
      <c r="T579" s="5" t="s">
        <v>45</v>
      </c>
      <c r="U579" s="11">
        <f t="shared" ref="U579:U642" si="49">R579-J579</f>
        <v>91</v>
      </c>
    </row>
    <row r="580" spans="1:21" ht="16" x14ac:dyDescent="0.4">
      <c r="A580" s="2" t="s">
        <v>2169</v>
      </c>
      <c r="B580" s="3" t="s">
        <v>595</v>
      </c>
      <c r="C580" s="28" t="s">
        <v>48</v>
      </c>
      <c r="D580" s="2" t="s">
        <v>2170</v>
      </c>
      <c r="E580" s="4" t="s">
        <v>1451</v>
      </c>
      <c r="F580" s="5">
        <v>33</v>
      </c>
      <c r="G580" s="5">
        <v>89</v>
      </c>
      <c r="H580" s="5">
        <v>15</v>
      </c>
      <c r="I580" s="10">
        <v>2.5</v>
      </c>
      <c r="J580" s="11">
        <f t="shared" si="48"/>
        <v>82.5</v>
      </c>
      <c r="K580" s="12" t="str">
        <f t="shared" si="45"/>
        <v>Low Stock_Reorder Needed</v>
      </c>
      <c r="L580" s="12">
        <f t="shared" si="46"/>
        <v>37.5</v>
      </c>
      <c r="M580" s="6">
        <v>45531</v>
      </c>
      <c r="N580" s="6">
        <v>45463</v>
      </c>
      <c r="O580" s="6">
        <v>45593</v>
      </c>
      <c r="P580" s="7" t="s">
        <v>2171</v>
      </c>
      <c r="Q580" s="5">
        <v>90</v>
      </c>
      <c r="R580" s="10">
        <f t="shared" si="47"/>
        <v>225</v>
      </c>
      <c r="S580" s="5">
        <v>52</v>
      </c>
      <c r="T580" s="5" t="s">
        <v>27</v>
      </c>
      <c r="U580" s="11">
        <f t="shared" si="49"/>
        <v>142.5</v>
      </c>
    </row>
    <row r="581" spans="1:21" ht="16" x14ac:dyDescent="0.4">
      <c r="A581" s="2" t="s">
        <v>2172</v>
      </c>
      <c r="B581" s="3" t="s">
        <v>781</v>
      </c>
      <c r="C581" s="28" t="s">
        <v>48</v>
      </c>
      <c r="D581" s="2" t="s">
        <v>2173</v>
      </c>
      <c r="E581" s="4" t="s">
        <v>2174</v>
      </c>
      <c r="F581" s="5">
        <v>90</v>
      </c>
      <c r="G581" s="5">
        <v>17</v>
      </c>
      <c r="H581" s="5">
        <v>17</v>
      </c>
      <c r="I581" s="10">
        <v>3</v>
      </c>
      <c r="J581" s="11">
        <f t="shared" si="48"/>
        <v>270</v>
      </c>
      <c r="K581" s="12" t="str">
        <f t="shared" si="45"/>
        <v>Stock_Sufficient</v>
      </c>
      <c r="L581" s="12">
        <f t="shared" si="46"/>
        <v>51</v>
      </c>
      <c r="M581" s="6">
        <v>45382</v>
      </c>
      <c r="N581" s="6">
        <v>45538</v>
      </c>
      <c r="O581" s="6">
        <v>45361</v>
      </c>
      <c r="P581" s="7" t="s">
        <v>2175</v>
      </c>
      <c r="Q581" s="5">
        <v>82</v>
      </c>
      <c r="R581" s="10">
        <f t="shared" si="47"/>
        <v>246</v>
      </c>
      <c r="S581" s="5">
        <v>84</v>
      </c>
      <c r="T581" s="5" t="s">
        <v>39</v>
      </c>
      <c r="U581" s="11">
        <f t="shared" si="49"/>
        <v>-24</v>
      </c>
    </row>
    <row r="582" spans="1:21" ht="16" x14ac:dyDescent="0.4">
      <c r="A582" s="2" t="s">
        <v>2176</v>
      </c>
      <c r="B582" s="3" t="s">
        <v>1146</v>
      </c>
      <c r="C582" s="28" t="s">
        <v>23</v>
      </c>
      <c r="D582" s="2" t="s">
        <v>2177</v>
      </c>
      <c r="E582" s="4" t="s">
        <v>478</v>
      </c>
      <c r="F582" s="5">
        <v>31</v>
      </c>
      <c r="G582" s="5">
        <v>29</v>
      </c>
      <c r="H582" s="5">
        <v>57</v>
      </c>
      <c r="I582" s="10">
        <v>2.5</v>
      </c>
      <c r="J582" s="11">
        <f t="shared" si="48"/>
        <v>77.5</v>
      </c>
      <c r="K582" s="12" t="str">
        <f t="shared" si="45"/>
        <v>Stock_Sufficient</v>
      </c>
      <c r="L582" s="12">
        <f t="shared" si="46"/>
        <v>142.5</v>
      </c>
      <c r="M582" s="6">
        <v>45591</v>
      </c>
      <c r="N582" s="6">
        <v>45461</v>
      </c>
      <c r="O582" s="6">
        <v>45576</v>
      </c>
      <c r="P582" s="7" t="s">
        <v>2178</v>
      </c>
      <c r="Q582" s="5">
        <v>25</v>
      </c>
      <c r="R582" s="10">
        <f t="shared" si="47"/>
        <v>62.5</v>
      </c>
      <c r="S582" s="5">
        <v>22</v>
      </c>
      <c r="T582" s="5" t="s">
        <v>45</v>
      </c>
      <c r="U582" s="11">
        <f t="shared" si="49"/>
        <v>-15</v>
      </c>
    </row>
    <row r="583" spans="1:21" ht="16" x14ac:dyDescent="0.4">
      <c r="A583" s="2" t="s">
        <v>2179</v>
      </c>
      <c r="B583" s="3" t="s">
        <v>752</v>
      </c>
      <c r="C583" s="28" t="s">
        <v>48</v>
      </c>
      <c r="D583" s="2" t="s">
        <v>2180</v>
      </c>
      <c r="E583" s="4" t="s">
        <v>2181</v>
      </c>
      <c r="F583" s="5">
        <v>92</v>
      </c>
      <c r="G583" s="5">
        <v>3</v>
      </c>
      <c r="H583" s="5">
        <v>81</v>
      </c>
      <c r="I583" s="10">
        <v>5</v>
      </c>
      <c r="J583" s="11">
        <f t="shared" si="48"/>
        <v>460</v>
      </c>
      <c r="K583" s="12" t="str">
        <f t="shared" si="45"/>
        <v>Stock_Sufficient</v>
      </c>
      <c r="L583" s="12">
        <f t="shared" si="46"/>
        <v>405</v>
      </c>
      <c r="M583" s="6">
        <v>45387</v>
      </c>
      <c r="N583" s="6">
        <v>45347</v>
      </c>
      <c r="O583" s="6">
        <v>45645</v>
      </c>
      <c r="P583" s="7" t="s">
        <v>2182</v>
      </c>
      <c r="Q583" s="5">
        <v>62</v>
      </c>
      <c r="R583" s="10">
        <f t="shared" si="47"/>
        <v>310</v>
      </c>
      <c r="S583" s="5">
        <v>20</v>
      </c>
      <c r="T583" s="5" t="s">
        <v>39</v>
      </c>
      <c r="U583" s="11">
        <f t="shared" si="49"/>
        <v>-150</v>
      </c>
    </row>
    <row r="584" spans="1:21" ht="16" x14ac:dyDescent="0.4">
      <c r="A584" s="2" t="s">
        <v>2183</v>
      </c>
      <c r="B584" s="3" t="s">
        <v>595</v>
      </c>
      <c r="C584" s="28" t="s">
        <v>48</v>
      </c>
      <c r="D584" s="2" t="s">
        <v>2184</v>
      </c>
      <c r="E584" s="4" t="s">
        <v>1128</v>
      </c>
      <c r="F584" s="5">
        <v>66</v>
      </c>
      <c r="G584" s="5">
        <v>31</v>
      </c>
      <c r="H584" s="5">
        <v>18</v>
      </c>
      <c r="I584" s="10">
        <v>2.5</v>
      </c>
      <c r="J584" s="11">
        <f t="shared" si="48"/>
        <v>165</v>
      </c>
      <c r="K584" s="12" t="str">
        <f t="shared" si="45"/>
        <v>Stock_Sufficient</v>
      </c>
      <c r="L584" s="12">
        <f t="shared" si="46"/>
        <v>45</v>
      </c>
      <c r="M584" s="6">
        <v>45388</v>
      </c>
      <c r="N584" s="6">
        <v>45654</v>
      </c>
      <c r="O584" s="6">
        <v>45390</v>
      </c>
      <c r="P584" s="7" t="s">
        <v>2185</v>
      </c>
      <c r="Q584" s="5">
        <v>85</v>
      </c>
      <c r="R584" s="10">
        <f t="shared" si="47"/>
        <v>212.5</v>
      </c>
      <c r="S584" s="5">
        <v>39</v>
      </c>
      <c r="T584" s="5" t="s">
        <v>39</v>
      </c>
      <c r="U584" s="11">
        <f t="shared" si="49"/>
        <v>47.5</v>
      </c>
    </row>
    <row r="585" spans="1:21" ht="16" x14ac:dyDescent="0.4">
      <c r="A585" s="2" t="s">
        <v>2186</v>
      </c>
      <c r="B585" s="3" t="s">
        <v>801</v>
      </c>
      <c r="C585" s="28" t="s">
        <v>133</v>
      </c>
      <c r="D585" s="2" t="s">
        <v>2187</v>
      </c>
      <c r="E585" s="4" t="s">
        <v>1284</v>
      </c>
      <c r="F585" s="5">
        <v>83</v>
      </c>
      <c r="G585" s="5">
        <v>17</v>
      </c>
      <c r="H585" s="5">
        <v>39</v>
      </c>
      <c r="I585" s="10">
        <v>10</v>
      </c>
      <c r="J585" s="11">
        <f t="shared" si="48"/>
        <v>830</v>
      </c>
      <c r="K585" s="12" t="str">
        <f t="shared" si="45"/>
        <v>Stock_Sufficient</v>
      </c>
      <c r="L585" s="12">
        <f t="shared" si="46"/>
        <v>390</v>
      </c>
      <c r="M585" s="6">
        <v>45446</v>
      </c>
      <c r="N585" s="6">
        <v>45484</v>
      </c>
      <c r="O585" s="6">
        <v>45382</v>
      </c>
      <c r="P585" s="7" t="s">
        <v>2188</v>
      </c>
      <c r="Q585" s="5">
        <v>33</v>
      </c>
      <c r="R585" s="10">
        <f t="shared" si="47"/>
        <v>330</v>
      </c>
      <c r="S585" s="5">
        <v>20</v>
      </c>
      <c r="T585" s="5" t="s">
        <v>45</v>
      </c>
      <c r="U585" s="11">
        <f t="shared" si="49"/>
        <v>-500</v>
      </c>
    </row>
    <row r="586" spans="1:21" ht="16" x14ac:dyDescent="0.4">
      <c r="A586" s="2" t="s">
        <v>2189</v>
      </c>
      <c r="B586" s="3" t="s">
        <v>225</v>
      </c>
      <c r="C586" s="28" t="s">
        <v>48</v>
      </c>
      <c r="D586" s="2" t="s">
        <v>2190</v>
      </c>
      <c r="E586" s="4" t="s">
        <v>1941</v>
      </c>
      <c r="F586" s="5">
        <v>84</v>
      </c>
      <c r="G586" s="5">
        <v>9</v>
      </c>
      <c r="H586" s="5">
        <v>46</v>
      </c>
      <c r="I586" s="10">
        <v>5</v>
      </c>
      <c r="J586" s="11">
        <f t="shared" si="48"/>
        <v>420</v>
      </c>
      <c r="K586" s="12" t="str">
        <f t="shared" si="45"/>
        <v>Stock_Sufficient</v>
      </c>
      <c r="L586" s="12">
        <f t="shared" si="46"/>
        <v>230</v>
      </c>
      <c r="M586" s="6">
        <v>45451</v>
      </c>
      <c r="N586" s="6">
        <v>45431</v>
      </c>
      <c r="O586" s="6">
        <v>45636</v>
      </c>
      <c r="P586" s="7" t="s">
        <v>2191</v>
      </c>
      <c r="Q586" s="5">
        <v>30</v>
      </c>
      <c r="R586" s="10">
        <f t="shared" si="47"/>
        <v>150</v>
      </c>
      <c r="S586" s="5">
        <v>68</v>
      </c>
      <c r="T586" s="5" t="s">
        <v>39</v>
      </c>
      <c r="U586" s="11">
        <f t="shared" si="49"/>
        <v>-270</v>
      </c>
    </row>
    <row r="587" spans="1:21" ht="16" x14ac:dyDescent="0.4">
      <c r="A587" s="2" t="s">
        <v>2192</v>
      </c>
      <c r="B587" s="3" t="s">
        <v>197</v>
      </c>
      <c r="C587" s="28" t="s">
        <v>133</v>
      </c>
      <c r="D587" s="2" t="s">
        <v>2193</v>
      </c>
      <c r="E587" s="4" t="s">
        <v>2181</v>
      </c>
      <c r="F587" s="5">
        <v>76</v>
      </c>
      <c r="G587" s="5">
        <v>57</v>
      </c>
      <c r="H587" s="5">
        <v>78</v>
      </c>
      <c r="I587" s="10">
        <v>9</v>
      </c>
      <c r="J587" s="11">
        <f t="shared" si="48"/>
        <v>684</v>
      </c>
      <c r="K587" s="12" t="str">
        <f t="shared" si="45"/>
        <v>Stock_Sufficient</v>
      </c>
      <c r="L587" s="12">
        <f t="shared" si="46"/>
        <v>702</v>
      </c>
      <c r="M587" s="6">
        <v>45461</v>
      </c>
      <c r="N587" s="6">
        <v>45470</v>
      </c>
      <c r="O587" s="6">
        <v>45410</v>
      </c>
      <c r="P587" s="7" t="s">
        <v>2194</v>
      </c>
      <c r="Q587" s="5">
        <v>52</v>
      </c>
      <c r="R587" s="10">
        <f t="shared" si="47"/>
        <v>468</v>
      </c>
      <c r="S587" s="5">
        <v>86</v>
      </c>
      <c r="T587" s="5" t="s">
        <v>27</v>
      </c>
      <c r="U587" s="11">
        <f t="shared" si="49"/>
        <v>-216</v>
      </c>
    </row>
    <row r="588" spans="1:21" ht="16" x14ac:dyDescent="0.4">
      <c r="A588" s="2" t="s">
        <v>2195</v>
      </c>
      <c r="B588" s="3" t="s">
        <v>546</v>
      </c>
      <c r="C588" s="28" t="s">
        <v>48</v>
      </c>
      <c r="D588" s="2" t="s">
        <v>2196</v>
      </c>
      <c r="E588" s="4" t="s">
        <v>766</v>
      </c>
      <c r="F588" s="5">
        <v>26</v>
      </c>
      <c r="G588" s="5">
        <v>1</v>
      </c>
      <c r="H588" s="5">
        <v>9</v>
      </c>
      <c r="I588" s="10">
        <v>6</v>
      </c>
      <c r="J588" s="11">
        <f t="shared" si="48"/>
        <v>156</v>
      </c>
      <c r="K588" s="12" t="str">
        <f t="shared" si="45"/>
        <v>Stock_Sufficient</v>
      </c>
      <c r="L588" s="12">
        <f t="shared" si="46"/>
        <v>54</v>
      </c>
      <c r="M588" s="6">
        <v>45698</v>
      </c>
      <c r="N588" s="6">
        <v>45387</v>
      </c>
      <c r="O588" s="6">
        <v>45628</v>
      </c>
      <c r="P588" s="7" t="s">
        <v>2197</v>
      </c>
      <c r="Q588" s="5">
        <v>82</v>
      </c>
      <c r="R588" s="10">
        <f t="shared" si="47"/>
        <v>492</v>
      </c>
      <c r="S588" s="5">
        <v>8</v>
      </c>
      <c r="T588" s="5" t="s">
        <v>39</v>
      </c>
      <c r="U588" s="11">
        <f t="shared" si="49"/>
        <v>336</v>
      </c>
    </row>
    <row r="589" spans="1:21" ht="16" x14ac:dyDescent="0.4">
      <c r="A589" s="2" t="s">
        <v>2198</v>
      </c>
      <c r="B589" s="3" t="s">
        <v>287</v>
      </c>
      <c r="C589" s="28" t="s">
        <v>30</v>
      </c>
      <c r="D589" s="2" t="s">
        <v>2199</v>
      </c>
      <c r="E589" s="4" t="s">
        <v>2200</v>
      </c>
      <c r="F589" s="5">
        <v>61</v>
      </c>
      <c r="G589" s="5">
        <v>31</v>
      </c>
      <c r="H589" s="5">
        <v>100</v>
      </c>
      <c r="I589" s="10">
        <v>12.5</v>
      </c>
      <c r="J589" s="11">
        <f t="shared" si="48"/>
        <v>762.5</v>
      </c>
      <c r="K589" s="12" t="str">
        <f t="shared" si="45"/>
        <v>Stock_Sufficient</v>
      </c>
      <c r="L589" s="12">
        <f t="shared" si="46"/>
        <v>1250</v>
      </c>
      <c r="M589" s="6">
        <v>45656</v>
      </c>
      <c r="N589" s="6">
        <v>45367</v>
      </c>
      <c r="O589" s="6">
        <v>45561</v>
      </c>
      <c r="P589" s="7" t="s">
        <v>2201</v>
      </c>
      <c r="Q589" s="5">
        <v>95</v>
      </c>
      <c r="R589" s="10">
        <f t="shared" si="47"/>
        <v>1187.5</v>
      </c>
      <c r="S589" s="5">
        <v>61</v>
      </c>
      <c r="T589" s="5" t="s">
        <v>45</v>
      </c>
      <c r="U589" s="11">
        <f t="shared" si="49"/>
        <v>425</v>
      </c>
    </row>
    <row r="590" spans="1:21" ht="16" x14ac:dyDescent="0.4">
      <c r="A590" s="2" t="s">
        <v>2202</v>
      </c>
      <c r="B590" s="3" t="s">
        <v>1193</v>
      </c>
      <c r="C590" s="28" t="s">
        <v>65</v>
      </c>
      <c r="D590" s="2" t="s">
        <v>2203</v>
      </c>
      <c r="E590" s="4" t="s">
        <v>561</v>
      </c>
      <c r="F590" s="5">
        <v>15</v>
      </c>
      <c r="G590" s="5">
        <v>75</v>
      </c>
      <c r="H590" s="5">
        <v>78</v>
      </c>
      <c r="I590" s="10">
        <v>1.9</v>
      </c>
      <c r="J590" s="11">
        <f t="shared" si="48"/>
        <v>28.5</v>
      </c>
      <c r="K590" s="12" t="str">
        <f t="shared" si="45"/>
        <v>Low Stock_Reorder Needed</v>
      </c>
      <c r="L590" s="12">
        <f t="shared" si="46"/>
        <v>148.19999999999999</v>
      </c>
      <c r="M590" s="6">
        <v>45689</v>
      </c>
      <c r="N590" s="6">
        <v>45700</v>
      </c>
      <c r="O590" s="6">
        <v>45702</v>
      </c>
      <c r="P590" s="7" t="s">
        <v>2204</v>
      </c>
      <c r="Q590" s="5">
        <v>71</v>
      </c>
      <c r="R590" s="10">
        <f t="shared" si="47"/>
        <v>134.9</v>
      </c>
      <c r="S590" s="5">
        <v>21</v>
      </c>
      <c r="T590" s="5" t="s">
        <v>27</v>
      </c>
      <c r="U590" s="11">
        <f t="shared" si="49"/>
        <v>106.4</v>
      </c>
    </row>
    <row r="591" spans="1:21" ht="16" x14ac:dyDescent="0.4">
      <c r="A591" s="2" t="s">
        <v>2205</v>
      </c>
      <c r="B591" s="3" t="s">
        <v>1185</v>
      </c>
      <c r="C591" s="28" t="s">
        <v>48</v>
      </c>
      <c r="D591" s="2" t="s">
        <v>2206</v>
      </c>
      <c r="E591" s="4" t="s">
        <v>2207</v>
      </c>
      <c r="F591" s="5">
        <v>73</v>
      </c>
      <c r="G591" s="5">
        <v>83</v>
      </c>
      <c r="H591" s="5">
        <v>74</v>
      </c>
      <c r="I591" s="10">
        <v>5</v>
      </c>
      <c r="J591" s="11">
        <f t="shared" si="48"/>
        <v>365</v>
      </c>
      <c r="K591" s="12" t="str">
        <f t="shared" si="45"/>
        <v>Low Stock_Reorder Needed</v>
      </c>
      <c r="L591" s="12">
        <f t="shared" si="46"/>
        <v>370</v>
      </c>
      <c r="M591" s="6">
        <v>45380</v>
      </c>
      <c r="N591" s="6">
        <v>45693</v>
      </c>
      <c r="O591" s="6">
        <v>45495</v>
      </c>
      <c r="P591" s="7" t="s">
        <v>2208</v>
      </c>
      <c r="Q591" s="5">
        <v>87</v>
      </c>
      <c r="R591" s="10">
        <f t="shared" si="47"/>
        <v>435</v>
      </c>
      <c r="S591" s="5">
        <v>10</v>
      </c>
      <c r="T591" s="5" t="s">
        <v>27</v>
      </c>
      <c r="U591" s="11">
        <f t="shared" si="49"/>
        <v>70</v>
      </c>
    </row>
    <row r="592" spans="1:21" ht="16" x14ac:dyDescent="0.4">
      <c r="A592" s="2" t="s">
        <v>2209</v>
      </c>
      <c r="B592" s="3" t="s">
        <v>772</v>
      </c>
      <c r="C592" s="28" t="s">
        <v>23</v>
      </c>
      <c r="D592" s="2" t="s">
        <v>2210</v>
      </c>
      <c r="E592" s="4" t="s">
        <v>194</v>
      </c>
      <c r="F592" s="5">
        <v>41</v>
      </c>
      <c r="G592" s="5">
        <v>76</v>
      </c>
      <c r="H592" s="5">
        <v>47</v>
      </c>
      <c r="I592" s="10">
        <v>2.65</v>
      </c>
      <c r="J592" s="11">
        <f t="shared" si="48"/>
        <v>108.64999999999999</v>
      </c>
      <c r="K592" s="12" t="str">
        <f t="shared" si="45"/>
        <v>Low Stock_Reorder Needed</v>
      </c>
      <c r="L592" s="12">
        <f t="shared" si="46"/>
        <v>124.55</v>
      </c>
      <c r="M592" s="6">
        <v>45550</v>
      </c>
      <c r="N592" s="6">
        <v>45402</v>
      </c>
      <c r="O592" s="6">
        <v>45449</v>
      </c>
      <c r="P592" s="7" t="s">
        <v>2211</v>
      </c>
      <c r="Q592" s="5">
        <v>50</v>
      </c>
      <c r="R592" s="10">
        <f t="shared" si="47"/>
        <v>132.5</v>
      </c>
      <c r="S592" s="5">
        <v>50</v>
      </c>
      <c r="T592" s="5" t="s">
        <v>39</v>
      </c>
      <c r="U592" s="11">
        <f t="shared" si="49"/>
        <v>23.850000000000009</v>
      </c>
    </row>
    <row r="593" spans="1:21" ht="16" x14ac:dyDescent="0.4">
      <c r="A593" s="2" t="s">
        <v>2212</v>
      </c>
      <c r="B593" s="3" t="s">
        <v>604</v>
      </c>
      <c r="C593" s="28" t="s">
        <v>59</v>
      </c>
      <c r="D593" s="2" t="s">
        <v>2213</v>
      </c>
      <c r="E593" s="4" t="s">
        <v>55</v>
      </c>
      <c r="F593" s="5">
        <v>14</v>
      </c>
      <c r="G593" s="5">
        <v>75</v>
      </c>
      <c r="H593" s="5">
        <v>10</v>
      </c>
      <c r="I593" s="10">
        <v>10</v>
      </c>
      <c r="J593" s="11">
        <f t="shared" si="48"/>
        <v>140</v>
      </c>
      <c r="K593" s="12" t="str">
        <f t="shared" si="45"/>
        <v>Low Stock_Reorder Needed</v>
      </c>
      <c r="L593" s="12">
        <f t="shared" si="46"/>
        <v>100</v>
      </c>
      <c r="M593" s="6">
        <v>45569</v>
      </c>
      <c r="N593" s="6">
        <v>45682</v>
      </c>
      <c r="O593" s="6">
        <v>45474</v>
      </c>
      <c r="P593" s="7" t="s">
        <v>2214</v>
      </c>
      <c r="Q593" s="5">
        <v>65</v>
      </c>
      <c r="R593" s="10">
        <f t="shared" si="47"/>
        <v>650</v>
      </c>
      <c r="S593" s="5">
        <v>62</v>
      </c>
      <c r="T593" s="5" t="s">
        <v>45</v>
      </c>
      <c r="U593" s="11">
        <f t="shared" si="49"/>
        <v>510</v>
      </c>
    </row>
    <row r="594" spans="1:21" ht="16" x14ac:dyDescent="0.4">
      <c r="A594" s="2" t="s">
        <v>2215</v>
      </c>
      <c r="B594" s="3" t="s">
        <v>225</v>
      </c>
      <c r="C594" s="28" t="s">
        <v>48</v>
      </c>
      <c r="D594" s="2" t="s">
        <v>2216</v>
      </c>
      <c r="E594" s="4" t="s">
        <v>766</v>
      </c>
      <c r="F594" s="5">
        <v>99</v>
      </c>
      <c r="G594" s="5">
        <v>59</v>
      </c>
      <c r="H594" s="5">
        <v>12</v>
      </c>
      <c r="I594" s="10">
        <v>5</v>
      </c>
      <c r="J594" s="11">
        <f t="shared" si="48"/>
        <v>495</v>
      </c>
      <c r="K594" s="12" t="str">
        <f t="shared" si="45"/>
        <v>Stock_Sufficient</v>
      </c>
      <c r="L594" s="12">
        <f t="shared" si="46"/>
        <v>60</v>
      </c>
      <c r="M594" s="6">
        <v>45467</v>
      </c>
      <c r="N594" s="6">
        <v>45555</v>
      </c>
      <c r="O594" s="6">
        <v>45700</v>
      </c>
      <c r="P594" s="7" t="s">
        <v>2217</v>
      </c>
      <c r="Q594" s="5">
        <v>52</v>
      </c>
      <c r="R594" s="10">
        <f t="shared" si="47"/>
        <v>260</v>
      </c>
      <c r="S594" s="5">
        <v>57</v>
      </c>
      <c r="T594" s="5" t="s">
        <v>39</v>
      </c>
      <c r="U594" s="11">
        <f t="shared" si="49"/>
        <v>-235</v>
      </c>
    </row>
    <row r="595" spans="1:21" ht="16" x14ac:dyDescent="0.4">
      <c r="A595" s="2" t="s">
        <v>2218</v>
      </c>
      <c r="B595" s="3" t="s">
        <v>752</v>
      </c>
      <c r="C595" s="28" t="s">
        <v>48</v>
      </c>
      <c r="D595" s="2" t="s">
        <v>2219</v>
      </c>
      <c r="E595" s="4" t="s">
        <v>2220</v>
      </c>
      <c r="F595" s="5">
        <v>80</v>
      </c>
      <c r="G595" s="5">
        <v>6</v>
      </c>
      <c r="H595" s="5">
        <v>92</v>
      </c>
      <c r="I595" s="10">
        <v>5</v>
      </c>
      <c r="J595" s="11">
        <f t="shared" si="48"/>
        <v>400</v>
      </c>
      <c r="K595" s="12" t="str">
        <f t="shared" si="45"/>
        <v>Stock_Sufficient</v>
      </c>
      <c r="L595" s="12">
        <f t="shared" si="46"/>
        <v>460</v>
      </c>
      <c r="M595" s="6">
        <v>45671</v>
      </c>
      <c r="N595" s="6">
        <v>45677</v>
      </c>
      <c r="O595" s="6">
        <v>45551</v>
      </c>
      <c r="P595" s="7" t="s">
        <v>2221</v>
      </c>
      <c r="Q595" s="5">
        <v>26</v>
      </c>
      <c r="R595" s="10">
        <f t="shared" si="47"/>
        <v>130</v>
      </c>
      <c r="S595" s="5">
        <v>71</v>
      </c>
      <c r="T595" s="5" t="s">
        <v>27</v>
      </c>
      <c r="U595" s="11">
        <f t="shared" si="49"/>
        <v>-270</v>
      </c>
    </row>
    <row r="596" spans="1:21" ht="16" x14ac:dyDescent="0.4">
      <c r="A596" s="2" t="s">
        <v>2222</v>
      </c>
      <c r="B596" s="3" t="s">
        <v>355</v>
      </c>
      <c r="C596" s="28" t="s">
        <v>48</v>
      </c>
      <c r="D596" s="2" t="s">
        <v>2223</v>
      </c>
      <c r="E596" s="4" t="s">
        <v>1175</v>
      </c>
      <c r="F596" s="5">
        <v>49</v>
      </c>
      <c r="G596" s="5">
        <v>89</v>
      </c>
      <c r="H596" s="5">
        <v>65</v>
      </c>
      <c r="I596" s="10">
        <v>3</v>
      </c>
      <c r="J596" s="11">
        <f t="shared" si="48"/>
        <v>147</v>
      </c>
      <c r="K596" s="12" t="str">
        <f t="shared" si="45"/>
        <v>Low Stock_Reorder Needed</v>
      </c>
      <c r="L596" s="12">
        <f t="shared" si="46"/>
        <v>195</v>
      </c>
      <c r="M596" s="6">
        <v>45436</v>
      </c>
      <c r="N596" s="6">
        <v>45515</v>
      </c>
      <c r="O596" s="6">
        <v>45429</v>
      </c>
      <c r="P596" s="7" t="s">
        <v>2224</v>
      </c>
      <c r="Q596" s="5">
        <v>37</v>
      </c>
      <c r="R596" s="10">
        <f t="shared" si="47"/>
        <v>111</v>
      </c>
      <c r="S596" s="5">
        <v>48</v>
      </c>
      <c r="T596" s="5" t="s">
        <v>45</v>
      </c>
      <c r="U596" s="11">
        <f t="shared" si="49"/>
        <v>-36</v>
      </c>
    </row>
    <row r="597" spans="1:21" ht="16" x14ac:dyDescent="0.4">
      <c r="A597" s="2" t="s">
        <v>2225</v>
      </c>
      <c r="B597" s="3" t="s">
        <v>1126</v>
      </c>
      <c r="C597" s="28" t="s">
        <v>48</v>
      </c>
      <c r="D597" s="2" t="s">
        <v>2226</v>
      </c>
      <c r="E597" s="4" t="s">
        <v>576</v>
      </c>
      <c r="F597" s="5">
        <v>25</v>
      </c>
      <c r="G597" s="5">
        <v>74</v>
      </c>
      <c r="H597" s="5">
        <v>100</v>
      </c>
      <c r="I597" s="10">
        <v>5.5</v>
      </c>
      <c r="J597" s="11">
        <f t="shared" si="48"/>
        <v>137.5</v>
      </c>
      <c r="K597" s="12" t="str">
        <f t="shared" si="45"/>
        <v>Low Stock_Reorder Needed</v>
      </c>
      <c r="L597" s="12">
        <f t="shared" si="46"/>
        <v>550</v>
      </c>
      <c r="M597" s="6">
        <v>45450</v>
      </c>
      <c r="N597" s="6">
        <v>45633</v>
      </c>
      <c r="O597" s="6">
        <v>45630</v>
      </c>
      <c r="P597" s="7" t="s">
        <v>2227</v>
      </c>
      <c r="Q597" s="5">
        <v>41</v>
      </c>
      <c r="R597" s="10">
        <f t="shared" si="47"/>
        <v>225.5</v>
      </c>
      <c r="S597" s="5">
        <v>59</v>
      </c>
      <c r="T597" s="5" t="s">
        <v>27</v>
      </c>
      <c r="U597" s="11">
        <f t="shared" si="49"/>
        <v>88</v>
      </c>
    </row>
    <row r="598" spans="1:21" ht="16" x14ac:dyDescent="0.4">
      <c r="A598" s="2" t="s">
        <v>2228</v>
      </c>
      <c r="B598" s="3" t="s">
        <v>738</v>
      </c>
      <c r="C598" s="28" t="s">
        <v>59</v>
      </c>
      <c r="D598" s="2" t="s">
        <v>2229</v>
      </c>
      <c r="E598" s="4" t="s">
        <v>453</v>
      </c>
      <c r="F598" s="5">
        <v>39</v>
      </c>
      <c r="G598" s="5">
        <v>78</v>
      </c>
      <c r="H598" s="5">
        <v>97</v>
      </c>
      <c r="I598" s="10">
        <v>6.5</v>
      </c>
      <c r="J598" s="11">
        <f t="shared" si="48"/>
        <v>253.5</v>
      </c>
      <c r="K598" s="12" t="str">
        <f t="shared" si="45"/>
        <v>Low Stock_Reorder Needed</v>
      </c>
      <c r="L598" s="12">
        <f t="shared" si="46"/>
        <v>630.5</v>
      </c>
      <c r="M598" s="6">
        <v>45594</v>
      </c>
      <c r="N598" s="6">
        <v>45584</v>
      </c>
      <c r="O598" s="6">
        <v>45490</v>
      </c>
      <c r="P598" s="7" t="s">
        <v>2230</v>
      </c>
      <c r="Q598" s="5">
        <v>54</v>
      </c>
      <c r="R598" s="10">
        <f t="shared" si="47"/>
        <v>351</v>
      </c>
      <c r="S598" s="5">
        <v>89</v>
      </c>
      <c r="T598" s="5" t="s">
        <v>39</v>
      </c>
      <c r="U598" s="11">
        <f t="shared" si="49"/>
        <v>97.5</v>
      </c>
    </row>
    <row r="599" spans="1:21" ht="16" x14ac:dyDescent="0.4">
      <c r="A599" s="2" t="s">
        <v>2231</v>
      </c>
      <c r="B599" s="3" t="s">
        <v>275</v>
      </c>
      <c r="C599" s="28" t="s">
        <v>48</v>
      </c>
      <c r="D599" s="2" t="s">
        <v>2232</v>
      </c>
      <c r="E599" s="4" t="s">
        <v>2233</v>
      </c>
      <c r="F599" s="5">
        <v>94</v>
      </c>
      <c r="G599" s="5">
        <v>58</v>
      </c>
      <c r="H599" s="5">
        <v>17</v>
      </c>
      <c r="I599" s="10">
        <v>2.9</v>
      </c>
      <c r="J599" s="11">
        <f t="shared" si="48"/>
        <v>272.59999999999997</v>
      </c>
      <c r="K599" s="12" t="str">
        <f t="shared" si="45"/>
        <v>Stock_Sufficient</v>
      </c>
      <c r="L599" s="12">
        <f t="shared" si="46"/>
        <v>49.3</v>
      </c>
      <c r="M599" s="6">
        <v>45505</v>
      </c>
      <c r="N599" s="6">
        <v>45478</v>
      </c>
      <c r="O599" s="6">
        <v>45645</v>
      </c>
      <c r="P599" s="7" t="s">
        <v>2234</v>
      </c>
      <c r="Q599" s="5">
        <v>57</v>
      </c>
      <c r="R599" s="10">
        <f t="shared" si="47"/>
        <v>165.29999999999998</v>
      </c>
      <c r="S599" s="5">
        <v>74</v>
      </c>
      <c r="T599" s="5" t="s">
        <v>39</v>
      </c>
      <c r="U599" s="11">
        <f t="shared" si="49"/>
        <v>-107.29999999999998</v>
      </c>
    </row>
    <row r="600" spans="1:21" ht="16" x14ac:dyDescent="0.4">
      <c r="A600" s="2" t="s">
        <v>2235</v>
      </c>
      <c r="B600" s="3" t="s">
        <v>303</v>
      </c>
      <c r="C600" s="28" t="s">
        <v>133</v>
      </c>
      <c r="D600" s="2" t="s">
        <v>2236</v>
      </c>
      <c r="E600" s="4" t="s">
        <v>37</v>
      </c>
      <c r="F600" s="5">
        <v>11</v>
      </c>
      <c r="G600" s="5">
        <v>17</v>
      </c>
      <c r="H600" s="5">
        <v>59</v>
      </c>
      <c r="I600" s="10">
        <v>6</v>
      </c>
      <c r="J600" s="11">
        <f t="shared" si="48"/>
        <v>66</v>
      </c>
      <c r="K600" s="12" t="str">
        <f t="shared" si="45"/>
        <v>Low Stock_Reorder Needed</v>
      </c>
      <c r="L600" s="12">
        <f t="shared" si="46"/>
        <v>354</v>
      </c>
      <c r="M600" s="6">
        <v>45493</v>
      </c>
      <c r="N600" s="6">
        <v>45378</v>
      </c>
      <c r="O600" s="6">
        <v>45390</v>
      </c>
      <c r="P600" s="7" t="s">
        <v>2237</v>
      </c>
      <c r="Q600" s="5">
        <v>69</v>
      </c>
      <c r="R600" s="10">
        <f t="shared" si="47"/>
        <v>414</v>
      </c>
      <c r="S600" s="5">
        <v>100</v>
      </c>
      <c r="T600" s="5" t="s">
        <v>39</v>
      </c>
      <c r="U600" s="11">
        <f t="shared" si="49"/>
        <v>348</v>
      </c>
    </row>
    <row r="601" spans="1:21" ht="16" x14ac:dyDescent="0.4">
      <c r="A601" s="2" t="s">
        <v>2238</v>
      </c>
      <c r="B601" s="3" t="s">
        <v>436</v>
      </c>
      <c r="C601" s="28" t="s">
        <v>59</v>
      </c>
      <c r="D601" s="2" t="s">
        <v>2239</v>
      </c>
      <c r="E601" s="4" t="s">
        <v>300</v>
      </c>
      <c r="F601" s="5">
        <v>21</v>
      </c>
      <c r="G601" s="5">
        <v>52</v>
      </c>
      <c r="H601" s="5">
        <v>80</v>
      </c>
      <c r="I601" s="10">
        <v>4</v>
      </c>
      <c r="J601" s="11">
        <f t="shared" si="48"/>
        <v>84</v>
      </c>
      <c r="K601" s="12" t="str">
        <f t="shared" si="45"/>
        <v>Low Stock_Reorder Needed</v>
      </c>
      <c r="L601" s="12">
        <f t="shared" si="46"/>
        <v>320</v>
      </c>
      <c r="M601" s="6">
        <v>45446</v>
      </c>
      <c r="N601" s="6">
        <v>45600</v>
      </c>
      <c r="O601" s="6">
        <v>45658</v>
      </c>
      <c r="P601" s="7" t="s">
        <v>2240</v>
      </c>
      <c r="Q601" s="5">
        <v>49</v>
      </c>
      <c r="R601" s="10">
        <f t="shared" si="47"/>
        <v>196</v>
      </c>
      <c r="S601" s="5">
        <v>37</v>
      </c>
      <c r="T601" s="5" t="s">
        <v>39</v>
      </c>
      <c r="U601" s="11">
        <f t="shared" si="49"/>
        <v>112</v>
      </c>
    </row>
    <row r="602" spans="1:21" ht="16" x14ac:dyDescent="0.4">
      <c r="A602" s="2" t="s">
        <v>2241</v>
      </c>
      <c r="B602" s="3" t="s">
        <v>257</v>
      </c>
      <c r="C602" s="28" t="s">
        <v>48</v>
      </c>
      <c r="D602" s="2" t="s">
        <v>2242</v>
      </c>
      <c r="E602" s="4" t="s">
        <v>2078</v>
      </c>
      <c r="F602" s="5">
        <v>38</v>
      </c>
      <c r="G602" s="5">
        <v>91</v>
      </c>
      <c r="H602" s="5">
        <v>94</v>
      </c>
      <c r="I602" s="10">
        <v>5.7</v>
      </c>
      <c r="J602" s="11">
        <f t="shared" si="48"/>
        <v>216.6</v>
      </c>
      <c r="K602" s="12" t="str">
        <f t="shared" si="45"/>
        <v>Low Stock_Reorder Needed</v>
      </c>
      <c r="L602" s="12">
        <f t="shared" si="46"/>
        <v>535.80000000000007</v>
      </c>
      <c r="M602" s="6">
        <v>45485</v>
      </c>
      <c r="N602" s="6">
        <v>45705</v>
      </c>
      <c r="O602" s="6">
        <v>45617</v>
      </c>
      <c r="P602" s="7" t="s">
        <v>2243</v>
      </c>
      <c r="Q602" s="5">
        <v>53</v>
      </c>
      <c r="R602" s="10">
        <f t="shared" si="47"/>
        <v>302.10000000000002</v>
      </c>
      <c r="S602" s="5">
        <v>87</v>
      </c>
      <c r="T602" s="5" t="s">
        <v>27</v>
      </c>
      <c r="U602" s="11">
        <f t="shared" si="49"/>
        <v>85.500000000000028</v>
      </c>
    </row>
    <row r="603" spans="1:21" ht="16" x14ac:dyDescent="0.4">
      <c r="A603" s="2" t="s">
        <v>2244</v>
      </c>
      <c r="B603" s="3" t="s">
        <v>456</v>
      </c>
      <c r="C603" s="28" t="s">
        <v>59</v>
      </c>
      <c r="D603" s="2" t="s">
        <v>2245</v>
      </c>
      <c r="E603" s="4" t="s">
        <v>418</v>
      </c>
      <c r="F603" s="5">
        <v>58</v>
      </c>
      <c r="G603" s="5">
        <v>23</v>
      </c>
      <c r="H603" s="5">
        <v>66</v>
      </c>
      <c r="I603" s="10">
        <v>1.8</v>
      </c>
      <c r="J603" s="11">
        <f t="shared" si="48"/>
        <v>104.4</v>
      </c>
      <c r="K603" s="12" t="str">
        <f t="shared" si="45"/>
        <v>Stock_Sufficient</v>
      </c>
      <c r="L603" s="12">
        <f t="shared" si="46"/>
        <v>118.8</v>
      </c>
      <c r="M603" s="6">
        <v>45411</v>
      </c>
      <c r="N603" s="6">
        <v>45424</v>
      </c>
      <c r="O603" s="6">
        <v>45712</v>
      </c>
      <c r="P603" s="7" t="s">
        <v>2246</v>
      </c>
      <c r="Q603" s="5">
        <v>82</v>
      </c>
      <c r="R603" s="10">
        <f t="shared" si="47"/>
        <v>147.6</v>
      </c>
      <c r="S603" s="5">
        <v>61</v>
      </c>
      <c r="T603" s="5" t="s">
        <v>39</v>
      </c>
      <c r="U603" s="11">
        <f t="shared" si="49"/>
        <v>43.199999999999989</v>
      </c>
    </row>
    <row r="604" spans="1:21" ht="16" x14ac:dyDescent="0.4">
      <c r="A604" s="2" t="s">
        <v>2247</v>
      </c>
      <c r="B604" s="3" t="s">
        <v>47</v>
      </c>
      <c r="C604" s="28" t="s">
        <v>48</v>
      </c>
      <c r="D604" s="2" t="s">
        <v>2248</v>
      </c>
      <c r="E604" s="4" t="s">
        <v>2200</v>
      </c>
      <c r="F604" s="5">
        <v>85</v>
      </c>
      <c r="G604" s="5">
        <v>16</v>
      </c>
      <c r="H604" s="5">
        <v>74</v>
      </c>
      <c r="I604" s="10">
        <v>3.85</v>
      </c>
      <c r="J604" s="11">
        <f t="shared" si="48"/>
        <v>327.25</v>
      </c>
      <c r="K604" s="12" t="str">
        <f t="shared" si="45"/>
        <v>Stock_Sufficient</v>
      </c>
      <c r="L604" s="12">
        <f t="shared" si="46"/>
        <v>284.90000000000003</v>
      </c>
      <c r="M604" s="6">
        <v>45614</v>
      </c>
      <c r="N604" s="6">
        <v>45573</v>
      </c>
      <c r="O604" s="6">
        <v>45629</v>
      </c>
      <c r="P604" s="7" t="s">
        <v>2249</v>
      </c>
      <c r="Q604" s="5">
        <v>58</v>
      </c>
      <c r="R604" s="10">
        <f t="shared" si="47"/>
        <v>223.3</v>
      </c>
      <c r="S604" s="5">
        <v>36</v>
      </c>
      <c r="T604" s="5" t="s">
        <v>39</v>
      </c>
      <c r="U604" s="11">
        <f t="shared" si="49"/>
        <v>-103.94999999999999</v>
      </c>
    </row>
    <row r="605" spans="1:21" ht="16" x14ac:dyDescent="0.4">
      <c r="A605" s="2" t="s">
        <v>2250</v>
      </c>
      <c r="B605" s="3" t="s">
        <v>595</v>
      </c>
      <c r="C605" s="28" t="s">
        <v>48</v>
      </c>
      <c r="D605" s="2" t="s">
        <v>2251</v>
      </c>
      <c r="E605" s="4" t="s">
        <v>37</v>
      </c>
      <c r="F605" s="5">
        <v>63</v>
      </c>
      <c r="G605" s="5">
        <v>62</v>
      </c>
      <c r="H605" s="5">
        <v>98</v>
      </c>
      <c r="I605" s="10">
        <v>2.5</v>
      </c>
      <c r="J605" s="11">
        <f t="shared" si="48"/>
        <v>157.5</v>
      </c>
      <c r="K605" s="12" t="str">
        <f t="shared" si="45"/>
        <v>Stock_Sufficient</v>
      </c>
      <c r="L605" s="12">
        <f t="shared" si="46"/>
        <v>245</v>
      </c>
      <c r="M605" s="6">
        <v>45442</v>
      </c>
      <c r="N605" s="6">
        <v>45372</v>
      </c>
      <c r="O605" s="6">
        <v>45679</v>
      </c>
      <c r="P605" s="7" t="s">
        <v>2252</v>
      </c>
      <c r="Q605" s="5">
        <v>62</v>
      </c>
      <c r="R605" s="10">
        <f t="shared" si="47"/>
        <v>155</v>
      </c>
      <c r="S605" s="5">
        <v>45</v>
      </c>
      <c r="T605" s="5" t="s">
        <v>39</v>
      </c>
      <c r="U605" s="11">
        <f t="shared" si="49"/>
        <v>-2.5</v>
      </c>
    </row>
    <row r="606" spans="1:21" ht="16" x14ac:dyDescent="0.4">
      <c r="A606" s="2" t="s">
        <v>2253</v>
      </c>
      <c r="B606" s="3" t="s">
        <v>1539</v>
      </c>
      <c r="C606" s="28" t="s">
        <v>59</v>
      </c>
      <c r="D606" s="2" t="s">
        <v>2254</v>
      </c>
      <c r="E606" s="4" t="s">
        <v>2255</v>
      </c>
      <c r="F606" s="5">
        <v>54</v>
      </c>
      <c r="G606" s="5">
        <v>86</v>
      </c>
      <c r="H606" s="5">
        <v>69</v>
      </c>
      <c r="I606" s="10">
        <v>5</v>
      </c>
      <c r="J606" s="11">
        <f t="shared" si="48"/>
        <v>270</v>
      </c>
      <c r="K606" s="12" t="str">
        <f t="shared" si="45"/>
        <v>Low Stock_Reorder Needed</v>
      </c>
      <c r="L606" s="12">
        <f t="shared" si="46"/>
        <v>345</v>
      </c>
      <c r="M606" s="6">
        <v>45622</v>
      </c>
      <c r="N606" s="6">
        <v>45519</v>
      </c>
      <c r="O606" s="6">
        <v>45390</v>
      </c>
      <c r="P606" s="7" t="s">
        <v>2256</v>
      </c>
      <c r="Q606" s="5">
        <v>29</v>
      </c>
      <c r="R606" s="10">
        <f t="shared" si="47"/>
        <v>145</v>
      </c>
      <c r="S606" s="5">
        <v>8</v>
      </c>
      <c r="T606" s="5" t="s">
        <v>27</v>
      </c>
      <c r="U606" s="11">
        <f t="shared" si="49"/>
        <v>-125</v>
      </c>
    </row>
    <row r="607" spans="1:21" ht="16" x14ac:dyDescent="0.4">
      <c r="A607" s="2" t="s">
        <v>2257</v>
      </c>
      <c r="B607" s="3" t="s">
        <v>2258</v>
      </c>
      <c r="C607" s="28" t="s">
        <v>48</v>
      </c>
      <c r="D607" s="2" t="s">
        <v>2259</v>
      </c>
      <c r="E607" s="4" t="s">
        <v>552</v>
      </c>
      <c r="F607" s="5">
        <v>30</v>
      </c>
      <c r="G607" s="5">
        <v>25</v>
      </c>
      <c r="H607" s="5">
        <v>11</v>
      </c>
      <c r="I607" s="10">
        <v>8</v>
      </c>
      <c r="J607" s="11">
        <f t="shared" si="48"/>
        <v>240</v>
      </c>
      <c r="K607" s="12" t="str">
        <f t="shared" si="45"/>
        <v>Stock_Sufficient</v>
      </c>
      <c r="L607" s="12">
        <f t="shared" si="46"/>
        <v>88</v>
      </c>
      <c r="M607" s="6">
        <v>45651</v>
      </c>
      <c r="N607" s="6">
        <v>45485</v>
      </c>
      <c r="O607" s="6">
        <v>45471</v>
      </c>
      <c r="P607" s="7" t="s">
        <v>2260</v>
      </c>
      <c r="Q607" s="5">
        <v>42</v>
      </c>
      <c r="R607" s="10">
        <f t="shared" si="47"/>
        <v>336</v>
      </c>
      <c r="S607" s="5">
        <v>76</v>
      </c>
      <c r="T607" s="5" t="s">
        <v>45</v>
      </c>
      <c r="U607" s="11">
        <f t="shared" si="49"/>
        <v>96</v>
      </c>
    </row>
    <row r="608" spans="1:21" ht="16" x14ac:dyDescent="0.4">
      <c r="A608" s="2" t="s">
        <v>2261</v>
      </c>
      <c r="B608" s="3" t="s">
        <v>595</v>
      </c>
      <c r="C608" s="28" t="s">
        <v>48</v>
      </c>
      <c r="D608" s="2" t="s">
        <v>2262</v>
      </c>
      <c r="E608" s="4" t="s">
        <v>798</v>
      </c>
      <c r="F608" s="5">
        <v>57</v>
      </c>
      <c r="G608" s="5">
        <v>25</v>
      </c>
      <c r="H608" s="5">
        <v>98</v>
      </c>
      <c r="I608" s="10">
        <v>2.5</v>
      </c>
      <c r="J608" s="11">
        <f t="shared" si="48"/>
        <v>142.5</v>
      </c>
      <c r="K608" s="12" t="str">
        <f t="shared" si="45"/>
        <v>Stock_Sufficient</v>
      </c>
      <c r="L608" s="12">
        <f t="shared" si="46"/>
        <v>245</v>
      </c>
      <c r="M608" s="6">
        <v>45457</v>
      </c>
      <c r="N608" s="6">
        <v>45347</v>
      </c>
      <c r="O608" s="6">
        <v>45426</v>
      </c>
      <c r="P608" s="7" t="s">
        <v>2263</v>
      </c>
      <c r="Q608" s="5">
        <v>78</v>
      </c>
      <c r="R608" s="10">
        <f t="shared" si="47"/>
        <v>195</v>
      </c>
      <c r="S608" s="5">
        <v>37</v>
      </c>
      <c r="T608" s="5" t="s">
        <v>45</v>
      </c>
      <c r="U608" s="11">
        <f t="shared" si="49"/>
        <v>52.5</v>
      </c>
    </row>
    <row r="609" spans="1:21" ht="16" x14ac:dyDescent="0.4">
      <c r="A609" s="2" t="s">
        <v>2264</v>
      </c>
      <c r="B609" s="3" t="s">
        <v>711</v>
      </c>
      <c r="C609" s="28" t="s">
        <v>59</v>
      </c>
      <c r="D609" s="2" t="s">
        <v>2265</v>
      </c>
      <c r="E609" s="4" t="s">
        <v>1072</v>
      </c>
      <c r="F609" s="5">
        <v>18</v>
      </c>
      <c r="G609" s="5">
        <v>72</v>
      </c>
      <c r="H609" s="5">
        <v>71</v>
      </c>
      <c r="I609" s="10">
        <v>2</v>
      </c>
      <c r="J609" s="11">
        <f t="shared" si="48"/>
        <v>36</v>
      </c>
      <c r="K609" s="12" t="str">
        <f t="shared" si="45"/>
        <v>Low Stock_Reorder Needed</v>
      </c>
      <c r="L609" s="12">
        <f t="shared" si="46"/>
        <v>142</v>
      </c>
      <c r="M609" s="6">
        <v>45417</v>
      </c>
      <c r="N609" s="6">
        <v>45516</v>
      </c>
      <c r="O609" s="6">
        <v>45463</v>
      </c>
      <c r="P609" s="7" t="s">
        <v>2266</v>
      </c>
      <c r="Q609" s="5">
        <v>25</v>
      </c>
      <c r="R609" s="10">
        <f t="shared" si="47"/>
        <v>50</v>
      </c>
      <c r="S609" s="5">
        <v>81</v>
      </c>
      <c r="T609" s="5" t="s">
        <v>45</v>
      </c>
      <c r="U609" s="11">
        <f t="shared" si="49"/>
        <v>14</v>
      </c>
    </row>
    <row r="610" spans="1:21" ht="16" x14ac:dyDescent="0.4">
      <c r="A610" s="2" t="s">
        <v>2267</v>
      </c>
      <c r="B610" s="3" t="s">
        <v>625</v>
      </c>
      <c r="C610" s="28" t="s">
        <v>133</v>
      </c>
      <c r="D610" s="2" t="s">
        <v>2268</v>
      </c>
      <c r="E610" s="4" t="s">
        <v>2269</v>
      </c>
      <c r="F610" s="5">
        <v>16</v>
      </c>
      <c r="G610" s="5">
        <v>34</v>
      </c>
      <c r="H610" s="5">
        <v>89</v>
      </c>
      <c r="I610" s="10">
        <v>18</v>
      </c>
      <c r="J610" s="11">
        <f t="shared" si="48"/>
        <v>288</v>
      </c>
      <c r="K610" s="12" t="str">
        <f t="shared" si="45"/>
        <v>Low Stock_Reorder Needed</v>
      </c>
      <c r="L610" s="12">
        <f t="shared" si="46"/>
        <v>1602</v>
      </c>
      <c r="M610" s="6">
        <v>45652</v>
      </c>
      <c r="N610" s="6">
        <v>45349</v>
      </c>
      <c r="O610" s="6">
        <v>45411</v>
      </c>
      <c r="P610" s="7" t="s">
        <v>2270</v>
      </c>
      <c r="Q610" s="5">
        <v>35</v>
      </c>
      <c r="R610" s="10">
        <f t="shared" si="47"/>
        <v>630</v>
      </c>
      <c r="S610" s="5">
        <v>52</v>
      </c>
      <c r="T610" s="5" t="s">
        <v>39</v>
      </c>
      <c r="U610" s="11">
        <f t="shared" si="49"/>
        <v>342</v>
      </c>
    </row>
    <row r="611" spans="1:21" ht="16" x14ac:dyDescent="0.4">
      <c r="A611" s="2" t="s">
        <v>2271</v>
      </c>
      <c r="B611" s="3" t="s">
        <v>630</v>
      </c>
      <c r="C611" s="28" t="s">
        <v>65</v>
      </c>
      <c r="D611" s="2" t="s">
        <v>2272</v>
      </c>
      <c r="E611" s="4" t="s">
        <v>929</v>
      </c>
      <c r="F611" s="5">
        <v>39</v>
      </c>
      <c r="G611" s="5">
        <v>80</v>
      </c>
      <c r="H611" s="5">
        <v>68</v>
      </c>
      <c r="I611" s="10">
        <v>2.5</v>
      </c>
      <c r="J611" s="11">
        <f t="shared" si="48"/>
        <v>97.5</v>
      </c>
      <c r="K611" s="12" t="str">
        <f t="shared" si="45"/>
        <v>Low Stock_Reorder Needed</v>
      </c>
      <c r="L611" s="12">
        <f t="shared" si="46"/>
        <v>170</v>
      </c>
      <c r="M611" s="6">
        <v>45493</v>
      </c>
      <c r="N611" s="6">
        <v>45510</v>
      </c>
      <c r="O611" s="6">
        <v>45519</v>
      </c>
      <c r="P611" s="7" t="s">
        <v>2273</v>
      </c>
      <c r="Q611" s="5">
        <v>46</v>
      </c>
      <c r="R611" s="10">
        <f t="shared" si="47"/>
        <v>115</v>
      </c>
      <c r="S611" s="5">
        <v>54</v>
      </c>
      <c r="T611" s="5" t="s">
        <v>27</v>
      </c>
      <c r="U611" s="11">
        <f t="shared" si="49"/>
        <v>17.5</v>
      </c>
    </row>
    <row r="612" spans="1:21" ht="16" x14ac:dyDescent="0.4">
      <c r="A612" s="2" t="s">
        <v>2274</v>
      </c>
      <c r="B612" s="3" t="s">
        <v>230</v>
      </c>
      <c r="C612" s="28" t="s">
        <v>48</v>
      </c>
      <c r="D612" s="2" t="s">
        <v>2275</v>
      </c>
      <c r="E612" s="4" t="s">
        <v>1986</v>
      </c>
      <c r="F612" s="5">
        <v>59</v>
      </c>
      <c r="G612" s="5">
        <v>82</v>
      </c>
      <c r="H612" s="5">
        <v>69</v>
      </c>
      <c r="I612" s="10">
        <v>2.4500000000000002</v>
      </c>
      <c r="J612" s="11">
        <f t="shared" si="48"/>
        <v>144.55000000000001</v>
      </c>
      <c r="K612" s="12" t="str">
        <f t="shared" si="45"/>
        <v>Low Stock_Reorder Needed</v>
      </c>
      <c r="L612" s="12">
        <f t="shared" si="46"/>
        <v>169.05</v>
      </c>
      <c r="M612" s="6">
        <v>45416</v>
      </c>
      <c r="N612" s="6">
        <v>45376</v>
      </c>
      <c r="O612" s="6">
        <v>45354</v>
      </c>
      <c r="P612" s="7" t="s">
        <v>2276</v>
      </c>
      <c r="Q612" s="5">
        <v>30</v>
      </c>
      <c r="R612" s="10">
        <f t="shared" si="47"/>
        <v>73.5</v>
      </c>
      <c r="S612" s="5">
        <v>34</v>
      </c>
      <c r="T612" s="5" t="s">
        <v>27</v>
      </c>
      <c r="U612" s="11">
        <f t="shared" si="49"/>
        <v>-71.050000000000011</v>
      </c>
    </row>
    <row r="613" spans="1:21" ht="16" x14ac:dyDescent="0.4">
      <c r="A613" s="2" t="s">
        <v>2277</v>
      </c>
      <c r="B613" s="3" t="s">
        <v>1480</v>
      </c>
      <c r="C613" s="28" t="s">
        <v>133</v>
      </c>
      <c r="D613" s="2" t="s">
        <v>2278</v>
      </c>
      <c r="E613" s="4" t="s">
        <v>2279</v>
      </c>
      <c r="F613" s="5">
        <v>79</v>
      </c>
      <c r="G613" s="5">
        <v>28</v>
      </c>
      <c r="H613" s="5">
        <v>4</v>
      </c>
      <c r="I613" s="10">
        <v>15</v>
      </c>
      <c r="J613" s="11">
        <f t="shared" si="48"/>
        <v>1185</v>
      </c>
      <c r="K613" s="12" t="str">
        <f t="shared" si="45"/>
        <v>Stock_Sufficient</v>
      </c>
      <c r="L613" s="12">
        <f t="shared" si="46"/>
        <v>60</v>
      </c>
      <c r="M613" s="6">
        <v>45689</v>
      </c>
      <c r="N613" s="6">
        <v>45555</v>
      </c>
      <c r="O613" s="6">
        <v>45429</v>
      </c>
      <c r="P613" s="7" t="s">
        <v>2280</v>
      </c>
      <c r="Q613" s="5">
        <v>42</v>
      </c>
      <c r="R613" s="10">
        <f t="shared" si="47"/>
        <v>630</v>
      </c>
      <c r="S613" s="5">
        <v>46</v>
      </c>
      <c r="T613" s="5" t="s">
        <v>45</v>
      </c>
      <c r="U613" s="11">
        <f t="shared" si="49"/>
        <v>-555</v>
      </c>
    </row>
    <row r="614" spans="1:21" ht="16" x14ac:dyDescent="0.4">
      <c r="A614" s="2" t="s">
        <v>2281</v>
      </c>
      <c r="B614" s="3" t="s">
        <v>158</v>
      </c>
      <c r="C614" s="28" t="s">
        <v>65</v>
      </c>
      <c r="D614" s="2" t="s">
        <v>2282</v>
      </c>
      <c r="E614" s="4" t="s">
        <v>366</v>
      </c>
      <c r="F614" s="5">
        <v>78</v>
      </c>
      <c r="G614" s="5">
        <v>61</v>
      </c>
      <c r="H614" s="5">
        <v>6</v>
      </c>
      <c r="I614" s="10">
        <v>0.8</v>
      </c>
      <c r="J614" s="11">
        <f t="shared" si="48"/>
        <v>62.400000000000006</v>
      </c>
      <c r="K614" s="12" t="str">
        <f t="shared" si="45"/>
        <v>Stock_Sufficient</v>
      </c>
      <c r="L614" s="12">
        <f t="shared" si="46"/>
        <v>4.8000000000000007</v>
      </c>
      <c r="M614" s="6">
        <v>45439</v>
      </c>
      <c r="N614" s="6">
        <v>45571</v>
      </c>
      <c r="O614" s="6">
        <v>45644</v>
      </c>
      <c r="P614" s="7" t="s">
        <v>2283</v>
      </c>
      <c r="Q614" s="5">
        <v>49</v>
      </c>
      <c r="R614" s="10">
        <f t="shared" si="47"/>
        <v>39.200000000000003</v>
      </c>
      <c r="S614" s="5">
        <v>60</v>
      </c>
      <c r="T614" s="5" t="s">
        <v>45</v>
      </c>
      <c r="U614" s="11">
        <f t="shared" si="49"/>
        <v>-23.200000000000003</v>
      </c>
    </row>
    <row r="615" spans="1:21" ht="16" x14ac:dyDescent="0.4">
      <c r="A615" s="2" t="s">
        <v>2284</v>
      </c>
      <c r="B615" s="3" t="s">
        <v>22</v>
      </c>
      <c r="C615" s="28" t="s">
        <v>23</v>
      </c>
      <c r="D615" s="2" t="s">
        <v>2285</v>
      </c>
      <c r="E615" s="4" t="s">
        <v>2286</v>
      </c>
      <c r="F615" s="5">
        <v>22</v>
      </c>
      <c r="G615" s="5">
        <v>10</v>
      </c>
      <c r="H615" s="5">
        <v>53</v>
      </c>
      <c r="I615" s="10">
        <v>4.25</v>
      </c>
      <c r="J615" s="11">
        <f t="shared" si="48"/>
        <v>93.5</v>
      </c>
      <c r="K615" s="12" t="str">
        <f t="shared" si="45"/>
        <v>Stock_Sufficient</v>
      </c>
      <c r="L615" s="12">
        <f t="shared" si="46"/>
        <v>225.25</v>
      </c>
      <c r="M615" s="6">
        <v>45512</v>
      </c>
      <c r="N615" s="6">
        <v>45591</v>
      </c>
      <c r="O615" s="6">
        <v>45396</v>
      </c>
      <c r="P615" s="7" t="s">
        <v>2287</v>
      </c>
      <c r="Q615" s="5">
        <v>64</v>
      </c>
      <c r="R615" s="10">
        <f t="shared" si="47"/>
        <v>272</v>
      </c>
      <c r="S615" s="5">
        <v>7</v>
      </c>
      <c r="T615" s="5" t="s">
        <v>45</v>
      </c>
      <c r="U615" s="11">
        <f t="shared" si="49"/>
        <v>178.5</v>
      </c>
    </row>
    <row r="616" spans="1:21" ht="16" x14ac:dyDescent="0.4">
      <c r="A616" s="2" t="s">
        <v>2288</v>
      </c>
      <c r="B616" s="3" t="s">
        <v>2289</v>
      </c>
      <c r="C616" s="28" t="s">
        <v>65</v>
      </c>
      <c r="D616" s="2" t="s">
        <v>2290</v>
      </c>
      <c r="E616" s="4" t="s">
        <v>2291</v>
      </c>
      <c r="F616" s="5">
        <v>10</v>
      </c>
      <c r="G616" s="5">
        <v>17</v>
      </c>
      <c r="H616" s="5">
        <v>70</v>
      </c>
      <c r="I616" s="10">
        <v>0.2</v>
      </c>
      <c r="J616" s="11">
        <f t="shared" si="48"/>
        <v>2</v>
      </c>
      <c r="K616" s="12" t="str">
        <f t="shared" si="45"/>
        <v>Low Stock_Reorder Needed</v>
      </c>
      <c r="L616" s="12">
        <f t="shared" si="46"/>
        <v>14</v>
      </c>
      <c r="M616" s="6">
        <v>45655</v>
      </c>
      <c r="N616" s="6">
        <v>45649</v>
      </c>
      <c r="O616" s="6">
        <v>45543</v>
      </c>
      <c r="P616" s="7" t="s">
        <v>2292</v>
      </c>
      <c r="Q616" s="5">
        <v>100</v>
      </c>
      <c r="R616" s="10">
        <f t="shared" si="47"/>
        <v>20</v>
      </c>
      <c r="S616" s="5">
        <v>63</v>
      </c>
      <c r="T616" s="5" t="s">
        <v>39</v>
      </c>
      <c r="U616" s="11">
        <f t="shared" si="49"/>
        <v>18</v>
      </c>
    </row>
    <row r="617" spans="1:21" ht="16" x14ac:dyDescent="0.4">
      <c r="A617" s="2" t="s">
        <v>2293</v>
      </c>
      <c r="B617" s="3" t="s">
        <v>386</v>
      </c>
      <c r="C617" s="28" t="s">
        <v>23</v>
      </c>
      <c r="D617" s="2" t="s">
        <v>2294</v>
      </c>
      <c r="E617" s="4" t="s">
        <v>656</v>
      </c>
      <c r="F617" s="5">
        <v>34</v>
      </c>
      <c r="G617" s="5">
        <v>32</v>
      </c>
      <c r="H617" s="5">
        <v>22</v>
      </c>
      <c r="I617" s="10">
        <v>4.5</v>
      </c>
      <c r="J617" s="11">
        <f t="shared" si="48"/>
        <v>153</v>
      </c>
      <c r="K617" s="12" t="str">
        <f t="shared" si="45"/>
        <v>Stock_Sufficient</v>
      </c>
      <c r="L617" s="12">
        <f t="shared" si="46"/>
        <v>99</v>
      </c>
      <c r="M617" s="6">
        <v>45414</v>
      </c>
      <c r="N617" s="6">
        <v>45598</v>
      </c>
      <c r="O617" s="6">
        <v>45695</v>
      </c>
      <c r="P617" s="7" t="s">
        <v>2295</v>
      </c>
      <c r="Q617" s="5">
        <v>42</v>
      </c>
      <c r="R617" s="10">
        <f t="shared" si="47"/>
        <v>189</v>
      </c>
      <c r="S617" s="5">
        <v>27</v>
      </c>
      <c r="T617" s="5" t="s">
        <v>45</v>
      </c>
      <c r="U617" s="11">
        <f t="shared" si="49"/>
        <v>36</v>
      </c>
    </row>
    <row r="618" spans="1:21" ht="16" x14ac:dyDescent="0.4">
      <c r="A618" s="2" t="s">
        <v>2296</v>
      </c>
      <c r="B618" s="3" t="s">
        <v>364</v>
      </c>
      <c r="C618" s="28" t="s">
        <v>65</v>
      </c>
      <c r="D618" s="2" t="s">
        <v>2297</v>
      </c>
      <c r="E618" s="4" t="s">
        <v>470</v>
      </c>
      <c r="F618" s="5">
        <v>74</v>
      </c>
      <c r="G618" s="5">
        <v>62</v>
      </c>
      <c r="H618" s="5">
        <v>6</v>
      </c>
      <c r="I618" s="10">
        <v>4</v>
      </c>
      <c r="J618" s="11">
        <f t="shared" si="48"/>
        <v>296</v>
      </c>
      <c r="K618" s="12" t="str">
        <f t="shared" si="45"/>
        <v>Stock_Sufficient</v>
      </c>
      <c r="L618" s="12">
        <f t="shared" si="46"/>
        <v>24</v>
      </c>
      <c r="M618" s="6">
        <v>45653</v>
      </c>
      <c r="N618" s="6">
        <v>45670</v>
      </c>
      <c r="O618" s="6">
        <v>45518</v>
      </c>
      <c r="P618" s="7" t="s">
        <v>2298</v>
      </c>
      <c r="Q618" s="5">
        <v>65</v>
      </c>
      <c r="R618" s="10">
        <f t="shared" si="47"/>
        <v>260</v>
      </c>
      <c r="S618" s="5">
        <v>96</v>
      </c>
      <c r="T618" s="5" t="s">
        <v>45</v>
      </c>
      <c r="U618" s="11">
        <f t="shared" si="49"/>
        <v>-36</v>
      </c>
    </row>
    <row r="619" spans="1:21" ht="16" x14ac:dyDescent="0.4">
      <c r="A619" s="2" t="s">
        <v>2299</v>
      </c>
      <c r="B619" s="3" t="s">
        <v>22</v>
      </c>
      <c r="C619" s="28" t="s">
        <v>23</v>
      </c>
      <c r="D619" s="2" t="s">
        <v>2300</v>
      </c>
      <c r="E619" s="4" t="s">
        <v>783</v>
      </c>
      <c r="F619" s="5">
        <v>10</v>
      </c>
      <c r="G619" s="5">
        <v>11</v>
      </c>
      <c r="H619" s="5">
        <v>29</v>
      </c>
      <c r="I619" s="10">
        <v>4.3</v>
      </c>
      <c r="J619" s="11">
        <f t="shared" si="48"/>
        <v>43</v>
      </c>
      <c r="K619" s="12" t="str">
        <f t="shared" si="45"/>
        <v>Low Stock_Reorder Needed</v>
      </c>
      <c r="L619" s="12">
        <f t="shared" si="46"/>
        <v>124.69999999999999</v>
      </c>
      <c r="M619" s="6">
        <v>45701</v>
      </c>
      <c r="N619" s="6">
        <v>45573</v>
      </c>
      <c r="O619" s="6">
        <v>45495</v>
      </c>
      <c r="P619" s="7" t="s">
        <v>2301</v>
      </c>
      <c r="Q619" s="5">
        <v>29</v>
      </c>
      <c r="R619" s="10">
        <f t="shared" si="47"/>
        <v>124.69999999999999</v>
      </c>
      <c r="S619" s="5">
        <v>72</v>
      </c>
      <c r="T619" s="5" t="s">
        <v>39</v>
      </c>
      <c r="U619" s="11">
        <f t="shared" si="49"/>
        <v>81.699999999999989</v>
      </c>
    </row>
    <row r="620" spans="1:21" ht="16" x14ac:dyDescent="0.4">
      <c r="A620" s="2" t="s">
        <v>2302</v>
      </c>
      <c r="B620" s="3" t="s">
        <v>829</v>
      </c>
      <c r="C620" s="28" t="s">
        <v>23</v>
      </c>
      <c r="D620" s="2" t="s">
        <v>2303</v>
      </c>
      <c r="E620" s="4" t="s">
        <v>944</v>
      </c>
      <c r="F620" s="5">
        <v>11</v>
      </c>
      <c r="G620" s="5">
        <v>87</v>
      </c>
      <c r="H620" s="5">
        <v>64</v>
      </c>
      <c r="I620" s="10">
        <v>4.5</v>
      </c>
      <c r="J620" s="11">
        <f t="shared" si="48"/>
        <v>49.5</v>
      </c>
      <c r="K620" s="12" t="str">
        <f t="shared" si="45"/>
        <v>Low Stock_Reorder Needed</v>
      </c>
      <c r="L620" s="12">
        <f t="shared" si="46"/>
        <v>288</v>
      </c>
      <c r="M620" s="6">
        <v>45534</v>
      </c>
      <c r="N620" s="6">
        <v>45451</v>
      </c>
      <c r="O620" s="6">
        <v>45448</v>
      </c>
      <c r="P620" s="7" t="s">
        <v>2304</v>
      </c>
      <c r="Q620" s="5">
        <v>29</v>
      </c>
      <c r="R620" s="10">
        <f t="shared" si="47"/>
        <v>130.5</v>
      </c>
      <c r="S620" s="5">
        <v>6</v>
      </c>
      <c r="T620" s="5" t="s">
        <v>45</v>
      </c>
      <c r="U620" s="11">
        <f t="shared" si="49"/>
        <v>81</v>
      </c>
    </row>
    <row r="621" spans="1:21" ht="16" x14ac:dyDescent="0.4">
      <c r="A621" s="2" t="s">
        <v>2305</v>
      </c>
      <c r="B621" s="3" t="s">
        <v>1126</v>
      </c>
      <c r="C621" s="28" t="s">
        <v>48</v>
      </c>
      <c r="D621" s="2" t="s">
        <v>2306</v>
      </c>
      <c r="E621" s="4" t="s">
        <v>1670</v>
      </c>
      <c r="F621" s="5">
        <v>99</v>
      </c>
      <c r="G621" s="5">
        <v>68</v>
      </c>
      <c r="H621" s="5">
        <v>1</v>
      </c>
      <c r="I621" s="10">
        <v>5.5</v>
      </c>
      <c r="J621" s="11">
        <f t="shared" si="48"/>
        <v>544.5</v>
      </c>
      <c r="K621" s="12" t="str">
        <f t="shared" si="45"/>
        <v>Stock_Sufficient</v>
      </c>
      <c r="L621" s="12">
        <f t="shared" si="46"/>
        <v>5.5</v>
      </c>
      <c r="M621" s="6">
        <v>45486</v>
      </c>
      <c r="N621" s="6">
        <v>45347</v>
      </c>
      <c r="O621" s="6">
        <v>45543</v>
      </c>
      <c r="P621" s="7" t="s">
        <v>2307</v>
      </c>
      <c r="Q621" s="5">
        <v>59</v>
      </c>
      <c r="R621" s="10">
        <f t="shared" si="47"/>
        <v>324.5</v>
      </c>
      <c r="S621" s="5">
        <v>16</v>
      </c>
      <c r="T621" s="5" t="s">
        <v>27</v>
      </c>
      <c r="U621" s="11">
        <f t="shared" si="49"/>
        <v>-220</v>
      </c>
    </row>
    <row r="622" spans="1:21" ht="16" x14ac:dyDescent="0.4">
      <c r="A622" s="2" t="s">
        <v>2308</v>
      </c>
      <c r="B622" s="3" t="s">
        <v>114</v>
      </c>
      <c r="C622" s="28" t="s">
        <v>65</v>
      </c>
      <c r="D622" s="2" t="s">
        <v>2309</v>
      </c>
      <c r="E622" s="4" t="s">
        <v>690</v>
      </c>
      <c r="F622" s="5">
        <v>64</v>
      </c>
      <c r="G622" s="5">
        <v>14</v>
      </c>
      <c r="H622" s="5">
        <v>44</v>
      </c>
      <c r="I622" s="10">
        <v>8</v>
      </c>
      <c r="J622" s="11">
        <f t="shared" si="48"/>
        <v>512</v>
      </c>
      <c r="K622" s="12" t="str">
        <f t="shared" si="45"/>
        <v>Stock_Sufficient</v>
      </c>
      <c r="L622" s="12">
        <f t="shared" si="46"/>
        <v>352</v>
      </c>
      <c r="M622" s="6">
        <v>45466</v>
      </c>
      <c r="N622" s="6">
        <v>45428</v>
      </c>
      <c r="O622" s="6">
        <v>45655</v>
      </c>
      <c r="P622" s="7" t="s">
        <v>2310</v>
      </c>
      <c r="Q622" s="5">
        <v>53</v>
      </c>
      <c r="R622" s="10">
        <f t="shared" si="47"/>
        <v>424</v>
      </c>
      <c r="S622" s="5">
        <v>33</v>
      </c>
      <c r="T622" s="5" t="s">
        <v>45</v>
      </c>
      <c r="U622" s="11">
        <f t="shared" si="49"/>
        <v>-88</v>
      </c>
    </row>
    <row r="623" spans="1:21" ht="16" x14ac:dyDescent="0.4">
      <c r="A623" s="2" t="s">
        <v>2311</v>
      </c>
      <c r="B623" s="3" t="s">
        <v>172</v>
      </c>
      <c r="C623" s="28" t="s">
        <v>48</v>
      </c>
      <c r="D623" s="2" t="s">
        <v>2312</v>
      </c>
      <c r="E623" s="4" t="s">
        <v>2313</v>
      </c>
      <c r="F623" s="5">
        <v>58</v>
      </c>
      <c r="G623" s="5">
        <v>55</v>
      </c>
      <c r="H623" s="5">
        <v>5</v>
      </c>
      <c r="I623" s="10">
        <v>4.45</v>
      </c>
      <c r="J623" s="11">
        <f t="shared" si="48"/>
        <v>258.10000000000002</v>
      </c>
      <c r="K623" s="12" t="str">
        <f t="shared" si="45"/>
        <v>Stock_Sufficient</v>
      </c>
      <c r="L623" s="12">
        <f t="shared" si="46"/>
        <v>22.25</v>
      </c>
      <c r="M623" s="6">
        <v>45657</v>
      </c>
      <c r="N623" s="6">
        <v>45399</v>
      </c>
      <c r="O623" s="6">
        <v>45663</v>
      </c>
      <c r="P623" s="7" t="s">
        <v>2314</v>
      </c>
      <c r="Q623" s="5">
        <v>62</v>
      </c>
      <c r="R623" s="10">
        <f t="shared" si="47"/>
        <v>275.90000000000003</v>
      </c>
      <c r="S623" s="5">
        <v>89</v>
      </c>
      <c r="T623" s="5" t="s">
        <v>45</v>
      </c>
      <c r="U623" s="11">
        <f t="shared" si="49"/>
        <v>17.800000000000011</v>
      </c>
    </row>
    <row r="624" spans="1:21" ht="16" x14ac:dyDescent="0.4">
      <c r="A624" s="2" t="s">
        <v>2315</v>
      </c>
      <c r="B624" s="3" t="s">
        <v>58</v>
      </c>
      <c r="C624" s="28" t="s">
        <v>59</v>
      </c>
      <c r="D624" s="2" t="s">
        <v>2316</v>
      </c>
      <c r="E624" s="4" t="s">
        <v>174</v>
      </c>
      <c r="F624" s="5">
        <v>26</v>
      </c>
      <c r="G624" s="5">
        <v>100</v>
      </c>
      <c r="H624" s="5">
        <v>13</v>
      </c>
      <c r="I624" s="10">
        <v>2.5</v>
      </c>
      <c r="J624" s="11">
        <f t="shared" si="48"/>
        <v>65</v>
      </c>
      <c r="K624" s="12" t="str">
        <f t="shared" si="45"/>
        <v>Low Stock_Reorder Needed</v>
      </c>
      <c r="L624" s="12">
        <f t="shared" si="46"/>
        <v>32.5</v>
      </c>
      <c r="M624" s="6">
        <v>45619</v>
      </c>
      <c r="N624" s="6">
        <v>45553</v>
      </c>
      <c r="O624" s="6">
        <v>45664</v>
      </c>
      <c r="P624" s="7" t="s">
        <v>2317</v>
      </c>
      <c r="Q624" s="5">
        <v>45</v>
      </c>
      <c r="R624" s="10">
        <f t="shared" si="47"/>
        <v>112.5</v>
      </c>
      <c r="S624" s="5">
        <v>45</v>
      </c>
      <c r="T624" s="5" t="s">
        <v>27</v>
      </c>
      <c r="U624" s="11">
        <f t="shared" si="49"/>
        <v>47.5</v>
      </c>
    </row>
    <row r="625" spans="1:21" ht="16" x14ac:dyDescent="0.4">
      <c r="A625" s="2" t="s">
        <v>2318</v>
      </c>
      <c r="B625" s="3" t="s">
        <v>153</v>
      </c>
      <c r="C625" s="28" t="s">
        <v>23</v>
      </c>
      <c r="D625" s="2" t="s">
        <v>2319</v>
      </c>
      <c r="E625" s="4" t="s">
        <v>639</v>
      </c>
      <c r="F625" s="5">
        <v>72</v>
      </c>
      <c r="G625" s="5">
        <v>72</v>
      </c>
      <c r="H625" s="5">
        <v>68</v>
      </c>
      <c r="I625" s="10">
        <v>1.5</v>
      </c>
      <c r="J625" s="11">
        <f t="shared" si="48"/>
        <v>108</v>
      </c>
      <c r="K625" s="12" t="str">
        <f t="shared" si="45"/>
        <v>Low Stock_Reorder Needed</v>
      </c>
      <c r="L625" s="12">
        <f t="shared" si="46"/>
        <v>102</v>
      </c>
      <c r="M625" s="6">
        <v>45564</v>
      </c>
      <c r="N625" s="6">
        <v>45469</v>
      </c>
      <c r="O625" s="6">
        <v>45613</v>
      </c>
      <c r="P625" s="7" t="s">
        <v>2320</v>
      </c>
      <c r="Q625" s="5">
        <v>39</v>
      </c>
      <c r="R625" s="10">
        <f t="shared" si="47"/>
        <v>58.5</v>
      </c>
      <c r="S625" s="5">
        <v>78</v>
      </c>
      <c r="T625" s="5" t="s">
        <v>45</v>
      </c>
      <c r="U625" s="11">
        <f t="shared" si="49"/>
        <v>-49.5</v>
      </c>
    </row>
    <row r="626" spans="1:21" ht="16" x14ac:dyDescent="0.4">
      <c r="A626" s="2" t="s">
        <v>2321</v>
      </c>
      <c r="B626" s="3" t="s">
        <v>345</v>
      </c>
      <c r="C626" s="28" t="s">
        <v>65</v>
      </c>
      <c r="D626" s="2" t="s">
        <v>2322</v>
      </c>
      <c r="E626" s="4" t="s">
        <v>1033</v>
      </c>
      <c r="F626" s="5">
        <v>36</v>
      </c>
      <c r="G626" s="5">
        <v>82</v>
      </c>
      <c r="H626" s="5">
        <v>85</v>
      </c>
      <c r="I626" s="10">
        <v>7.1</v>
      </c>
      <c r="J626" s="11">
        <f t="shared" si="48"/>
        <v>255.6</v>
      </c>
      <c r="K626" s="12" t="str">
        <f t="shared" si="45"/>
        <v>Low Stock_Reorder Needed</v>
      </c>
      <c r="L626" s="12">
        <f t="shared" si="46"/>
        <v>603.5</v>
      </c>
      <c r="M626" s="6">
        <v>45410</v>
      </c>
      <c r="N626" s="6">
        <v>45380</v>
      </c>
      <c r="O626" s="6">
        <v>45509</v>
      </c>
      <c r="P626" s="7" t="s">
        <v>2323</v>
      </c>
      <c r="Q626" s="5">
        <v>27</v>
      </c>
      <c r="R626" s="10">
        <f t="shared" si="47"/>
        <v>191.7</v>
      </c>
      <c r="S626" s="5">
        <v>67</v>
      </c>
      <c r="T626" s="5" t="s">
        <v>27</v>
      </c>
      <c r="U626" s="11">
        <f t="shared" si="49"/>
        <v>-63.900000000000006</v>
      </c>
    </row>
    <row r="627" spans="1:21" ht="16" x14ac:dyDescent="0.4">
      <c r="A627" s="2" t="s">
        <v>2324</v>
      </c>
      <c r="B627" s="3" t="s">
        <v>163</v>
      </c>
      <c r="C627" s="28" t="s">
        <v>48</v>
      </c>
      <c r="D627" s="2" t="s">
        <v>2325</v>
      </c>
      <c r="E627" s="4" t="s">
        <v>2326</v>
      </c>
      <c r="F627" s="5">
        <v>24</v>
      </c>
      <c r="G627" s="5">
        <v>21</v>
      </c>
      <c r="H627" s="5">
        <v>4</v>
      </c>
      <c r="I627" s="10">
        <v>6</v>
      </c>
      <c r="J627" s="11">
        <f t="shared" si="48"/>
        <v>144</v>
      </c>
      <c r="K627" s="12" t="str">
        <f t="shared" si="45"/>
        <v>Stock_Sufficient</v>
      </c>
      <c r="L627" s="12">
        <f t="shared" si="46"/>
        <v>24</v>
      </c>
      <c r="M627" s="6">
        <v>45387</v>
      </c>
      <c r="N627" s="6">
        <v>45470</v>
      </c>
      <c r="O627" s="6">
        <v>45593</v>
      </c>
      <c r="P627" s="7" t="s">
        <v>2327</v>
      </c>
      <c r="Q627" s="5">
        <v>85</v>
      </c>
      <c r="R627" s="10">
        <f t="shared" si="47"/>
        <v>510</v>
      </c>
      <c r="S627" s="5">
        <v>17</v>
      </c>
      <c r="T627" s="5" t="s">
        <v>39</v>
      </c>
      <c r="U627" s="11">
        <f t="shared" si="49"/>
        <v>366</v>
      </c>
    </row>
    <row r="628" spans="1:21" ht="16" x14ac:dyDescent="0.4">
      <c r="A628" s="2" t="s">
        <v>2328</v>
      </c>
      <c r="B628" s="3" t="s">
        <v>202</v>
      </c>
      <c r="C628" s="28" t="s">
        <v>48</v>
      </c>
      <c r="D628" s="2" t="s">
        <v>2329</v>
      </c>
      <c r="E628" s="4" t="s">
        <v>841</v>
      </c>
      <c r="F628" s="5">
        <v>16</v>
      </c>
      <c r="G628" s="5">
        <v>75</v>
      </c>
      <c r="H628" s="5">
        <v>42</v>
      </c>
      <c r="I628" s="10">
        <v>2</v>
      </c>
      <c r="J628" s="11">
        <f t="shared" si="48"/>
        <v>32</v>
      </c>
      <c r="K628" s="12" t="str">
        <f t="shared" si="45"/>
        <v>Low Stock_Reorder Needed</v>
      </c>
      <c r="L628" s="12">
        <f t="shared" si="46"/>
        <v>84</v>
      </c>
      <c r="M628" s="6">
        <v>45496</v>
      </c>
      <c r="N628" s="6">
        <v>45372</v>
      </c>
      <c r="O628" s="6">
        <v>45436</v>
      </c>
      <c r="P628" s="7" t="s">
        <v>2330</v>
      </c>
      <c r="Q628" s="5">
        <v>22</v>
      </c>
      <c r="R628" s="10">
        <f t="shared" si="47"/>
        <v>44</v>
      </c>
      <c r="S628" s="5">
        <v>46</v>
      </c>
      <c r="T628" s="5" t="s">
        <v>45</v>
      </c>
      <c r="U628" s="11">
        <f t="shared" si="49"/>
        <v>12</v>
      </c>
    </row>
    <row r="629" spans="1:21" ht="16" x14ac:dyDescent="0.4">
      <c r="A629" s="2" t="s">
        <v>2331</v>
      </c>
      <c r="B629" s="3" t="s">
        <v>538</v>
      </c>
      <c r="C629" s="28" t="s">
        <v>48</v>
      </c>
      <c r="D629" s="2" t="s">
        <v>2332</v>
      </c>
      <c r="E629" s="4" t="s">
        <v>2333</v>
      </c>
      <c r="F629" s="5">
        <v>39</v>
      </c>
      <c r="G629" s="5">
        <v>19</v>
      </c>
      <c r="H629" s="5">
        <v>18</v>
      </c>
      <c r="I629" s="10">
        <v>13.99</v>
      </c>
      <c r="J629" s="11">
        <f t="shared" si="48"/>
        <v>545.61</v>
      </c>
      <c r="K629" s="12" t="str">
        <f t="shared" si="45"/>
        <v>Stock_Sufficient</v>
      </c>
      <c r="L629" s="12">
        <f t="shared" si="46"/>
        <v>251.82</v>
      </c>
      <c r="M629" s="6">
        <v>45381</v>
      </c>
      <c r="N629" s="6">
        <v>45491</v>
      </c>
      <c r="O629" s="6">
        <v>45677</v>
      </c>
      <c r="P629" s="7" t="s">
        <v>2334</v>
      </c>
      <c r="Q629" s="5">
        <v>58</v>
      </c>
      <c r="R629" s="10">
        <f t="shared" si="47"/>
        <v>811.42</v>
      </c>
      <c r="S629" s="5">
        <v>90</v>
      </c>
      <c r="T629" s="5" t="s">
        <v>45</v>
      </c>
      <c r="U629" s="11">
        <f t="shared" si="49"/>
        <v>265.80999999999995</v>
      </c>
    </row>
    <row r="630" spans="1:21" ht="16" x14ac:dyDescent="0.4">
      <c r="A630" s="2" t="s">
        <v>2335</v>
      </c>
      <c r="B630" s="3" t="s">
        <v>215</v>
      </c>
      <c r="C630" s="28" t="s">
        <v>48</v>
      </c>
      <c r="D630" s="2" t="s">
        <v>2336</v>
      </c>
      <c r="E630" s="4" t="s">
        <v>2337</v>
      </c>
      <c r="F630" s="5">
        <v>89</v>
      </c>
      <c r="G630" s="5">
        <v>56</v>
      </c>
      <c r="H630" s="5">
        <v>74</v>
      </c>
      <c r="I630" s="10">
        <v>2.5</v>
      </c>
      <c r="J630" s="11">
        <f t="shared" si="48"/>
        <v>222.5</v>
      </c>
      <c r="K630" s="12" t="str">
        <f t="shared" si="45"/>
        <v>Stock_Sufficient</v>
      </c>
      <c r="L630" s="12">
        <f t="shared" si="46"/>
        <v>185</v>
      </c>
      <c r="M630" s="6">
        <v>45606</v>
      </c>
      <c r="N630" s="6">
        <v>45503</v>
      </c>
      <c r="O630" s="6">
        <v>45566</v>
      </c>
      <c r="P630" s="7" t="s">
        <v>2338</v>
      </c>
      <c r="Q630" s="5">
        <v>27</v>
      </c>
      <c r="R630" s="10">
        <f t="shared" si="47"/>
        <v>67.5</v>
      </c>
      <c r="S630" s="5">
        <v>51</v>
      </c>
      <c r="T630" s="5" t="s">
        <v>39</v>
      </c>
      <c r="U630" s="11">
        <f t="shared" si="49"/>
        <v>-155</v>
      </c>
    </row>
    <row r="631" spans="1:21" ht="16" x14ac:dyDescent="0.4">
      <c r="A631" s="2" t="s">
        <v>2339</v>
      </c>
      <c r="B631" s="3" t="s">
        <v>2258</v>
      </c>
      <c r="C631" s="28" t="s">
        <v>48</v>
      </c>
      <c r="D631" s="2" t="s">
        <v>2340</v>
      </c>
      <c r="E631" s="4" t="s">
        <v>1312</v>
      </c>
      <c r="F631" s="5">
        <v>57</v>
      </c>
      <c r="G631" s="5">
        <v>82</v>
      </c>
      <c r="H631" s="5">
        <v>59</v>
      </c>
      <c r="I631" s="10">
        <v>8</v>
      </c>
      <c r="J631" s="11">
        <f t="shared" si="48"/>
        <v>456</v>
      </c>
      <c r="K631" s="12" t="str">
        <f t="shared" si="45"/>
        <v>Low Stock_Reorder Needed</v>
      </c>
      <c r="L631" s="12">
        <f t="shared" si="46"/>
        <v>472</v>
      </c>
      <c r="M631" s="6">
        <v>45545</v>
      </c>
      <c r="N631" s="6">
        <v>45616</v>
      </c>
      <c r="O631" s="6">
        <v>45454</v>
      </c>
      <c r="P631" s="7" t="s">
        <v>2341</v>
      </c>
      <c r="Q631" s="5">
        <v>44</v>
      </c>
      <c r="R631" s="10">
        <f t="shared" si="47"/>
        <v>352</v>
      </c>
      <c r="S631" s="5">
        <v>57</v>
      </c>
      <c r="T631" s="5" t="s">
        <v>45</v>
      </c>
      <c r="U631" s="11">
        <f t="shared" si="49"/>
        <v>-104</v>
      </c>
    </row>
    <row r="632" spans="1:21" ht="16" x14ac:dyDescent="0.4">
      <c r="A632" s="2" t="s">
        <v>2342</v>
      </c>
      <c r="B632" s="3" t="s">
        <v>192</v>
      </c>
      <c r="C632" s="28" t="s">
        <v>30</v>
      </c>
      <c r="D632" s="2" t="s">
        <v>2343</v>
      </c>
      <c r="E632" s="4" t="s">
        <v>2344</v>
      </c>
      <c r="F632" s="5">
        <v>61</v>
      </c>
      <c r="G632" s="5">
        <v>22</v>
      </c>
      <c r="H632" s="5">
        <v>98</v>
      </c>
      <c r="I632" s="10">
        <v>30</v>
      </c>
      <c r="J632" s="11">
        <f t="shared" si="48"/>
        <v>1830</v>
      </c>
      <c r="K632" s="12" t="str">
        <f t="shared" si="45"/>
        <v>Stock_Sufficient</v>
      </c>
      <c r="L632" s="12">
        <f t="shared" si="46"/>
        <v>2940</v>
      </c>
      <c r="M632" s="6">
        <v>45358</v>
      </c>
      <c r="N632" s="6">
        <v>45567</v>
      </c>
      <c r="O632" s="6">
        <v>45605</v>
      </c>
      <c r="P632" s="7" t="s">
        <v>2345</v>
      </c>
      <c r="Q632" s="5">
        <v>90</v>
      </c>
      <c r="R632" s="10">
        <f t="shared" si="47"/>
        <v>2700</v>
      </c>
      <c r="S632" s="5">
        <v>11</v>
      </c>
      <c r="T632" s="5" t="s">
        <v>45</v>
      </c>
      <c r="U632" s="11">
        <f t="shared" si="49"/>
        <v>870</v>
      </c>
    </row>
    <row r="633" spans="1:21" ht="16" x14ac:dyDescent="0.4">
      <c r="A633" s="2" t="s">
        <v>2346</v>
      </c>
      <c r="B633" s="3" t="s">
        <v>220</v>
      </c>
      <c r="C633" s="28" t="s">
        <v>23</v>
      </c>
      <c r="D633" s="2" t="s">
        <v>2347</v>
      </c>
      <c r="E633" s="4" t="s">
        <v>798</v>
      </c>
      <c r="F633" s="5">
        <v>56</v>
      </c>
      <c r="G633" s="5">
        <v>28</v>
      </c>
      <c r="H633" s="5">
        <v>76</v>
      </c>
      <c r="I633" s="10">
        <v>3</v>
      </c>
      <c r="J633" s="11">
        <f t="shared" si="48"/>
        <v>168</v>
      </c>
      <c r="K633" s="12" t="str">
        <f t="shared" si="45"/>
        <v>Stock_Sufficient</v>
      </c>
      <c r="L633" s="12">
        <f t="shared" si="46"/>
        <v>228</v>
      </c>
      <c r="M633" s="6">
        <v>45590</v>
      </c>
      <c r="N633" s="6">
        <v>45692</v>
      </c>
      <c r="O633" s="6">
        <v>45537</v>
      </c>
      <c r="P633" s="7" t="s">
        <v>2348</v>
      </c>
      <c r="Q633" s="5">
        <v>93</v>
      </c>
      <c r="R633" s="10">
        <f t="shared" si="47"/>
        <v>279</v>
      </c>
      <c r="S633" s="5">
        <v>69</v>
      </c>
      <c r="T633" s="5" t="s">
        <v>45</v>
      </c>
      <c r="U633" s="11">
        <f t="shared" si="49"/>
        <v>111</v>
      </c>
    </row>
    <row r="634" spans="1:21" ht="16" x14ac:dyDescent="0.4">
      <c r="A634" s="2" t="s">
        <v>2349</v>
      </c>
      <c r="B634" s="3" t="s">
        <v>408</v>
      </c>
      <c r="C634" s="28" t="s">
        <v>65</v>
      </c>
      <c r="D634" s="2" t="s">
        <v>2350</v>
      </c>
      <c r="E634" s="4" t="s">
        <v>973</v>
      </c>
      <c r="F634" s="5">
        <v>21</v>
      </c>
      <c r="G634" s="5">
        <v>24</v>
      </c>
      <c r="H634" s="5">
        <v>2</v>
      </c>
      <c r="I634" s="10">
        <v>2.35</v>
      </c>
      <c r="J634" s="11">
        <f t="shared" si="48"/>
        <v>49.35</v>
      </c>
      <c r="K634" s="12" t="str">
        <f t="shared" si="45"/>
        <v>Low Stock_Reorder Needed</v>
      </c>
      <c r="L634" s="12">
        <f t="shared" si="46"/>
        <v>4.7</v>
      </c>
      <c r="M634" s="6">
        <v>45387</v>
      </c>
      <c r="N634" s="6">
        <v>45546</v>
      </c>
      <c r="O634" s="6">
        <v>45563</v>
      </c>
      <c r="P634" s="7" t="s">
        <v>2351</v>
      </c>
      <c r="Q634" s="5">
        <v>87</v>
      </c>
      <c r="R634" s="10">
        <f t="shared" si="47"/>
        <v>204.45000000000002</v>
      </c>
      <c r="S634" s="5">
        <v>36</v>
      </c>
      <c r="T634" s="5" t="s">
        <v>39</v>
      </c>
      <c r="U634" s="11">
        <f t="shared" si="49"/>
        <v>155.10000000000002</v>
      </c>
    </row>
    <row r="635" spans="1:21" ht="16" x14ac:dyDescent="0.4">
      <c r="A635" s="2" t="s">
        <v>2352</v>
      </c>
      <c r="B635" s="3" t="s">
        <v>1126</v>
      </c>
      <c r="C635" s="28" t="s">
        <v>48</v>
      </c>
      <c r="D635" s="2" t="s">
        <v>2353</v>
      </c>
      <c r="E635" s="4" t="s">
        <v>2354</v>
      </c>
      <c r="F635" s="5">
        <v>59</v>
      </c>
      <c r="G635" s="5">
        <v>29</v>
      </c>
      <c r="H635" s="5">
        <v>100</v>
      </c>
      <c r="I635" s="10">
        <v>5.5</v>
      </c>
      <c r="J635" s="11">
        <f t="shared" si="48"/>
        <v>324.5</v>
      </c>
      <c r="K635" s="12" t="str">
        <f t="shared" si="45"/>
        <v>Stock_Sufficient</v>
      </c>
      <c r="L635" s="12">
        <f t="shared" si="46"/>
        <v>550</v>
      </c>
      <c r="M635" s="6">
        <v>45386</v>
      </c>
      <c r="N635" s="6">
        <v>45625</v>
      </c>
      <c r="O635" s="6">
        <v>45658</v>
      </c>
      <c r="P635" s="7" t="s">
        <v>2355</v>
      </c>
      <c r="Q635" s="5">
        <v>74</v>
      </c>
      <c r="R635" s="10">
        <f t="shared" si="47"/>
        <v>407</v>
      </c>
      <c r="S635" s="5">
        <v>16</v>
      </c>
      <c r="T635" s="5" t="s">
        <v>27</v>
      </c>
      <c r="U635" s="11">
        <f t="shared" si="49"/>
        <v>82.5</v>
      </c>
    </row>
    <row r="636" spans="1:21" ht="16" x14ac:dyDescent="0.4">
      <c r="A636" s="2" t="s">
        <v>2356</v>
      </c>
      <c r="B636" s="3" t="s">
        <v>287</v>
      </c>
      <c r="C636" s="28" t="s">
        <v>30</v>
      </c>
      <c r="D636" s="2" t="s">
        <v>2357</v>
      </c>
      <c r="E636" s="4" t="s">
        <v>208</v>
      </c>
      <c r="F636" s="5">
        <v>20</v>
      </c>
      <c r="G636" s="5">
        <v>68</v>
      </c>
      <c r="H636" s="5">
        <v>20</v>
      </c>
      <c r="I636" s="10">
        <v>12</v>
      </c>
      <c r="J636" s="11">
        <f t="shared" si="48"/>
        <v>240</v>
      </c>
      <c r="K636" s="12" t="str">
        <f t="shared" si="45"/>
        <v>Low Stock_Reorder Needed</v>
      </c>
      <c r="L636" s="12">
        <f t="shared" si="46"/>
        <v>240</v>
      </c>
      <c r="M636" s="6">
        <v>45666</v>
      </c>
      <c r="N636" s="6">
        <v>45477</v>
      </c>
      <c r="O636" s="6">
        <v>45598</v>
      </c>
      <c r="P636" s="7" t="s">
        <v>2358</v>
      </c>
      <c r="Q636" s="5">
        <v>38</v>
      </c>
      <c r="R636" s="10">
        <f t="shared" si="47"/>
        <v>456</v>
      </c>
      <c r="S636" s="5">
        <v>51</v>
      </c>
      <c r="T636" s="5" t="s">
        <v>45</v>
      </c>
      <c r="U636" s="11">
        <f t="shared" si="49"/>
        <v>216</v>
      </c>
    </row>
    <row r="637" spans="1:21" ht="16" x14ac:dyDescent="0.4">
      <c r="A637" s="2" t="s">
        <v>2359</v>
      </c>
      <c r="B637" s="3" t="s">
        <v>89</v>
      </c>
      <c r="C637" s="28" t="s">
        <v>90</v>
      </c>
      <c r="D637" s="2" t="s">
        <v>2360</v>
      </c>
      <c r="E637" s="4" t="s">
        <v>890</v>
      </c>
      <c r="F637" s="5">
        <v>99</v>
      </c>
      <c r="G637" s="5">
        <v>6</v>
      </c>
      <c r="H637" s="5">
        <v>88</v>
      </c>
      <c r="I637" s="10">
        <v>3</v>
      </c>
      <c r="J637" s="11">
        <f t="shared" si="48"/>
        <v>297</v>
      </c>
      <c r="K637" s="12" t="str">
        <f t="shared" si="45"/>
        <v>Stock_Sufficient</v>
      </c>
      <c r="L637" s="12">
        <f t="shared" si="46"/>
        <v>264</v>
      </c>
      <c r="M637" s="6">
        <v>45427</v>
      </c>
      <c r="N637" s="6">
        <v>45489</v>
      </c>
      <c r="O637" s="6">
        <v>45640</v>
      </c>
      <c r="P637" s="7" t="s">
        <v>2361</v>
      </c>
      <c r="Q637" s="5">
        <v>49</v>
      </c>
      <c r="R637" s="10">
        <f t="shared" si="47"/>
        <v>147</v>
      </c>
      <c r="S637" s="5">
        <v>9</v>
      </c>
      <c r="T637" s="5" t="s">
        <v>45</v>
      </c>
      <c r="U637" s="11">
        <f t="shared" si="49"/>
        <v>-150</v>
      </c>
    </row>
    <row r="638" spans="1:21" ht="16" x14ac:dyDescent="0.4">
      <c r="A638" s="2" t="s">
        <v>2362</v>
      </c>
      <c r="B638" s="3" t="s">
        <v>673</v>
      </c>
      <c r="C638" s="28" t="s">
        <v>30</v>
      </c>
      <c r="D638" s="2" t="s">
        <v>2363</v>
      </c>
      <c r="E638" s="4" t="s">
        <v>448</v>
      </c>
      <c r="F638" s="5">
        <v>24</v>
      </c>
      <c r="G638" s="5">
        <v>27</v>
      </c>
      <c r="H638" s="5">
        <v>35</v>
      </c>
      <c r="I638" s="10">
        <v>8</v>
      </c>
      <c r="J638" s="11">
        <f t="shared" si="48"/>
        <v>192</v>
      </c>
      <c r="K638" s="12" t="str">
        <f t="shared" si="45"/>
        <v>Low Stock_Reorder Needed</v>
      </c>
      <c r="L638" s="12">
        <f t="shared" si="46"/>
        <v>280</v>
      </c>
      <c r="M638" s="6">
        <v>45579</v>
      </c>
      <c r="N638" s="6">
        <v>45688</v>
      </c>
      <c r="O638" s="6">
        <v>45616</v>
      </c>
      <c r="P638" s="7" t="s">
        <v>2364</v>
      </c>
      <c r="Q638" s="5">
        <v>49</v>
      </c>
      <c r="R638" s="10">
        <f t="shared" si="47"/>
        <v>392</v>
      </c>
      <c r="S638" s="5">
        <v>58</v>
      </c>
      <c r="T638" s="5" t="s">
        <v>45</v>
      </c>
      <c r="U638" s="11">
        <f t="shared" si="49"/>
        <v>200</v>
      </c>
    </row>
    <row r="639" spans="1:21" ht="16" x14ac:dyDescent="0.4">
      <c r="A639" s="2" t="s">
        <v>2365</v>
      </c>
      <c r="B639" s="3" t="s">
        <v>22</v>
      </c>
      <c r="C639" s="28" t="s">
        <v>23</v>
      </c>
      <c r="D639" s="2" t="s">
        <v>2366</v>
      </c>
      <c r="E639" s="4" t="s">
        <v>557</v>
      </c>
      <c r="F639" s="5">
        <v>78</v>
      </c>
      <c r="G639" s="5">
        <v>94</v>
      </c>
      <c r="H639" s="5">
        <v>7</v>
      </c>
      <c r="I639" s="10">
        <v>4.3499999999999996</v>
      </c>
      <c r="J639" s="11">
        <f t="shared" si="48"/>
        <v>339.29999999999995</v>
      </c>
      <c r="K639" s="12" t="str">
        <f t="shared" si="45"/>
        <v>Low Stock_Reorder Needed</v>
      </c>
      <c r="L639" s="12">
        <f t="shared" si="46"/>
        <v>30.449999999999996</v>
      </c>
      <c r="M639" s="6">
        <v>45541</v>
      </c>
      <c r="N639" s="6">
        <v>45599</v>
      </c>
      <c r="O639" s="6">
        <v>45434</v>
      </c>
      <c r="P639" s="7" t="s">
        <v>2367</v>
      </c>
      <c r="Q639" s="5">
        <v>69</v>
      </c>
      <c r="R639" s="10">
        <f t="shared" si="47"/>
        <v>300.14999999999998</v>
      </c>
      <c r="S639" s="5">
        <v>40</v>
      </c>
      <c r="T639" s="5" t="s">
        <v>39</v>
      </c>
      <c r="U639" s="11">
        <f t="shared" si="49"/>
        <v>-39.149999999999977</v>
      </c>
    </row>
    <row r="640" spans="1:21" ht="16" x14ac:dyDescent="0.4">
      <c r="A640" s="2" t="s">
        <v>2368</v>
      </c>
      <c r="B640" s="3" t="s">
        <v>75</v>
      </c>
      <c r="C640" s="28" t="s">
        <v>65</v>
      </c>
      <c r="D640" s="2" t="s">
        <v>2369</v>
      </c>
      <c r="E640" s="4" t="s">
        <v>81</v>
      </c>
      <c r="F640" s="5">
        <v>52</v>
      </c>
      <c r="G640" s="5">
        <v>31</v>
      </c>
      <c r="H640" s="5">
        <v>18</v>
      </c>
      <c r="I640" s="10">
        <v>1</v>
      </c>
      <c r="J640" s="11">
        <f t="shared" si="48"/>
        <v>52</v>
      </c>
      <c r="K640" s="12" t="str">
        <f t="shared" si="45"/>
        <v>Stock_Sufficient</v>
      </c>
      <c r="L640" s="12">
        <f t="shared" si="46"/>
        <v>18</v>
      </c>
      <c r="M640" s="6">
        <v>45410</v>
      </c>
      <c r="N640" s="6">
        <v>45617</v>
      </c>
      <c r="O640" s="6">
        <v>45690</v>
      </c>
      <c r="P640" s="7" t="s">
        <v>2370</v>
      </c>
      <c r="Q640" s="5">
        <v>77</v>
      </c>
      <c r="R640" s="10">
        <f t="shared" si="47"/>
        <v>77</v>
      </c>
      <c r="S640" s="5">
        <v>16</v>
      </c>
      <c r="T640" s="5" t="s">
        <v>39</v>
      </c>
      <c r="U640" s="11">
        <f t="shared" si="49"/>
        <v>25</v>
      </c>
    </row>
    <row r="641" spans="1:21" ht="16" x14ac:dyDescent="0.4">
      <c r="A641" s="2" t="s">
        <v>2371</v>
      </c>
      <c r="B641" s="3" t="s">
        <v>127</v>
      </c>
      <c r="C641" s="28" t="s">
        <v>48</v>
      </c>
      <c r="D641" s="2" t="s">
        <v>2372</v>
      </c>
      <c r="E641" s="4" t="s">
        <v>2373</v>
      </c>
      <c r="F641" s="5">
        <v>45</v>
      </c>
      <c r="G641" s="5">
        <v>70</v>
      </c>
      <c r="H641" s="5">
        <v>98</v>
      </c>
      <c r="I641" s="10">
        <v>2.4500000000000002</v>
      </c>
      <c r="J641" s="11">
        <f t="shared" si="48"/>
        <v>110.25000000000001</v>
      </c>
      <c r="K641" s="12" t="str">
        <f t="shared" si="45"/>
        <v>Low Stock_Reorder Needed</v>
      </c>
      <c r="L641" s="12">
        <f t="shared" si="46"/>
        <v>240.10000000000002</v>
      </c>
      <c r="M641" s="6">
        <v>45514</v>
      </c>
      <c r="N641" s="6">
        <v>45500</v>
      </c>
      <c r="O641" s="6">
        <v>45421</v>
      </c>
      <c r="P641" s="7" t="s">
        <v>2374</v>
      </c>
      <c r="Q641" s="5">
        <v>25</v>
      </c>
      <c r="R641" s="10">
        <f t="shared" si="47"/>
        <v>61.250000000000007</v>
      </c>
      <c r="S641" s="5">
        <v>39</v>
      </c>
      <c r="T641" s="5" t="s">
        <v>39</v>
      </c>
      <c r="U641" s="11">
        <f t="shared" si="49"/>
        <v>-49.000000000000007</v>
      </c>
    </row>
    <row r="642" spans="1:21" ht="16" x14ac:dyDescent="0.4">
      <c r="A642" s="2" t="s">
        <v>2375</v>
      </c>
      <c r="B642" s="3" t="s">
        <v>1185</v>
      </c>
      <c r="C642" s="28" t="s">
        <v>48</v>
      </c>
      <c r="D642" s="2" t="s">
        <v>2376</v>
      </c>
      <c r="E642" s="4" t="s">
        <v>2377</v>
      </c>
      <c r="F642" s="5">
        <v>89</v>
      </c>
      <c r="G642" s="5">
        <v>35</v>
      </c>
      <c r="H642" s="5">
        <v>19</v>
      </c>
      <c r="I642" s="10">
        <v>5</v>
      </c>
      <c r="J642" s="11">
        <f t="shared" si="48"/>
        <v>445</v>
      </c>
      <c r="K642" s="12" t="str">
        <f t="shared" ref="K642:K705" si="50">IF(F642&lt;=G642,"Low Stock_Reorder Needed","Stock_Sufficient")</f>
        <v>Stock_Sufficient</v>
      </c>
      <c r="L642" s="12">
        <f t="shared" ref="L642:L705" si="51">H642*I642</f>
        <v>95</v>
      </c>
      <c r="M642" s="6">
        <v>45688</v>
      </c>
      <c r="N642" s="6">
        <v>45573</v>
      </c>
      <c r="O642" s="6">
        <v>45419</v>
      </c>
      <c r="P642" s="7" t="s">
        <v>2378</v>
      </c>
      <c r="Q642" s="5">
        <v>49</v>
      </c>
      <c r="R642" s="10">
        <f t="shared" ref="R642:R705" si="52">Q642*I642</f>
        <v>245</v>
      </c>
      <c r="S642" s="5">
        <v>55</v>
      </c>
      <c r="T642" s="5" t="s">
        <v>27</v>
      </c>
      <c r="U642" s="11">
        <f t="shared" si="49"/>
        <v>-200</v>
      </c>
    </row>
    <row r="643" spans="1:21" ht="16" x14ac:dyDescent="0.4">
      <c r="A643" s="2" t="s">
        <v>2379</v>
      </c>
      <c r="B643" s="3" t="s">
        <v>257</v>
      </c>
      <c r="C643" s="28" t="s">
        <v>48</v>
      </c>
      <c r="D643" s="2" t="s">
        <v>2380</v>
      </c>
      <c r="E643" s="4" t="s">
        <v>92</v>
      </c>
      <c r="F643" s="5">
        <v>63</v>
      </c>
      <c r="G643" s="5">
        <v>57</v>
      </c>
      <c r="H643" s="5">
        <v>11</v>
      </c>
      <c r="I643" s="10">
        <v>5.8</v>
      </c>
      <c r="J643" s="11">
        <f t="shared" ref="J643:J706" si="53">I643*F643</f>
        <v>365.4</v>
      </c>
      <c r="K643" s="12" t="str">
        <f t="shared" si="50"/>
        <v>Stock_Sufficient</v>
      </c>
      <c r="L643" s="12">
        <f t="shared" si="51"/>
        <v>63.8</v>
      </c>
      <c r="M643" s="6">
        <v>45668</v>
      </c>
      <c r="N643" s="6">
        <v>45649</v>
      </c>
      <c r="O643" s="6">
        <v>45422</v>
      </c>
      <c r="P643" s="7" t="s">
        <v>2381</v>
      </c>
      <c r="Q643" s="5">
        <v>20</v>
      </c>
      <c r="R643" s="10">
        <f t="shared" si="52"/>
        <v>116</v>
      </c>
      <c r="S643" s="5">
        <v>100</v>
      </c>
      <c r="T643" s="5" t="s">
        <v>27</v>
      </c>
      <c r="U643" s="11">
        <f t="shared" ref="U643:U706" si="54">R643-J643</f>
        <v>-249.39999999999998</v>
      </c>
    </row>
    <row r="644" spans="1:21" ht="16" x14ac:dyDescent="0.4">
      <c r="A644" s="2" t="s">
        <v>2382</v>
      </c>
      <c r="B644" s="3" t="s">
        <v>35</v>
      </c>
      <c r="C644" s="28" t="s">
        <v>23</v>
      </c>
      <c r="D644" s="2" t="s">
        <v>2383</v>
      </c>
      <c r="E644" s="4" t="s">
        <v>1660</v>
      </c>
      <c r="F644" s="5">
        <v>49</v>
      </c>
      <c r="G644" s="5">
        <v>3</v>
      </c>
      <c r="H644" s="5">
        <v>7</v>
      </c>
      <c r="I644" s="10">
        <v>6.25</v>
      </c>
      <c r="J644" s="11">
        <f t="shared" si="53"/>
        <v>306.25</v>
      </c>
      <c r="K644" s="12" t="str">
        <f t="shared" si="50"/>
        <v>Stock_Sufficient</v>
      </c>
      <c r="L644" s="12">
        <f t="shared" si="51"/>
        <v>43.75</v>
      </c>
      <c r="M644" s="6">
        <v>45554</v>
      </c>
      <c r="N644" s="6">
        <v>45596</v>
      </c>
      <c r="O644" s="6">
        <v>45364</v>
      </c>
      <c r="P644" s="7" t="s">
        <v>2384</v>
      </c>
      <c r="Q644" s="5">
        <v>75</v>
      </c>
      <c r="R644" s="10">
        <f t="shared" si="52"/>
        <v>468.75</v>
      </c>
      <c r="S644" s="5">
        <v>46</v>
      </c>
      <c r="T644" s="5" t="s">
        <v>39</v>
      </c>
      <c r="U644" s="11">
        <f t="shared" si="54"/>
        <v>162.5</v>
      </c>
    </row>
    <row r="645" spans="1:21" ht="16" x14ac:dyDescent="0.4">
      <c r="A645" s="2" t="s">
        <v>2385</v>
      </c>
      <c r="B645" s="3" t="s">
        <v>673</v>
      </c>
      <c r="C645" s="28" t="s">
        <v>30</v>
      </c>
      <c r="D645" s="2" t="s">
        <v>2386</v>
      </c>
      <c r="E645" s="4" t="s">
        <v>486</v>
      </c>
      <c r="F645" s="5">
        <v>26</v>
      </c>
      <c r="G645" s="5">
        <v>59</v>
      </c>
      <c r="H645" s="5">
        <v>54</v>
      </c>
      <c r="I645" s="10">
        <v>8</v>
      </c>
      <c r="J645" s="11">
        <f t="shared" si="53"/>
        <v>208</v>
      </c>
      <c r="K645" s="12" t="str">
        <f t="shared" si="50"/>
        <v>Low Stock_Reorder Needed</v>
      </c>
      <c r="L645" s="12">
        <f t="shared" si="51"/>
        <v>432</v>
      </c>
      <c r="M645" s="6">
        <v>45514</v>
      </c>
      <c r="N645" s="6">
        <v>45620</v>
      </c>
      <c r="O645" s="6">
        <v>45370</v>
      </c>
      <c r="P645" s="7" t="s">
        <v>2387</v>
      </c>
      <c r="Q645" s="5">
        <v>92</v>
      </c>
      <c r="R645" s="10">
        <f t="shared" si="52"/>
        <v>736</v>
      </c>
      <c r="S645" s="5">
        <v>49</v>
      </c>
      <c r="T645" s="5" t="s">
        <v>45</v>
      </c>
      <c r="U645" s="11">
        <f t="shared" si="54"/>
        <v>528</v>
      </c>
    </row>
    <row r="646" spans="1:21" ht="16" x14ac:dyDescent="0.4">
      <c r="A646" s="2" t="s">
        <v>2388</v>
      </c>
      <c r="B646" s="3" t="s">
        <v>158</v>
      </c>
      <c r="C646" s="28" t="s">
        <v>65</v>
      </c>
      <c r="D646" s="2" t="s">
        <v>2389</v>
      </c>
      <c r="E646" s="4" t="s">
        <v>2390</v>
      </c>
      <c r="F646" s="5">
        <v>93</v>
      </c>
      <c r="G646" s="5">
        <v>68</v>
      </c>
      <c r="H646" s="5">
        <v>71</v>
      </c>
      <c r="I646" s="10">
        <v>0.8</v>
      </c>
      <c r="J646" s="11">
        <f t="shared" si="53"/>
        <v>74.400000000000006</v>
      </c>
      <c r="K646" s="12" t="str">
        <f t="shared" si="50"/>
        <v>Stock_Sufficient</v>
      </c>
      <c r="L646" s="12">
        <f t="shared" si="51"/>
        <v>56.800000000000004</v>
      </c>
      <c r="M646" s="6">
        <v>45697</v>
      </c>
      <c r="N646" s="6">
        <v>45362</v>
      </c>
      <c r="O646" s="6">
        <v>45552</v>
      </c>
      <c r="P646" s="7" t="s">
        <v>2391</v>
      </c>
      <c r="Q646" s="5">
        <v>30</v>
      </c>
      <c r="R646" s="10">
        <f t="shared" si="52"/>
        <v>24</v>
      </c>
      <c r="S646" s="5">
        <v>37</v>
      </c>
      <c r="T646" s="5" t="s">
        <v>27</v>
      </c>
      <c r="U646" s="11">
        <f t="shared" si="54"/>
        <v>-50.400000000000006</v>
      </c>
    </row>
    <row r="647" spans="1:21" ht="16" x14ac:dyDescent="0.4">
      <c r="A647" s="2" t="s">
        <v>2392</v>
      </c>
      <c r="B647" s="3" t="s">
        <v>1206</v>
      </c>
      <c r="C647" s="28" t="s">
        <v>48</v>
      </c>
      <c r="D647" s="2" t="s">
        <v>2393</v>
      </c>
      <c r="E647" s="4" t="s">
        <v>43</v>
      </c>
      <c r="F647" s="5">
        <v>81</v>
      </c>
      <c r="G647" s="5">
        <v>16</v>
      </c>
      <c r="H647" s="5">
        <v>69</v>
      </c>
      <c r="I647" s="10">
        <v>4.3</v>
      </c>
      <c r="J647" s="11">
        <f t="shared" si="53"/>
        <v>348.3</v>
      </c>
      <c r="K647" s="12" t="str">
        <f t="shared" si="50"/>
        <v>Stock_Sufficient</v>
      </c>
      <c r="L647" s="12">
        <f t="shared" si="51"/>
        <v>296.7</v>
      </c>
      <c r="M647" s="6">
        <v>45663</v>
      </c>
      <c r="N647" s="6">
        <v>45508</v>
      </c>
      <c r="O647" s="6">
        <v>45498</v>
      </c>
      <c r="P647" s="7" t="s">
        <v>2394</v>
      </c>
      <c r="Q647" s="5">
        <v>23</v>
      </c>
      <c r="R647" s="10">
        <f t="shared" si="52"/>
        <v>98.899999999999991</v>
      </c>
      <c r="S647" s="5">
        <v>96</v>
      </c>
      <c r="T647" s="5" t="s">
        <v>39</v>
      </c>
      <c r="U647" s="11">
        <f t="shared" si="54"/>
        <v>-249.40000000000003</v>
      </c>
    </row>
    <row r="648" spans="1:21" ht="16" x14ac:dyDescent="0.4">
      <c r="A648" s="2" t="s">
        <v>2395</v>
      </c>
      <c r="B648" s="3" t="s">
        <v>364</v>
      </c>
      <c r="C648" s="28" t="s">
        <v>65</v>
      </c>
      <c r="D648" s="2" t="s">
        <v>2396</v>
      </c>
      <c r="E648" s="4" t="s">
        <v>1262</v>
      </c>
      <c r="F648" s="5">
        <v>74</v>
      </c>
      <c r="G648" s="5">
        <v>60</v>
      </c>
      <c r="H648" s="5">
        <v>27</v>
      </c>
      <c r="I648" s="10">
        <v>4</v>
      </c>
      <c r="J648" s="11">
        <f t="shared" si="53"/>
        <v>296</v>
      </c>
      <c r="K648" s="12" t="str">
        <f t="shared" si="50"/>
        <v>Stock_Sufficient</v>
      </c>
      <c r="L648" s="12">
        <f t="shared" si="51"/>
        <v>108</v>
      </c>
      <c r="M648" s="6">
        <v>45460</v>
      </c>
      <c r="N648" s="6">
        <v>45434</v>
      </c>
      <c r="O648" s="6">
        <v>45613</v>
      </c>
      <c r="P648" s="7" t="s">
        <v>2397</v>
      </c>
      <c r="Q648" s="5">
        <v>99</v>
      </c>
      <c r="R648" s="10">
        <f t="shared" si="52"/>
        <v>396</v>
      </c>
      <c r="S648" s="5">
        <v>68</v>
      </c>
      <c r="T648" s="5" t="s">
        <v>39</v>
      </c>
      <c r="U648" s="11">
        <f t="shared" si="54"/>
        <v>100</v>
      </c>
    </row>
    <row r="649" spans="1:21" ht="16" x14ac:dyDescent="0.4">
      <c r="A649" s="2" t="s">
        <v>2398</v>
      </c>
      <c r="B649" s="3" t="s">
        <v>317</v>
      </c>
      <c r="C649" s="28" t="s">
        <v>30</v>
      </c>
      <c r="D649" s="2" t="s">
        <v>2399</v>
      </c>
      <c r="E649" s="4" t="s">
        <v>129</v>
      </c>
      <c r="F649" s="5">
        <v>19</v>
      </c>
      <c r="G649" s="5">
        <v>78</v>
      </c>
      <c r="H649" s="5">
        <v>90</v>
      </c>
      <c r="I649" s="10">
        <v>5</v>
      </c>
      <c r="J649" s="11">
        <f t="shared" si="53"/>
        <v>95</v>
      </c>
      <c r="K649" s="12" t="str">
        <f t="shared" si="50"/>
        <v>Low Stock_Reorder Needed</v>
      </c>
      <c r="L649" s="12">
        <f t="shared" si="51"/>
        <v>450</v>
      </c>
      <c r="M649" s="6">
        <v>45650</v>
      </c>
      <c r="N649" s="6">
        <v>45397</v>
      </c>
      <c r="O649" s="6">
        <v>45502</v>
      </c>
      <c r="P649" s="7" t="s">
        <v>2400</v>
      </c>
      <c r="Q649" s="5">
        <v>72</v>
      </c>
      <c r="R649" s="10">
        <f t="shared" si="52"/>
        <v>360</v>
      </c>
      <c r="S649" s="5">
        <v>84</v>
      </c>
      <c r="T649" s="5" t="s">
        <v>27</v>
      </c>
      <c r="U649" s="11">
        <f t="shared" si="54"/>
        <v>265</v>
      </c>
    </row>
    <row r="650" spans="1:21" ht="16" x14ac:dyDescent="0.4">
      <c r="A650" s="2" t="s">
        <v>2401</v>
      </c>
      <c r="B650" s="3" t="s">
        <v>220</v>
      </c>
      <c r="C650" s="28" t="s">
        <v>23</v>
      </c>
      <c r="D650" s="2" t="s">
        <v>2402</v>
      </c>
      <c r="E650" s="4" t="s">
        <v>908</v>
      </c>
      <c r="F650" s="5">
        <v>64</v>
      </c>
      <c r="G650" s="5">
        <v>97</v>
      </c>
      <c r="H650" s="5">
        <v>91</v>
      </c>
      <c r="I650" s="10">
        <v>3</v>
      </c>
      <c r="J650" s="11">
        <f t="shared" si="53"/>
        <v>192</v>
      </c>
      <c r="K650" s="12" t="str">
        <f t="shared" si="50"/>
        <v>Low Stock_Reorder Needed</v>
      </c>
      <c r="L650" s="12">
        <f t="shared" si="51"/>
        <v>273</v>
      </c>
      <c r="M650" s="6">
        <v>45621</v>
      </c>
      <c r="N650" s="6">
        <v>45524</v>
      </c>
      <c r="O650" s="6">
        <v>45506</v>
      </c>
      <c r="P650" s="7" t="s">
        <v>2403</v>
      </c>
      <c r="Q650" s="5">
        <v>48</v>
      </c>
      <c r="R650" s="10">
        <f t="shared" si="52"/>
        <v>144</v>
      </c>
      <c r="S650" s="5">
        <v>100</v>
      </c>
      <c r="T650" s="5" t="s">
        <v>45</v>
      </c>
      <c r="U650" s="11">
        <f t="shared" si="54"/>
        <v>-48</v>
      </c>
    </row>
    <row r="651" spans="1:21" ht="16" x14ac:dyDescent="0.4">
      <c r="A651" s="2" t="s">
        <v>2404</v>
      </c>
      <c r="B651" s="3" t="s">
        <v>369</v>
      </c>
      <c r="C651" s="28" t="s">
        <v>48</v>
      </c>
      <c r="D651" s="2" t="s">
        <v>2405</v>
      </c>
      <c r="E651" s="4" t="s">
        <v>1109</v>
      </c>
      <c r="F651" s="5">
        <v>49</v>
      </c>
      <c r="G651" s="5">
        <v>93</v>
      </c>
      <c r="H651" s="5">
        <v>15</v>
      </c>
      <c r="I651" s="10">
        <v>4.5</v>
      </c>
      <c r="J651" s="11">
        <f t="shared" si="53"/>
        <v>220.5</v>
      </c>
      <c r="K651" s="12" t="str">
        <f t="shared" si="50"/>
        <v>Low Stock_Reorder Needed</v>
      </c>
      <c r="L651" s="12">
        <f t="shared" si="51"/>
        <v>67.5</v>
      </c>
      <c r="M651" s="6">
        <v>45409</v>
      </c>
      <c r="N651" s="6">
        <v>45413</v>
      </c>
      <c r="O651" s="6">
        <v>45409</v>
      </c>
      <c r="P651" s="7" t="s">
        <v>2406</v>
      </c>
      <c r="Q651" s="5">
        <v>52</v>
      </c>
      <c r="R651" s="10">
        <f t="shared" si="52"/>
        <v>234</v>
      </c>
      <c r="S651" s="5">
        <v>31</v>
      </c>
      <c r="T651" s="5" t="s">
        <v>39</v>
      </c>
      <c r="U651" s="11">
        <f t="shared" si="54"/>
        <v>13.5</v>
      </c>
    </row>
    <row r="652" spans="1:21" ht="16" x14ac:dyDescent="0.4">
      <c r="A652" s="2" t="s">
        <v>2407</v>
      </c>
      <c r="B652" s="3" t="s">
        <v>148</v>
      </c>
      <c r="C652" s="28" t="s">
        <v>65</v>
      </c>
      <c r="D652" s="2" t="s">
        <v>2408</v>
      </c>
      <c r="E652" s="4" t="s">
        <v>1867</v>
      </c>
      <c r="F652" s="5">
        <v>99</v>
      </c>
      <c r="G652" s="5">
        <v>10</v>
      </c>
      <c r="H652" s="5">
        <v>88</v>
      </c>
      <c r="I652" s="10">
        <v>12</v>
      </c>
      <c r="J652" s="11">
        <f t="shared" si="53"/>
        <v>1188</v>
      </c>
      <c r="K652" s="12" t="str">
        <f t="shared" si="50"/>
        <v>Stock_Sufficient</v>
      </c>
      <c r="L652" s="12">
        <f t="shared" si="51"/>
        <v>1056</v>
      </c>
      <c r="M652" s="6">
        <v>45487</v>
      </c>
      <c r="N652" s="6">
        <v>45631</v>
      </c>
      <c r="O652" s="6">
        <v>45677</v>
      </c>
      <c r="P652" s="7" t="s">
        <v>2409</v>
      </c>
      <c r="Q652" s="5">
        <v>69</v>
      </c>
      <c r="R652" s="10">
        <f t="shared" si="52"/>
        <v>828</v>
      </c>
      <c r="S652" s="5">
        <v>98</v>
      </c>
      <c r="T652" s="5" t="s">
        <v>45</v>
      </c>
      <c r="U652" s="11">
        <f t="shared" si="54"/>
        <v>-360</v>
      </c>
    </row>
    <row r="653" spans="1:21" ht="16" x14ac:dyDescent="0.4">
      <c r="A653" s="2" t="s">
        <v>2410</v>
      </c>
      <c r="B653" s="3" t="s">
        <v>630</v>
      </c>
      <c r="C653" s="28" t="s">
        <v>65</v>
      </c>
      <c r="D653" s="2" t="s">
        <v>2411</v>
      </c>
      <c r="E653" s="4" t="s">
        <v>831</v>
      </c>
      <c r="F653" s="5">
        <v>60</v>
      </c>
      <c r="G653" s="5">
        <v>1</v>
      </c>
      <c r="H653" s="5">
        <v>42</v>
      </c>
      <c r="I653" s="10">
        <v>2.4500000000000002</v>
      </c>
      <c r="J653" s="11">
        <f t="shared" si="53"/>
        <v>147</v>
      </c>
      <c r="K653" s="12" t="str">
        <f t="shared" si="50"/>
        <v>Stock_Sufficient</v>
      </c>
      <c r="L653" s="12">
        <f t="shared" si="51"/>
        <v>102.9</v>
      </c>
      <c r="M653" s="6">
        <v>45612</v>
      </c>
      <c r="N653" s="6">
        <v>45531</v>
      </c>
      <c r="O653" s="6">
        <v>45580</v>
      </c>
      <c r="P653" s="7" t="s">
        <v>2412</v>
      </c>
      <c r="Q653" s="5">
        <v>42</v>
      </c>
      <c r="R653" s="10">
        <f t="shared" si="52"/>
        <v>102.9</v>
      </c>
      <c r="S653" s="5">
        <v>91</v>
      </c>
      <c r="T653" s="5" t="s">
        <v>45</v>
      </c>
      <c r="U653" s="11">
        <f t="shared" si="54"/>
        <v>-44.099999999999994</v>
      </c>
    </row>
    <row r="654" spans="1:21" ht="16" x14ac:dyDescent="0.4">
      <c r="A654" s="2" t="s">
        <v>2413</v>
      </c>
      <c r="B654" s="3" t="s">
        <v>143</v>
      </c>
      <c r="C654" s="28" t="s">
        <v>48</v>
      </c>
      <c r="D654" s="2" t="s">
        <v>2414</v>
      </c>
      <c r="E654" s="4" t="s">
        <v>482</v>
      </c>
      <c r="F654" s="5">
        <v>90</v>
      </c>
      <c r="G654" s="5">
        <v>1</v>
      </c>
      <c r="H654" s="5">
        <v>40</v>
      </c>
      <c r="I654" s="10">
        <v>0.9</v>
      </c>
      <c r="J654" s="11">
        <f t="shared" si="53"/>
        <v>81</v>
      </c>
      <c r="K654" s="12" t="str">
        <f t="shared" si="50"/>
        <v>Stock_Sufficient</v>
      </c>
      <c r="L654" s="12">
        <f t="shared" si="51"/>
        <v>36</v>
      </c>
      <c r="M654" s="6">
        <v>45585</v>
      </c>
      <c r="N654" s="6">
        <v>45668</v>
      </c>
      <c r="O654" s="6">
        <v>45704</v>
      </c>
      <c r="P654" s="7" t="s">
        <v>2415</v>
      </c>
      <c r="Q654" s="5">
        <v>52</v>
      </c>
      <c r="R654" s="10">
        <f t="shared" si="52"/>
        <v>46.800000000000004</v>
      </c>
      <c r="S654" s="5">
        <v>19</v>
      </c>
      <c r="T654" s="5" t="s">
        <v>27</v>
      </c>
      <c r="U654" s="11">
        <f t="shared" si="54"/>
        <v>-34.199999999999996</v>
      </c>
    </row>
    <row r="655" spans="1:21" ht="16" x14ac:dyDescent="0.4">
      <c r="A655" s="2" t="s">
        <v>2416</v>
      </c>
      <c r="B655" s="3" t="s">
        <v>197</v>
      </c>
      <c r="C655" s="28" t="s">
        <v>133</v>
      </c>
      <c r="D655" s="2" t="s">
        <v>2417</v>
      </c>
      <c r="E655" s="4" t="s">
        <v>222</v>
      </c>
      <c r="F655" s="5">
        <v>79</v>
      </c>
      <c r="G655" s="5">
        <v>53</v>
      </c>
      <c r="H655" s="5">
        <v>12</v>
      </c>
      <c r="I655" s="10">
        <v>9</v>
      </c>
      <c r="J655" s="11">
        <f t="shared" si="53"/>
        <v>711</v>
      </c>
      <c r="K655" s="12" t="str">
        <f t="shared" si="50"/>
        <v>Stock_Sufficient</v>
      </c>
      <c r="L655" s="12">
        <f t="shared" si="51"/>
        <v>108</v>
      </c>
      <c r="M655" s="6">
        <v>45522</v>
      </c>
      <c r="N655" s="6">
        <v>45441</v>
      </c>
      <c r="O655" s="6">
        <v>45667</v>
      </c>
      <c r="P655" s="7" t="s">
        <v>2418</v>
      </c>
      <c r="Q655" s="5">
        <v>45</v>
      </c>
      <c r="R655" s="10">
        <f t="shared" si="52"/>
        <v>405</v>
      </c>
      <c r="S655" s="5">
        <v>95</v>
      </c>
      <c r="T655" s="5" t="s">
        <v>27</v>
      </c>
      <c r="U655" s="11">
        <f t="shared" si="54"/>
        <v>-306</v>
      </c>
    </row>
    <row r="656" spans="1:21" ht="16" x14ac:dyDescent="0.4">
      <c r="A656" s="2" t="s">
        <v>2419</v>
      </c>
      <c r="B656" s="3" t="s">
        <v>2289</v>
      </c>
      <c r="C656" s="28" t="s">
        <v>65</v>
      </c>
      <c r="D656" s="2" t="s">
        <v>2420</v>
      </c>
      <c r="E656" s="4" t="s">
        <v>731</v>
      </c>
      <c r="F656" s="5">
        <v>22</v>
      </c>
      <c r="G656" s="5">
        <v>58</v>
      </c>
      <c r="H656" s="5">
        <v>2</v>
      </c>
      <c r="I656" s="10">
        <v>0.2</v>
      </c>
      <c r="J656" s="11">
        <f t="shared" si="53"/>
        <v>4.4000000000000004</v>
      </c>
      <c r="K656" s="12" t="str">
        <f t="shared" si="50"/>
        <v>Low Stock_Reorder Needed</v>
      </c>
      <c r="L656" s="12">
        <f t="shared" si="51"/>
        <v>0.4</v>
      </c>
      <c r="M656" s="6">
        <v>45695</v>
      </c>
      <c r="N656" s="6">
        <v>45471</v>
      </c>
      <c r="O656" s="6">
        <v>45610</v>
      </c>
      <c r="P656" s="7" t="s">
        <v>2421</v>
      </c>
      <c r="Q656" s="5">
        <v>33</v>
      </c>
      <c r="R656" s="10">
        <f t="shared" si="52"/>
        <v>6.6000000000000005</v>
      </c>
      <c r="S656" s="5">
        <v>68</v>
      </c>
      <c r="T656" s="5" t="s">
        <v>45</v>
      </c>
      <c r="U656" s="11">
        <f t="shared" si="54"/>
        <v>2.2000000000000002</v>
      </c>
    </row>
    <row r="657" spans="1:21" ht="16" x14ac:dyDescent="0.4">
      <c r="A657" s="2" t="s">
        <v>2422</v>
      </c>
      <c r="B657" s="3" t="s">
        <v>1146</v>
      </c>
      <c r="C657" s="28" t="s">
        <v>23</v>
      </c>
      <c r="D657" s="2" t="s">
        <v>2423</v>
      </c>
      <c r="E657" s="4" t="s">
        <v>1116</v>
      </c>
      <c r="F657" s="5">
        <v>51</v>
      </c>
      <c r="G657" s="5">
        <v>47</v>
      </c>
      <c r="H657" s="5">
        <v>6</v>
      </c>
      <c r="I657" s="10">
        <v>2.5</v>
      </c>
      <c r="J657" s="11">
        <f t="shared" si="53"/>
        <v>127.5</v>
      </c>
      <c r="K657" s="12" t="str">
        <f t="shared" si="50"/>
        <v>Stock_Sufficient</v>
      </c>
      <c r="L657" s="12">
        <f t="shared" si="51"/>
        <v>15</v>
      </c>
      <c r="M657" s="6">
        <v>45619</v>
      </c>
      <c r="N657" s="6">
        <v>45515</v>
      </c>
      <c r="O657" s="6">
        <v>45461</v>
      </c>
      <c r="P657" s="7" t="s">
        <v>2424</v>
      </c>
      <c r="Q657" s="5">
        <v>53</v>
      </c>
      <c r="R657" s="10">
        <f t="shared" si="52"/>
        <v>132.5</v>
      </c>
      <c r="S657" s="5">
        <v>4</v>
      </c>
      <c r="T657" s="5" t="s">
        <v>39</v>
      </c>
      <c r="U657" s="11">
        <f t="shared" si="54"/>
        <v>5</v>
      </c>
    </row>
    <row r="658" spans="1:21" ht="16" x14ac:dyDescent="0.4">
      <c r="A658" s="2" t="s">
        <v>2425</v>
      </c>
      <c r="B658" s="3" t="s">
        <v>29</v>
      </c>
      <c r="C658" s="28" t="s">
        <v>30</v>
      </c>
      <c r="D658" s="2" t="s">
        <v>2426</v>
      </c>
      <c r="E658" s="4" t="s">
        <v>717</v>
      </c>
      <c r="F658" s="5">
        <v>65</v>
      </c>
      <c r="G658" s="5">
        <v>63</v>
      </c>
      <c r="H658" s="5">
        <v>41</v>
      </c>
      <c r="I658" s="10">
        <v>20</v>
      </c>
      <c r="J658" s="11">
        <f t="shared" si="53"/>
        <v>1300</v>
      </c>
      <c r="K658" s="12" t="str">
        <f t="shared" si="50"/>
        <v>Stock_Sufficient</v>
      </c>
      <c r="L658" s="12">
        <f t="shared" si="51"/>
        <v>820</v>
      </c>
      <c r="M658" s="6">
        <v>45384</v>
      </c>
      <c r="N658" s="6">
        <v>45664</v>
      </c>
      <c r="O658" s="6">
        <v>45380</v>
      </c>
      <c r="P658" s="7" t="s">
        <v>2427</v>
      </c>
      <c r="Q658" s="5">
        <v>28</v>
      </c>
      <c r="R658" s="10">
        <f t="shared" si="52"/>
        <v>560</v>
      </c>
      <c r="S658" s="5">
        <v>26</v>
      </c>
      <c r="T658" s="5" t="s">
        <v>39</v>
      </c>
      <c r="U658" s="11">
        <f t="shared" si="54"/>
        <v>-740</v>
      </c>
    </row>
    <row r="659" spans="1:21" ht="16" x14ac:dyDescent="0.4">
      <c r="A659" s="2" t="s">
        <v>2428</v>
      </c>
      <c r="B659" s="3" t="s">
        <v>497</v>
      </c>
      <c r="C659" s="28" t="s">
        <v>65</v>
      </c>
      <c r="D659" s="2" t="s">
        <v>2429</v>
      </c>
      <c r="E659" s="4" t="s">
        <v>1161</v>
      </c>
      <c r="F659" s="5">
        <v>55</v>
      </c>
      <c r="G659" s="5">
        <v>25</v>
      </c>
      <c r="H659" s="5">
        <v>87</v>
      </c>
      <c r="I659" s="10">
        <v>4</v>
      </c>
      <c r="J659" s="11">
        <f t="shared" si="53"/>
        <v>220</v>
      </c>
      <c r="K659" s="12" t="str">
        <f t="shared" si="50"/>
        <v>Stock_Sufficient</v>
      </c>
      <c r="L659" s="12">
        <f t="shared" si="51"/>
        <v>348</v>
      </c>
      <c r="M659" s="6">
        <v>45425</v>
      </c>
      <c r="N659" s="6">
        <v>45353</v>
      </c>
      <c r="O659" s="6">
        <v>45686</v>
      </c>
      <c r="P659" s="7" t="s">
        <v>2430</v>
      </c>
      <c r="Q659" s="5">
        <v>69</v>
      </c>
      <c r="R659" s="10">
        <f t="shared" si="52"/>
        <v>276</v>
      </c>
      <c r="S659" s="5">
        <v>48</v>
      </c>
      <c r="T659" s="5" t="s">
        <v>39</v>
      </c>
      <c r="U659" s="11">
        <f t="shared" si="54"/>
        <v>56</v>
      </c>
    </row>
    <row r="660" spans="1:21" ht="16" x14ac:dyDescent="0.4">
      <c r="A660" s="2" t="s">
        <v>2431</v>
      </c>
      <c r="B660" s="3" t="s">
        <v>590</v>
      </c>
      <c r="C660" s="28" t="s">
        <v>23</v>
      </c>
      <c r="D660" s="2" t="s">
        <v>2432</v>
      </c>
      <c r="E660" s="4" t="s">
        <v>1025</v>
      </c>
      <c r="F660" s="5">
        <v>18</v>
      </c>
      <c r="G660" s="5">
        <v>86</v>
      </c>
      <c r="H660" s="5">
        <v>20</v>
      </c>
      <c r="I660" s="10">
        <v>1.8</v>
      </c>
      <c r="J660" s="11">
        <f t="shared" si="53"/>
        <v>32.4</v>
      </c>
      <c r="K660" s="12" t="str">
        <f t="shared" si="50"/>
        <v>Low Stock_Reorder Needed</v>
      </c>
      <c r="L660" s="12">
        <f t="shared" si="51"/>
        <v>36</v>
      </c>
      <c r="M660" s="6">
        <v>45652</v>
      </c>
      <c r="N660" s="6">
        <v>45630</v>
      </c>
      <c r="O660" s="6">
        <v>45625</v>
      </c>
      <c r="P660" s="7" t="s">
        <v>2433</v>
      </c>
      <c r="Q660" s="5">
        <v>64</v>
      </c>
      <c r="R660" s="10">
        <f t="shared" si="52"/>
        <v>115.2</v>
      </c>
      <c r="S660" s="5">
        <v>34</v>
      </c>
      <c r="T660" s="5" t="s">
        <v>27</v>
      </c>
      <c r="U660" s="11">
        <f t="shared" si="54"/>
        <v>82.800000000000011</v>
      </c>
    </row>
    <row r="661" spans="1:21" ht="16" x14ac:dyDescent="0.4">
      <c r="A661" s="2" t="s">
        <v>2434</v>
      </c>
      <c r="B661" s="3" t="s">
        <v>148</v>
      </c>
      <c r="C661" s="28" t="s">
        <v>65</v>
      </c>
      <c r="D661" s="2" t="s">
        <v>2435</v>
      </c>
      <c r="E661" s="4" t="s">
        <v>694</v>
      </c>
      <c r="F661" s="5">
        <v>37</v>
      </c>
      <c r="G661" s="5">
        <v>3</v>
      </c>
      <c r="H661" s="5">
        <v>45</v>
      </c>
      <c r="I661" s="10">
        <v>12</v>
      </c>
      <c r="J661" s="11">
        <f t="shared" si="53"/>
        <v>444</v>
      </c>
      <c r="K661" s="12" t="str">
        <f t="shared" si="50"/>
        <v>Stock_Sufficient</v>
      </c>
      <c r="L661" s="12">
        <f t="shared" si="51"/>
        <v>540</v>
      </c>
      <c r="M661" s="6">
        <v>45590</v>
      </c>
      <c r="N661" s="6">
        <v>45404</v>
      </c>
      <c r="O661" s="6">
        <v>45617</v>
      </c>
      <c r="P661" s="7" t="s">
        <v>2436</v>
      </c>
      <c r="Q661" s="5">
        <v>39</v>
      </c>
      <c r="R661" s="10">
        <f t="shared" si="52"/>
        <v>468</v>
      </c>
      <c r="S661" s="5">
        <v>28</v>
      </c>
      <c r="T661" s="5" t="s">
        <v>27</v>
      </c>
      <c r="U661" s="11">
        <f t="shared" si="54"/>
        <v>24</v>
      </c>
    </row>
    <row r="662" spans="1:21" ht="16" x14ac:dyDescent="0.4">
      <c r="A662" s="2" t="s">
        <v>2437</v>
      </c>
      <c r="B662" s="3" t="s">
        <v>1480</v>
      </c>
      <c r="C662" s="28" t="s">
        <v>133</v>
      </c>
      <c r="D662" s="2" t="s">
        <v>2438</v>
      </c>
      <c r="E662" s="4" t="s">
        <v>1243</v>
      </c>
      <c r="F662" s="5">
        <v>88</v>
      </c>
      <c r="G662" s="5">
        <v>40</v>
      </c>
      <c r="H662" s="5">
        <v>29</v>
      </c>
      <c r="I662" s="10">
        <v>15</v>
      </c>
      <c r="J662" s="11">
        <f t="shared" si="53"/>
        <v>1320</v>
      </c>
      <c r="K662" s="12" t="str">
        <f t="shared" si="50"/>
        <v>Stock_Sufficient</v>
      </c>
      <c r="L662" s="12">
        <f t="shared" si="51"/>
        <v>435</v>
      </c>
      <c r="M662" s="6">
        <v>45712</v>
      </c>
      <c r="N662" s="6">
        <v>45467</v>
      </c>
      <c r="O662" s="6">
        <v>45347</v>
      </c>
      <c r="P662" s="7" t="s">
        <v>2439</v>
      </c>
      <c r="Q662" s="5">
        <v>96</v>
      </c>
      <c r="R662" s="10">
        <f t="shared" si="52"/>
        <v>1440</v>
      </c>
      <c r="S662" s="5">
        <v>87</v>
      </c>
      <c r="T662" s="5" t="s">
        <v>27</v>
      </c>
      <c r="U662" s="11">
        <f t="shared" si="54"/>
        <v>120</v>
      </c>
    </row>
    <row r="663" spans="1:21" ht="16" x14ac:dyDescent="0.4">
      <c r="A663" s="2" t="s">
        <v>2440</v>
      </c>
      <c r="B663" s="3" t="s">
        <v>182</v>
      </c>
      <c r="C663" s="28" t="s">
        <v>48</v>
      </c>
      <c r="D663" s="2" t="s">
        <v>2441</v>
      </c>
      <c r="E663" s="4" t="s">
        <v>179</v>
      </c>
      <c r="F663" s="5">
        <v>20</v>
      </c>
      <c r="G663" s="5">
        <v>51</v>
      </c>
      <c r="H663" s="5">
        <v>33</v>
      </c>
      <c r="I663" s="10">
        <v>3.5</v>
      </c>
      <c r="J663" s="11">
        <f t="shared" si="53"/>
        <v>70</v>
      </c>
      <c r="K663" s="12" t="str">
        <f t="shared" si="50"/>
        <v>Low Stock_Reorder Needed</v>
      </c>
      <c r="L663" s="12">
        <f t="shared" si="51"/>
        <v>115.5</v>
      </c>
      <c r="M663" s="6">
        <v>45385</v>
      </c>
      <c r="N663" s="6">
        <v>45681</v>
      </c>
      <c r="O663" s="6">
        <v>45700</v>
      </c>
      <c r="P663" s="7" t="s">
        <v>2442</v>
      </c>
      <c r="Q663" s="5">
        <v>80</v>
      </c>
      <c r="R663" s="10">
        <f t="shared" si="52"/>
        <v>280</v>
      </c>
      <c r="S663" s="5">
        <v>41</v>
      </c>
      <c r="T663" s="5" t="s">
        <v>45</v>
      </c>
      <c r="U663" s="11">
        <f t="shared" si="54"/>
        <v>210</v>
      </c>
    </row>
    <row r="664" spans="1:21" ht="16" x14ac:dyDescent="0.4">
      <c r="A664" s="2" t="s">
        <v>2443</v>
      </c>
      <c r="B664" s="3" t="s">
        <v>109</v>
      </c>
      <c r="C664" s="28" t="s">
        <v>23</v>
      </c>
      <c r="D664" s="2" t="s">
        <v>2444</v>
      </c>
      <c r="E664" s="4" t="s">
        <v>300</v>
      </c>
      <c r="F664" s="5">
        <v>99</v>
      </c>
      <c r="G664" s="5">
        <v>54</v>
      </c>
      <c r="H664" s="5">
        <v>71</v>
      </c>
      <c r="I664" s="10">
        <v>1.5</v>
      </c>
      <c r="J664" s="11">
        <f t="shared" si="53"/>
        <v>148.5</v>
      </c>
      <c r="K664" s="12" t="str">
        <f t="shared" si="50"/>
        <v>Stock_Sufficient</v>
      </c>
      <c r="L664" s="12">
        <f t="shared" si="51"/>
        <v>106.5</v>
      </c>
      <c r="M664" s="6">
        <v>45587</v>
      </c>
      <c r="N664" s="6">
        <v>45518</v>
      </c>
      <c r="O664" s="6">
        <v>45617</v>
      </c>
      <c r="P664" s="7" t="s">
        <v>2445</v>
      </c>
      <c r="Q664" s="5">
        <v>80</v>
      </c>
      <c r="R664" s="10">
        <f t="shared" si="52"/>
        <v>120</v>
      </c>
      <c r="S664" s="5">
        <v>10</v>
      </c>
      <c r="T664" s="5" t="s">
        <v>27</v>
      </c>
      <c r="U664" s="11">
        <f t="shared" si="54"/>
        <v>-28.5</v>
      </c>
    </row>
    <row r="665" spans="1:21" ht="16" x14ac:dyDescent="0.4">
      <c r="A665" s="2" t="s">
        <v>2446</v>
      </c>
      <c r="B665" s="3" t="s">
        <v>752</v>
      </c>
      <c r="C665" s="28" t="s">
        <v>48</v>
      </c>
      <c r="D665" s="2" t="s">
        <v>2447</v>
      </c>
      <c r="E665" s="4" t="s">
        <v>2448</v>
      </c>
      <c r="F665" s="5">
        <v>46</v>
      </c>
      <c r="G665" s="5">
        <v>88</v>
      </c>
      <c r="H665" s="5">
        <v>20</v>
      </c>
      <c r="I665" s="10">
        <v>4.8</v>
      </c>
      <c r="J665" s="11">
        <f t="shared" si="53"/>
        <v>220.79999999999998</v>
      </c>
      <c r="K665" s="12" t="str">
        <f t="shared" si="50"/>
        <v>Low Stock_Reorder Needed</v>
      </c>
      <c r="L665" s="12">
        <f t="shared" si="51"/>
        <v>96</v>
      </c>
      <c r="M665" s="6">
        <v>45573</v>
      </c>
      <c r="N665" s="6">
        <v>45634</v>
      </c>
      <c r="O665" s="6">
        <v>45383</v>
      </c>
      <c r="P665" s="7" t="s">
        <v>2449</v>
      </c>
      <c r="Q665" s="5">
        <v>59</v>
      </c>
      <c r="R665" s="10">
        <f t="shared" si="52"/>
        <v>283.2</v>
      </c>
      <c r="S665" s="5">
        <v>79</v>
      </c>
      <c r="T665" s="5" t="s">
        <v>39</v>
      </c>
      <c r="U665" s="11">
        <f t="shared" si="54"/>
        <v>62.400000000000006</v>
      </c>
    </row>
    <row r="666" spans="1:21" ht="16" x14ac:dyDescent="0.4">
      <c r="A666" s="2" t="s">
        <v>2450</v>
      </c>
      <c r="B666" s="3" t="s">
        <v>1469</v>
      </c>
      <c r="C666" s="28" t="s">
        <v>23</v>
      </c>
      <c r="D666" s="2" t="s">
        <v>2451</v>
      </c>
      <c r="E666" s="4" t="s">
        <v>2078</v>
      </c>
      <c r="F666" s="5">
        <v>19</v>
      </c>
      <c r="G666" s="5">
        <v>77</v>
      </c>
      <c r="H666" s="5">
        <v>66</v>
      </c>
      <c r="I666" s="10">
        <v>10</v>
      </c>
      <c r="J666" s="11">
        <f t="shared" si="53"/>
        <v>190</v>
      </c>
      <c r="K666" s="12" t="str">
        <f t="shared" si="50"/>
        <v>Low Stock_Reorder Needed</v>
      </c>
      <c r="L666" s="12">
        <f t="shared" si="51"/>
        <v>660</v>
      </c>
      <c r="M666" s="6">
        <v>45603</v>
      </c>
      <c r="N666" s="6">
        <v>45704</v>
      </c>
      <c r="O666" s="6">
        <v>45529</v>
      </c>
      <c r="P666" s="7" t="s">
        <v>2452</v>
      </c>
      <c r="Q666" s="5">
        <v>62</v>
      </c>
      <c r="R666" s="10">
        <f t="shared" si="52"/>
        <v>620</v>
      </c>
      <c r="S666" s="5">
        <v>100</v>
      </c>
      <c r="T666" s="5" t="s">
        <v>45</v>
      </c>
      <c r="U666" s="11">
        <f t="shared" si="54"/>
        <v>430</v>
      </c>
    </row>
    <row r="667" spans="1:21" ht="16" x14ac:dyDescent="0.4">
      <c r="A667" s="2" t="s">
        <v>2453</v>
      </c>
      <c r="B667" s="3" t="s">
        <v>1219</v>
      </c>
      <c r="C667" s="28" t="s">
        <v>65</v>
      </c>
      <c r="D667" s="2" t="s">
        <v>2454</v>
      </c>
      <c r="E667" s="4" t="s">
        <v>1517</v>
      </c>
      <c r="F667" s="5">
        <v>12</v>
      </c>
      <c r="G667" s="5">
        <v>83</v>
      </c>
      <c r="H667" s="5">
        <v>93</v>
      </c>
      <c r="I667" s="10">
        <v>1.75</v>
      </c>
      <c r="J667" s="11">
        <f t="shared" si="53"/>
        <v>21</v>
      </c>
      <c r="K667" s="12" t="str">
        <f t="shared" si="50"/>
        <v>Low Stock_Reorder Needed</v>
      </c>
      <c r="L667" s="12">
        <f t="shared" si="51"/>
        <v>162.75</v>
      </c>
      <c r="M667" s="6">
        <v>45592</v>
      </c>
      <c r="N667" s="6">
        <v>45471</v>
      </c>
      <c r="O667" s="6">
        <v>45497</v>
      </c>
      <c r="P667" s="7" t="s">
        <v>2455</v>
      </c>
      <c r="Q667" s="5">
        <v>22</v>
      </c>
      <c r="R667" s="10">
        <f t="shared" si="52"/>
        <v>38.5</v>
      </c>
      <c r="S667" s="5">
        <v>9</v>
      </c>
      <c r="T667" s="5" t="s">
        <v>39</v>
      </c>
      <c r="U667" s="11">
        <f t="shared" si="54"/>
        <v>17.5</v>
      </c>
    </row>
    <row r="668" spans="1:21" ht="16" x14ac:dyDescent="0.4">
      <c r="A668" s="2" t="s">
        <v>2456</v>
      </c>
      <c r="B668" s="3" t="s">
        <v>630</v>
      </c>
      <c r="C668" s="28" t="s">
        <v>65</v>
      </c>
      <c r="D668" s="2" t="s">
        <v>2457</v>
      </c>
      <c r="E668" s="4" t="s">
        <v>2458</v>
      </c>
      <c r="F668" s="5">
        <v>69</v>
      </c>
      <c r="G668" s="5">
        <v>98</v>
      </c>
      <c r="H668" s="5">
        <v>89</v>
      </c>
      <c r="I668" s="10">
        <v>2.5499999999999998</v>
      </c>
      <c r="J668" s="11">
        <f t="shared" si="53"/>
        <v>175.95</v>
      </c>
      <c r="K668" s="12" t="str">
        <f t="shared" si="50"/>
        <v>Low Stock_Reorder Needed</v>
      </c>
      <c r="L668" s="12">
        <f t="shared" si="51"/>
        <v>226.95</v>
      </c>
      <c r="M668" s="6">
        <v>45594</v>
      </c>
      <c r="N668" s="6">
        <v>45391</v>
      </c>
      <c r="O668" s="6">
        <v>45444</v>
      </c>
      <c r="P668" s="7" t="s">
        <v>2459</v>
      </c>
      <c r="Q668" s="5">
        <v>29</v>
      </c>
      <c r="R668" s="10">
        <f t="shared" si="52"/>
        <v>73.949999999999989</v>
      </c>
      <c r="S668" s="5">
        <v>34</v>
      </c>
      <c r="T668" s="5" t="s">
        <v>27</v>
      </c>
      <c r="U668" s="11">
        <f t="shared" si="54"/>
        <v>-102</v>
      </c>
    </row>
    <row r="669" spans="1:21" ht="16" x14ac:dyDescent="0.4">
      <c r="A669" s="2" t="s">
        <v>2460</v>
      </c>
      <c r="B669" s="3" t="s">
        <v>75</v>
      </c>
      <c r="C669" s="28" t="s">
        <v>65</v>
      </c>
      <c r="D669" s="2" t="s">
        <v>2461</v>
      </c>
      <c r="E669" s="4" t="s">
        <v>263</v>
      </c>
      <c r="F669" s="5">
        <v>63</v>
      </c>
      <c r="G669" s="5">
        <v>38</v>
      </c>
      <c r="H669" s="5">
        <v>77</v>
      </c>
      <c r="I669" s="10">
        <v>1</v>
      </c>
      <c r="J669" s="11">
        <f t="shared" si="53"/>
        <v>63</v>
      </c>
      <c r="K669" s="12" t="str">
        <f t="shared" si="50"/>
        <v>Stock_Sufficient</v>
      </c>
      <c r="L669" s="12">
        <f t="shared" si="51"/>
        <v>77</v>
      </c>
      <c r="M669" s="6">
        <v>45649</v>
      </c>
      <c r="N669" s="6">
        <v>45700</v>
      </c>
      <c r="O669" s="6">
        <v>45408</v>
      </c>
      <c r="P669" s="7" t="s">
        <v>2462</v>
      </c>
      <c r="Q669" s="5">
        <v>23</v>
      </c>
      <c r="R669" s="10">
        <f t="shared" si="52"/>
        <v>23</v>
      </c>
      <c r="S669" s="5">
        <v>18</v>
      </c>
      <c r="T669" s="5" t="s">
        <v>45</v>
      </c>
      <c r="U669" s="11">
        <f t="shared" si="54"/>
        <v>-40</v>
      </c>
    </row>
    <row r="670" spans="1:21" ht="16" x14ac:dyDescent="0.4">
      <c r="A670" s="2" t="s">
        <v>2463</v>
      </c>
      <c r="B670" s="3" t="s">
        <v>752</v>
      </c>
      <c r="C670" s="28" t="s">
        <v>48</v>
      </c>
      <c r="D670" s="2" t="s">
        <v>2464</v>
      </c>
      <c r="E670" s="4" t="s">
        <v>2465</v>
      </c>
      <c r="F670" s="5">
        <v>78</v>
      </c>
      <c r="G670" s="5">
        <v>16</v>
      </c>
      <c r="H670" s="5">
        <v>37</v>
      </c>
      <c r="I670" s="10">
        <v>4.7</v>
      </c>
      <c r="J670" s="11">
        <f t="shared" si="53"/>
        <v>366.6</v>
      </c>
      <c r="K670" s="12" t="str">
        <f t="shared" si="50"/>
        <v>Stock_Sufficient</v>
      </c>
      <c r="L670" s="12">
        <f t="shared" si="51"/>
        <v>173.9</v>
      </c>
      <c r="M670" s="6">
        <v>45577</v>
      </c>
      <c r="N670" s="6">
        <v>45630</v>
      </c>
      <c r="O670" s="6">
        <v>45444</v>
      </c>
      <c r="P670" s="7" t="s">
        <v>2466</v>
      </c>
      <c r="Q670" s="5">
        <v>25</v>
      </c>
      <c r="R670" s="10">
        <f t="shared" si="52"/>
        <v>117.5</v>
      </c>
      <c r="S670" s="5">
        <v>96</v>
      </c>
      <c r="T670" s="5" t="s">
        <v>39</v>
      </c>
      <c r="U670" s="11">
        <f t="shared" si="54"/>
        <v>-249.10000000000002</v>
      </c>
    </row>
    <row r="671" spans="1:21" ht="16" x14ac:dyDescent="0.4">
      <c r="A671" s="2" t="s">
        <v>2467</v>
      </c>
      <c r="B671" s="3" t="s">
        <v>283</v>
      </c>
      <c r="C671" s="28" t="s">
        <v>90</v>
      </c>
      <c r="D671" s="2" t="s">
        <v>2468</v>
      </c>
      <c r="E671" s="4" t="s">
        <v>120</v>
      </c>
      <c r="F671" s="5">
        <v>72</v>
      </c>
      <c r="G671" s="5">
        <v>20</v>
      </c>
      <c r="H671" s="5">
        <v>71</v>
      </c>
      <c r="I671" s="10">
        <v>2.5</v>
      </c>
      <c r="J671" s="11">
        <f t="shared" si="53"/>
        <v>180</v>
      </c>
      <c r="K671" s="12" t="str">
        <f t="shared" si="50"/>
        <v>Stock_Sufficient</v>
      </c>
      <c r="L671" s="12">
        <f t="shared" si="51"/>
        <v>177.5</v>
      </c>
      <c r="M671" s="6">
        <v>45472</v>
      </c>
      <c r="N671" s="6">
        <v>45429</v>
      </c>
      <c r="O671" s="6">
        <v>45594</v>
      </c>
      <c r="P671" s="7" t="s">
        <v>2469</v>
      </c>
      <c r="Q671" s="5">
        <v>87</v>
      </c>
      <c r="R671" s="10">
        <f t="shared" si="52"/>
        <v>217.5</v>
      </c>
      <c r="S671" s="5">
        <v>68</v>
      </c>
      <c r="T671" s="5" t="s">
        <v>27</v>
      </c>
      <c r="U671" s="11">
        <f t="shared" si="54"/>
        <v>37.5</v>
      </c>
    </row>
    <row r="672" spans="1:21" ht="16" x14ac:dyDescent="0.4">
      <c r="A672" s="2" t="s">
        <v>2470</v>
      </c>
      <c r="B672" s="3" t="s">
        <v>1469</v>
      </c>
      <c r="C672" s="28" t="s">
        <v>23</v>
      </c>
      <c r="D672" s="2" t="s">
        <v>2471</v>
      </c>
      <c r="E672" s="4" t="s">
        <v>873</v>
      </c>
      <c r="F672" s="5">
        <v>58</v>
      </c>
      <c r="G672" s="5">
        <v>24</v>
      </c>
      <c r="H672" s="5">
        <v>25</v>
      </c>
      <c r="I672" s="10">
        <v>10</v>
      </c>
      <c r="J672" s="11">
        <f t="shared" si="53"/>
        <v>580</v>
      </c>
      <c r="K672" s="12" t="str">
        <f t="shared" si="50"/>
        <v>Stock_Sufficient</v>
      </c>
      <c r="L672" s="12">
        <f t="shared" si="51"/>
        <v>250</v>
      </c>
      <c r="M672" s="6">
        <v>45528</v>
      </c>
      <c r="N672" s="6">
        <v>45613</v>
      </c>
      <c r="O672" s="6">
        <v>45372</v>
      </c>
      <c r="P672" s="7" t="s">
        <v>2472</v>
      </c>
      <c r="Q672" s="5">
        <v>75</v>
      </c>
      <c r="R672" s="10">
        <f t="shared" si="52"/>
        <v>750</v>
      </c>
      <c r="S672" s="5">
        <v>26</v>
      </c>
      <c r="T672" s="5" t="s">
        <v>45</v>
      </c>
      <c r="U672" s="11">
        <f t="shared" si="54"/>
        <v>170</v>
      </c>
    </row>
    <row r="673" spans="1:21" ht="16" x14ac:dyDescent="0.4">
      <c r="A673" s="2" t="s">
        <v>2473</v>
      </c>
      <c r="B673" s="3" t="s">
        <v>64</v>
      </c>
      <c r="C673" s="28" t="s">
        <v>65</v>
      </c>
      <c r="D673" s="2" t="s">
        <v>2474</v>
      </c>
      <c r="E673" s="4" t="s">
        <v>2475</v>
      </c>
      <c r="F673" s="5">
        <v>88</v>
      </c>
      <c r="G673" s="5">
        <v>22</v>
      </c>
      <c r="H673" s="5">
        <v>61</v>
      </c>
      <c r="I673" s="10">
        <v>2.5</v>
      </c>
      <c r="J673" s="11">
        <f t="shared" si="53"/>
        <v>220</v>
      </c>
      <c r="K673" s="12" t="str">
        <f t="shared" si="50"/>
        <v>Stock_Sufficient</v>
      </c>
      <c r="L673" s="12">
        <f t="shared" si="51"/>
        <v>152.5</v>
      </c>
      <c r="M673" s="6">
        <v>45661</v>
      </c>
      <c r="N673" s="6">
        <v>45564</v>
      </c>
      <c r="O673" s="6">
        <v>45696</v>
      </c>
      <c r="P673" s="7" t="s">
        <v>2476</v>
      </c>
      <c r="Q673" s="5">
        <v>54</v>
      </c>
      <c r="R673" s="10">
        <f t="shared" si="52"/>
        <v>135</v>
      </c>
      <c r="S673" s="5">
        <v>100</v>
      </c>
      <c r="T673" s="5" t="s">
        <v>27</v>
      </c>
      <c r="U673" s="11">
        <f t="shared" si="54"/>
        <v>-85</v>
      </c>
    </row>
    <row r="674" spans="1:21" ht="16" x14ac:dyDescent="0.4">
      <c r="A674" s="2" t="s">
        <v>2477</v>
      </c>
      <c r="B674" s="3" t="s">
        <v>590</v>
      </c>
      <c r="C674" s="28" t="s">
        <v>23</v>
      </c>
      <c r="D674" s="2" t="s">
        <v>2478</v>
      </c>
      <c r="E674" s="4" t="s">
        <v>1392</v>
      </c>
      <c r="F674" s="5">
        <v>54</v>
      </c>
      <c r="G674" s="5">
        <v>53</v>
      </c>
      <c r="H674" s="5">
        <v>33</v>
      </c>
      <c r="I674" s="10">
        <v>1.8</v>
      </c>
      <c r="J674" s="11">
        <f t="shared" si="53"/>
        <v>97.2</v>
      </c>
      <c r="K674" s="12" t="str">
        <f t="shared" si="50"/>
        <v>Stock_Sufficient</v>
      </c>
      <c r="L674" s="12">
        <f t="shared" si="51"/>
        <v>59.4</v>
      </c>
      <c r="M674" s="6">
        <v>45389</v>
      </c>
      <c r="N674" s="6">
        <v>45674</v>
      </c>
      <c r="O674" s="6">
        <v>45478</v>
      </c>
      <c r="P674" s="7" t="s">
        <v>2479</v>
      </c>
      <c r="Q674" s="5">
        <v>94</v>
      </c>
      <c r="R674" s="10">
        <f t="shared" si="52"/>
        <v>169.20000000000002</v>
      </c>
      <c r="S674" s="5">
        <v>82</v>
      </c>
      <c r="T674" s="5" t="s">
        <v>39</v>
      </c>
      <c r="U674" s="11">
        <f t="shared" si="54"/>
        <v>72.000000000000014</v>
      </c>
    </row>
    <row r="675" spans="1:21" ht="16" x14ac:dyDescent="0.4">
      <c r="A675" s="2" t="s">
        <v>2480</v>
      </c>
      <c r="B675" s="3" t="s">
        <v>688</v>
      </c>
      <c r="C675" s="28" t="s">
        <v>23</v>
      </c>
      <c r="D675" s="2" t="s">
        <v>2481</v>
      </c>
      <c r="E675" s="4" t="s">
        <v>1871</v>
      </c>
      <c r="F675" s="5">
        <v>64</v>
      </c>
      <c r="G675" s="5">
        <v>10</v>
      </c>
      <c r="H675" s="5">
        <v>100</v>
      </c>
      <c r="I675" s="10">
        <v>2.5</v>
      </c>
      <c r="J675" s="11">
        <f t="shared" si="53"/>
        <v>160</v>
      </c>
      <c r="K675" s="12" t="str">
        <f t="shared" si="50"/>
        <v>Stock_Sufficient</v>
      </c>
      <c r="L675" s="12">
        <f t="shared" si="51"/>
        <v>250</v>
      </c>
      <c r="M675" s="6">
        <v>45579</v>
      </c>
      <c r="N675" s="6">
        <v>45448</v>
      </c>
      <c r="O675" s="6">
        <v>45592</v>
      </c>
      <c r="P675" s="7" t="s">
        <v>2482</v>
      </c>
      <c r="Q675" s="5">
        <v>97</v>
      </c>
      <c r="R675" s="10">
        <f t="shared" si="52"/>
        <v>242.5</v>
      </c>
      <c r="S675" s="5">
        <v>52</v>
      </c>
      <c r="T675" s="5" t="s">
        <v>45</v>
      </c>
      <c r="U675" s="11">
        <f t="shared" si="54"/>
        <v>82.5</v>
      </c>
    </row>
    <row r="676" spans="1:21" ht="16" x14ac:dyDescent="0.4">
      <c r="A676" s="2" t="s">
        <v>2483</v>
      </c>
      <c r="B676" s="3" t="s">
        <v>1100</v>
      </c>
      <c r="C676" s="28" t="s">
        <v>65</v>
      </c>
      <c r="D676" s="2" t="s">
        <v>2484</v>
      </c>
      <c r="E676" s="4" t="s">
        <v>1151</v>
      </c>
      <c r="F676" s="5">
        <v>12</v>
      </c>
      <c r="G676" s="5">
        <v>54</v>
      </c>
      <c r="H676" s="5">
        <v>48</v>
      </c>
      <c r="I676" s="10">
        <v>1</v>
      </c>
      <c r="J676" s="11">
        <f t="shared" si="53"/>
        <v>12</v>
      </c>
      <c r="K676" s="12" t="str">
        <f t="shared" si="50"/>
        <v>Low Stock_Reorder Needed</v>
      </c>
      <c r="L676" s="12">
        <f t="shared" si="51"/>
        <v>48</v>
      </c>
      <c r="M676" s="6">
        <v>45602</v>
      </c>
      <c r="N676" s="6">
        <v>45646</v>
      </c>
      <c r="O676" s="6">
        <v>45403</v>
      </c>
      <c r="P676" s="7" t="s">
        <v>2485</v>
      </c>
      <c r="Q676" s="5">
        <v>31</v>
      </c>
      <c r="R676" s="10">
        <f t="shared" si="52"/>
        <v>31</v>
      </c>
      <c r="S676" s="5">
        <v>88</v>
      </c>
      <c r="T676" s="5" t="s">
        <v>39</v>
      </c>
      <c r="U676" s="11">
        <f t="shared" si="54"/>
        <v>19</v>
      </c>
    </row>
    <row r="677" spans="1:21" ht="16" x14ac:dyDescent="0.4">
      <c r="A677" s="2" t="s">
        <v>2486</v>
      </c>
      <c r="B677" s="3" t="s">
        <v>225</v>
      </c>
      <c r="C677" s="28" t="s">
        <v>48</v>
      </c>
      <c r="D677" s="2" t="s">
        <v>2487</v>
      </c>
      <c r="E677" s="4" t="s">
        <v>25</v>
      </c>
      <c r="F677" s="5">
        <v>61</v>
      </c>
      <c r="G677" s="5">
        <v>14</v>
      </c>
      <c r="H677" s="5">
        <v>49</v>
      </c>
      <c r="I677" s="10">
        <v>5.2</v>
      </c>
      <c r="J677" s="11">
        <f t="shared" si="53"/>
        <v>317.2</v>
      </c>
      <c r="K677" s="12" t="str">
        <f t="shared" si="50"/>
        <v>Stock_Sufficient</v>
      </c>
      <c r="L677" s="12">
        <f t="shared" si="51"/>
        <v>254.8</v>
      </c>
      <c r="M677" s="6">
        <v>45453</v>
      </c>
      <c r="N677" s="6">
        <v>45638</v>
      </c>
      <c r="O677" s="6">
        <v>45498</v>
      </c>
      <c r="P677" s="7" t="s">
        <v>2488</v>
      </c>
      <c r="Q677" s="5">
        <v>74</v>
      </c>
      <c r="R677" s="10">
        <f t="shared" si="52"/>
        <v>384.8</v>
      </c>
      <c r="S677" s="5">
        <v>35</v>
      </c>
      <c r="T677" s="5" t="s">
        <v>27</v>
      </c>
      <c r="U677" s="11">
        <f t="shared" si="54"/>
        <v>67.600000000000023</v>
      </c>
    </row>
    <row r="678" spans="1:21" ht="16" x14ac:dyDescent="0.4">
      <c r="A678" s="2" t="s">
        <v>2489</v>
      </c>
      <c r="B678" s="3" t="s">
        <v>168</v>
      </c>
      <c r="C678" s="28" t="s">
        <v>90</v>
      </c>
      <c r="D678" s="2" t="s">
        <v>2490</v>
      </c>
      <c r="E678" s="4" t="s">
        <v>606</v>
      </c>
      <c r="F678" s="5">
        <v>28</v>
      </c>
      <c r="G678" s="5">
        <v>62</v>
      </c>
      <c r="H678" s="5">
        <v>81</v>
      </c>
      <c r="I678" s="10">
        <v>5</v>
      </c>
      <c r="J678" s="11">
        <f t="shared" si="53"/>
        <v>140</v>
      </c>
      <c r="K678" s="12" t="str">
        <f t="shared" si="50"/>
        <v>Low Stock_Reorder Needed</v>
      </c>
      <c r="L678" s="12">
        <f t="shared" si="51"/>
        <v>405</v>
      </c>
      <c r="M678" s="6">
        <v>45378</v>
      </c>
      <c r="N678" s="6">
        <v>45468</v>
      </c>
      <c r="O678" s="6">
        <v>45572</v>
      </c>
      <c r="P678" s="7" t="s">
        <v>2491</v>
      </c>
      <c r="Q678" s="5">
        <v>28</v>
      </c>
      <c r="R678" s="10">
        <f t="shared" si="52"/>
        <v>140</v>
      </c>
      <c r="S678" s="5">
        <v>30</v>
      </c>
      <c r="T678" s="5" t="s">
        <v>27</v>
      </c>
      <c r="U678" s="11">
        <f t="shared" si="54"/>
        <v>0</v>
      </c>
    </row>
    <row r="679" spans="1:21" ht="16" x14ac:dyDescent="0.4">
      <c r="A679" s="2" t="s">
        <v>2492</v>
      </c>
      <c r="B679" s="3" t="s">
        <v>127</v>
      </c>
      <c r="C679" s="28" t="s">
        <v>48</v>
      </c>
      <c r="D679" s="2" t="s">
        <v>2493</v>
      </c>
      <c r="E679" s="4" t="s">
        <v>1251</v>
      </c>
      <c r="F679" s="5">
        <v>23</v>
      </c>
      <c r="G679" s="5">
        <v>6</v>
      </c>
      <c r="H679" s="5">
        <v>40</v>
      </c>
      <c r="I679" s="10">
        <v>2.5</v>
      </c>
      <c r="J679" s="11">
        <f t="shared" si="53"/>
        <v>57.5</v>
      </c>
      <c r="K679" s="12" t="str">
        <f t="shared" si="50"/>
        <v>Stock_Sufficient</v>
      </c>
      <c r="L679" s="12">
        <f t="shared" si="51"/>
        <v>100</v>
      </c>
      <c r="M679" s="6">
        <v>45371</v>
      </c>
      <c r="N679" s="6">
        <v>45645</v>
      </c>
      <c r="O679" s="6">
        <v>45462</v>
      </c>
      <c r="P679" s="7" t="s">
        <v>2494</v>
      </c>
      <c r="Q679" s="5">
        <v>95</v>
      </c>
      <c r="R679" s="10">
        <f t="shared" si="52"/>
        <v>237.5</v>
      </c>
      <c r="S679" s="5">
        <v>24</v>
      </c>
      <c r="T679" s="5" t="s">
        <v>39</v>
      </c>
      <c r="U679" s="11">
        <f t="shared" si="54"/>
        <v>180</v>
      </c>
    </row>
    <row r="680" spans="1:21" ht="16" x14ac:dyDescent="0.4">
      <c r="A680" s="2" t="s">
        <v>2495</v>
      </c>
      <c r="B680" s="3" t="s">
        <v>441</v>
      </c>
      <c r="C680" s="28" t="s">
        <v>48</v>
      </c>
      <c r="D680" s="2" t="s">
        <v>2496</v>
      </c>
      <c r="E680" s="4" t="s">
        <v>212</v>
      </c>
      <c r="F680" s="5">
        <v>87</v>
      </c>
      <c r="G680" s="5">
        <v>51</v>
      </c>
      <c r="H680" s="5">
        <v>67</v>
      </c>
      <c r="I680" s="10">
        <v>10</v>
      </c>
      <c r="J680" s="11">
        <f t="shared" si="53"/>
        <v>870</v>
      </c>
      <c r="K680" s="12" t="str">
        <f t="shared" si="50"/>
        <v>Stock_Sufficient</v>
      </c>
      <c r="L680" s="12">
        <f t="shared" si="51"/>
        <v>670</v>
      </c>
      <c r="M680" s="6">
        <v>45664</v>
      </c>
      <c r="N680" s="6">
        <v>45448</v>
      </c>
      <c r="O680" s="6">
        <v>45418</v>
      </c>
      <c r="P680" s="7" t="s">
        <v>2497</v>
      </c>
      <c r="Q680" s="5">
        <v>55</v>
      </c>
      <c r="R680" s="10">
        <f t="shared" si="52"/>
        <v>550</v>
      </c>
      <c r="S680" s="5">
        <v>100</v>
      </c>
      <c r="T680" s="5" t="s">
        <v>39</v>
      </c>
      <c r="U680" s="11">
        <f t="shared" si="54"/>
        <v>-320</v>
      </c>
    </row>
    <row r="681" spans="1:21" ht="16" x14ac:dyDescent="0.4">
      <c r="A681" s="2" t="s">
        <v>2498</v>
      </c>
      <c r="B681" s="3" t="s">
        <v>776</v>
      </c>
      <c r="C681" s="28" t="s">
        <v>30</v>
      </c>
      <c r="D681" s="2" t="s">
        <v>2499</v>
      </c>
      <c r="E681" s="4" t="s">
        <v>1436</v>
      </c>
      <c r="F681" s="5">
        <v>59</v>
      </c>
      <c r="G681" s="5">
        <v>31</v>
      </c>
      <c r="H681" s="5">
        <v>3</v>
      </c>
      <c r="I681" s="10">
        <v>10</v>
      </c>
      <c r="J681" s="11">
        <f t="shared" si="53"/>
        <v>590</v>
      </c>
      <c r="K681" s="12" t="str">
        <f t="shared" si="50"/>
        <v>Stock_Sufficient</v>
      </c>
      <c r="L681" s="12">
        <f t="shared" si="51"/>
        <v>30</v>
      </c>
      <c r="M681" s="6">
        <v>45550</v>
      </c>
      <c r="N681" s="6">
        <v>45678</v>
      </c>
      <c r="O681" s="6">
        <v>45587</v>
      </c>
      <c r="P681" s="7" t="s">
        <v>2500</v>
      </c>
      <c r="Q681" s="5">
        <v>48</v>
      </c>
      <c r="R681" s="10">
        <f t="shared" si="52"/>
        <v>480</v>
      </c>
      <c r="S681" s="5">
        <v>51</v>
      </c>
      <c r="T681" s="5" t="s">
        <v>45</v>
      </c>
      <c r="U681" s="11">
        <f t="shared" si="54"/>
        <v>-110</v>
      </c>
    </row>
    <row r="682" spans="1:21" ht="16" x14ac:dyDescent="0.4">
      <c r="A682" s="2" t="s">
        <v>2501</v>
      </c>
      <c r="B682" s="3" t="s">
        <v>781</v>
      </c>
      <c r="C682" s="28" t="s">
        <v>48</v>
      </c>
      <c r="D682" s="2" t="s">
        <v>2502</v>
      </c>
      <c r="E682" s="4" t="s">
        <v>55</v>
      </c>
      <c r="F682" s="5">
        <v>13</v>
      </c>
      <c r="G682" s="5">
        <v>88</v>
      </c>
      <c r="H682" s="5">
        <v>11</v>
      </c>
      <c r="I682" s="10">
        <v>3</v>
      </c>
      <c r="J682" s="11">
        <f t="shared" si="53"/>
        <v>39</v>
      </c>
      <c r="K682" s="12" t="str">
        <f t="shared" si="50"/>
        <v>Low Stock_Reorder Needed</v>
      </c>
      <c r="L682" s="12">
        <f t="shared" si="51"/>
        <v>33</v>
      </c>
      <c r="M682" s="6">
        <v>45615</v>
      </c>
      <c r="N682" s="6">
        <v>45417</v>
      </c>
      <c r="O682" s="6">
        <v>45640</v>
      </c>
      <c r="P682" s="7" t="s">
        <v>2503</v>
      </c>
      <c r="Q682" s="5">
        <v>100</v>
      </c>
      <c r="R682" s="10">
        <f t="shared" si="52"/>
        <v>300</v>
      </c>
      <c r="S682" s="5">
        <v>52</v>
      </c>
      <c r="T682" s="5" t="s">
        <v>39</v>
      </c>
      <c r="U682" s="11">
        <f t="shared" si="54"/>
        <v>261</v>
      </c>
    </row>
    <row r="683" spans="1:21" ht="16" x14ac:dyDescent="0.4">
      <c r="A683" s="2" t="s">
        <v>2504</v>
      </c>
      <c r="B683" s="3" t="s">
        <v>546</v>
      </c>
      <c r="C683" s="28" t="s">
        <v>48</v>
      </c>
      <c r="D683" s="2" t="s">
        <v>2505</v>
      </c>
      <c r="E683" s="4" t="s">
        <v>418</v>
      </c>
      <c r="F683" s="5">
        <v>81</v>
      </c>
      <c r="G683" s="5">
        <v>87</v>
      </c>
      <c r="H683" s="5">
        <v>15</v>
      </c>
      <c r="I683" s="10">
        <v>6</v>
      </c>
      <c r="J683" s="11">
        <f t="shared" si="53"/>
        <v>486</v>
      </c>
      <c r="K683" s="12" t="str">
        <f t="shared" si="50"/>
        <v>Low Stock_Reorder Needed</v>
      </c>
      <c r="L683" s="12">
        <f t="shared" si="51"/>
        <v>90</v>
      </c>
      <c r="M683" s="6">
        <v>45665</v>
      </c>
      <c r="N683" s="6">
        <v>45682</v>
      </c>
      <c r="O683" s="6">
        <v>45544</v>
      </c>
      <c r="P683" s="7" t="s">
        <v>2506</v>
      </c>
      <c r="Q683" s="5">
        <v>94</v>
      </c>
      <c r="R683" s="10">
        <f t="shared" si="52"/>
        <v>564</v>
      </c>
      <c r="S683" s="5">
        <v>10</v>
      </c>
      <c r="T683" s="5" t="s">
        <v>39</v>
      </c>
      <c r="U683" s="11">
        <f t="shared" si="54"/>
        <v>78</v>
      </c>
    </row>
    <row r="684" spans="1:21" ht="16" x14ac:dyDescent="0.4">
      <c r="A684" s="2" t="s">
        <v>2507</v>
      </c>
      <c r="B684" s="3" t="s">
        <v>283</v>
      </c>
      <c r="C684" s="28" t="s">
        <v>90</v>
      </c>
      <c r="D684" s="2" t="s">
        <v>2508</v>
      </c>
      <c r="E684" s="4" t="s">
        <v>766</v>
      </c>
      <c r="F684" s="5">
        <v>61</v>
      </c>
      <c r="G684" s="5">
        <v>77</v>
      </c>
      <c r="H684" s="5">
        <v>45</v>
      </c>
      <c r="I684" s="10">
        <v>2.5</v>
      </c>
      <c r="J684" s="11">
        <f t="shared" si="53"/>
        <v>152.5</v>
      </c>
      <c r="K684" s="12" t="str">
        <f t="shared" si="50"/>
        <v>Low Stock_Reorder Needed</v>
      </c>
      <c r="L684" s="12">
        <f t="shared" si="51"/>
        <v>112.5</v>
      </c>
      <c r="M684" s="6">
        <v>45372</v>
      </c>
      <c r="N684" s="6">
        <v>45351</v>
      </c>
      <c r="O684" s="6">
        <v>45465</v>
      </c>
      <c r="P684" s="7" t="s">
        <v>2509</v>
      </c>
      <c r="Q684" s="5">
        <v>51</v>
      </c>
      <c r="R684" s="10">
        <f t="shared" si="52"/>
        <v>127.5</v>
      </c>
      <c r="S684" s="5">
        <v>48</v>
      </c>
      <c r="T684" s="5" t="s">
        <v>39</v>
      </c>
      <c r="U684" s="11">
        <f t="shared" si="54"/>
        <v>-25</v>
      </c>
    </row>
    <row r="685" spans="1:21" ht="16" x14ac:dyDescent="0.4">
      <c r="A685" s="2" t="s">
        <v>2510</v>
      </c>
      <c r="B685" s="3" t="s">
        <v>312</v>
      </c>
      <c r="C685" s="28" t="s">
        <v>48</v>
      </c>
      <c r="D685" s="2" t="s">
        <v>2511</v>
      </c>
      <c r="E685" s="4" t="s">
        <v>1824</v>
      </c>
      <c r="F685" s="5">
        <v>80</v>
      </c>
      <c r="G685" s="5">
        <v>91</v>
      </c>
      <c r="H685" s="5">
        <v>36</v>
      </c>
      <c r="I685" s="10">
        <v>1.5</v>
      </c>
      <c r="J685" s="11">
        <f t="shared" si="53"/>
        <v>120</v>
      </c>
      <c r="K685" s="12" t="str">
        <f t="shared" si="50"/>
        <v>Low Stock_Reorder Needed</v>
      </c>
      <c r="L685" s="12">
        <f t="shared" si="51"/>
        <v>54</v>
      </c>
      <c r="M685" s="6">
        <v>45375</v>
      </c>
      <c r="N685" s="6">
        <v>45481</v>
      </c>
      <c r="O685" s="6">
        <v>45591</v>
      </c>
      <c r="P685" s="7" t="s">
        <v>2512</v>
      </c>
      <c r="Q685" s="5">
        <v>81</v>
      </c>
      <c r="R685" s="10">
        <f t="shared" si="52"/>
        <v>121.5</v>
      </c>
      <c r="S685" s="5">
        <v>74</v>
      </c>
      <c r="T685" s="5" t="s">
        <v>45</v>
      </c>
      <c r="U685" s="11">
        <f t="shared" si="54"/>
        <v>1.5</v>
      </c>
    </row>
    <row r="686" spans="1:21" ht="16" x14ac:dyDescent="0.4">
      <c r="A686" s="2" t="s">
        <v>2513</v>
      </c>
      <c r="B686" s="3" t="s">
        <v>1146</v>
      </c>
      <c r="C686" s="28" t="s">
        <v>23</v>
      </c>
      <c r="D686" s="2" t="s">
        <v>2514</v>
      </c>
      <c r="E686" s="4" t="s">
        <v>2149</v>
      </c>
      <c r="F686" s="5">
        <v>39</v>
      </c>
      <c r="G686" s="5">
        <v>57</v>
      </c>
      <c r="H686" s="5">
        <v>54</v>
      </c>
      <c r="I686" s="10">
        <v>2.5</v>
      </c>
      <c r="J686" s="11">
        <f t="shared" si="53"/>
        <v>97.5</v>
      </c>
      <c r="K686" s="12" t="str">
        <f t="shared" si="50"/>
        <v>Low Stock_Reorder Needed</v>
      </c>
      <c r="L686" s="12">
        <f t="shared" si="51"/>
        <v>135</v>
      </c>
      <c r="M686" s="6">
        <v>45632</v>
      </c>
      <c r="N686" s="6">
        <v>45357</v>
      </c>
      <c r="O686" s="6">
        <v>45515</v>
      </c>
      <c r="P686" s="7" t="s">
        <v>2515</v>
      </c>
      <c r="Q686" s="5">
        <v>77</v>
      </c>
      <c r="R686" s="10">
        <f t="shared" si="52"/>
        <v>192.5</v>
      </c>
      <c r="S686" s="5">
        <v>32</v>
      </c>
      <c r="T686" s="5" t="s">
        <v>45</v>
      </c>
      <c r="U686" s="11">
        <f t="shared" si="54"/>
        <v>95</v>
      </c>
    </row>
    <row r="687" spans="1:21" ht="16" x14ac:dyDescent="0.4">
      <c r="A687" s="2" t="s">
        <v>2516</v>
      </c>
      <c r="B687" s="3" t="s">
        <v>143</v>
      </c>
      <c r="C687" s="28" t="s">
        <v>48</v>
      </c>
      <c r="D687" s="2" t="s">
        <v>2517</v>
      </c>
      <c r="E687" s="4" t="s">
        <v>552</v>
      </c>
      <c r="F687" s="5">
        <v>69</v>
      </c>
      <c r="G687" s="5">
        <v>21</v>
      </c>
      <c r="H687" s="5">
        <v>68</v>
      </c>
      <c r="I687" s="10">
        <v>66.55</v>
      </c>
      <c r="J687" s="11">
        <f t="shared" si="53"/>
        <v>4591.95</v>
      </c>
      <c r="K687" s="12" t="str">
        <f t="shared" si="50"/>
        <v>Stock_Sufficient</v>
      </c>
      <c r="L687" s="12">
        <f t="shared" si="51"/>
        <v>4525.3999999999996</v>
      </c>
      <c r="M687" s="6">
        <v>45649</v>
      </c>
      <c r="N687" s="6">
        <v>45622</v>
      </c>
      <c r="O687" s="6">
        <v>45556</v>
      </c>
      <c r="P687" s="7" t="s">
        <v>2518</v>
      </c>
      <c r="Q687" s="5">
        <v>36</v>
      </c>
      <c r="R687" s="10">
        <f t="shared" si="52"/>
        <v>2395.7999999999997</v>
      </c>
      <c r="S687" s="5">
        <v>35</v>
      </c>
      <c r="T687" s="5" t="s">
        <v>27</v>
      </c>
      <c r="U687" s="11">
        <f t="shared" si="54"/>
        <v>-2196.15</v>
      </c>
    </row>
    <row r="688" spans="1:21" ht="16" x14ac:dyDescent="0.4">
      <c r="A688" s="2" t="s">
        <v>2519</v>
      </c>
      <c r="B688" s="3" t="s">
        <v>64</v>
      </c>
      <c r="C688" s="28" t="s">
        <v>65</v>
      </c>
      <c r="D688" s="2" t="s">
        <v>2520</v>
      </c>
      <c r="E688" s="4" t="s">
        <v>2521</v>
      </c>
      <c r="F688" s="5">
        <v>60</v>
      </c>
      <c r="G688" s="5">
        <v>43</v>
      </c>
      <c r="H688" s="5">
        <v>32</v>
      </c>
      <c r="I688" s="10">
        <v>2.5</v>
      </c>
      <c r="J688" s="11">
        <f t="shared" si="53"/>
        <v>150</v>
      </c>
      <c r="K688" s="12" t="str">
        <f t="shared" si="50"/>
        <v>Stock_Sufficient</v>
      </c>
      <c r="L688" s="12">
        <f t="shared" si="51"/>
        <v>80</v>
      </c>
      <c r="M688" s="6">
        <v>45478</v>
      </c>
      <c r="N688" s="6">
        <v>45569</v>
      </c>
      <c r="O688" s="6">
        <v>45482</v>
      </c>
      <c r="P688" s="7" t="s">
        <v>2522</v>
      </c>
      <c r="Q688" s="5">
        <v>77</v>
      </c>
      <c r="R688" s="10">
        <f t="shared" si="52"/>
        <v>192.5</v>
      </c>
      <c r="S688" s="5">
        <v>60</v>
      </c>
      <c r="T688" s="5" t="s">
        <v>45</v>
      </c>
      <c r="U688" s="11">
        <f t="shared" si="54"/>
        <v>42.5</v>
      </c>
    </row>
    <row r="689" spans="1:21" ht="16" x14ac:dyDescent="0.4">
      <c r="A689" s="2" t="s">
        <v>2523</v>
      </c>
      <c r="B689" s="3" t="s">
        <v>646</v>
      </c>
      <c r="C689" s="28" t="s">
        <v>65</v>
      </c>
      <c r="D689" s="2" t="s">
        <v>2524</v>
      </c>
      <c r="E689" s="4" t="s">
        <v>2525</v>
      </c>
      <c r="F689" s="5">
        <v>22</v>
      </c>
      <c r="G689" s="5">
        <v>43</v>
      </c>
      <c r="H689" s="5">
        <v>3</v>
      </c>
      <c r="I689" s="10">
        <v>4.0999999999999996</v>
      </c>
      <c r="J689" s="11">
        <f t="shared" si="53"/>
        <v>90.199999999999989</v>
      </c>
      <c r="K689" s="12" t="str">
        <f t="shared" si="50"/>
        <v>Low Stock_Reorder Needed</v>
      </c>
      <c r="L689" s="12">
        <f t="shared" si="51"/>
        <v>12.299999999999999</v>
      </c>
      <c r="M689" s="6">
        <v>45689</v>
      </c>
      <c r="N689" s="6">
        <v>45499</v>
      </c>
      <c r="O689" s="6">
        <v>45573</v>
      </c>
      <c r="P689" s="7" t="s">
        <v>2526</v>
      </c>
      <c r="Q689" s="5">
        <v>45</v>
      </c>
      <c r="R689" s="10">
        <f t="shared" si="52"/>
        <v>184.49999999999997</v>
      </c>
      <c r="S689" s="5">
        <v>87</v>
      </c>
      <c r="T689" s="5" t="s">
        <v>39</v>
      </c>
      <c r="U689" s="11">
        <f t="shared" si="54"/>
        <v>94.299999999999983</v>
      </c>
    </row>
    <row r="690" spans="1:21" ht="16" x14ac:dyDescent="0.4">
      <c r="A690" s="2" t="s">
        <v>2527</v>
      </c>
      <c r="B690" s="3" t="s">
        <v>502</v>
      </c>
      <c r="C690" s="28" t="s">
        <v>23</v>
      </c>
      <c r="D690" s="2" t="s">
        <v>2528</v>
      </c>
      <c r="E690" s="4" t="s">
        <v>2529</v>
      </c>
      <c r="F690" s="5">
        <v>79</v>
      </c>
      <c r="G690" s="5">
        <v>47</v>
      </c>
      <c r="H690" s="5">
        <v>51</v>
      </c>
      <c r="I690" s="10">
        <v>9.5</v>
      </c>
      <c r="J690" s="11">
        <f t="shared" si="53"/>
        <v>750.5</v>
      </c>
      <c r="K690" s="12" t="str">
        <f t="shared" si="50"/>
        <v>Stock_Sufficient</v>
      </c>
      <c r="L690" s="12">
        <f t="shared" si="51"/>
        <v>484.5</v>
      </c>
      <c r="M690" s="6">
        <v>45492</v>
      </c>
      <c r="N690" s="6">
        <v>45704</v>
      </c>
      <c r="O690" s="6">
        <v>45685</v>
      </c>
      <c r="P690" s="7" t="s">
        <v>2530</v>
      </c>
      <c r="Q690" s="5">
        <v>83</v>
      </c>
      <c r="R690" s="10">
        <f t="shared" si="52"/>
        <v>788.5</v>
      </c>
      <c r="S690" s="5">
        <v>69</v>
      </c>
      <c r="T690" s="5" t="s">
        <v>27</v>
      </c>
      <c r="U690" s="11">
        <f t="shared" si="54"/>
        <v>38</v>
      </c>
    </row>
    <row r="691" spans="1:21" ht="16" x14ac:dyDescent="0.4">
      <c r="A691" s="2" t="s">
        <v>2531</v>
      </c>
      <c r="B691" s="3" t="s">
        <v>350</v>
      </c>
      <c r="C691" s="28" t="s">
        <v>48</v>
      </c>
      <c r="D691" s="2" t="s">
        <v>2532</v>
      </c>
      <c r="E691" s="4" t="s">
        <v>2043</v>
      </c>
      <c r="F691" s="5">
        <v>47</v>
      </c>
      <c r="G691" s="5">
        <v>63</v>
      </c>
      <c r="H691" s="5">
        <v>86</v>
      </c>
      <c r="I691" s="10">
        <v>4</v>
      </c>
      <c r="J691" s="11">
        <f t="shared" si="53"/>
        <v>188</v>
      </c>
      <c r="K691" s="12" t="str">
        <f t="shared" si="50"/>
        <v>Low Stock_Reorder Needed</v>
      </c>
      <c r="L691" s="12">
        <f t="shared" si="51"/>
        <v>344</v>
      </c>
      <c r="M691" s="6">
        <v>45431</v>
      </c>
      <c r="N691" s="6">
        <v>45701</v>
      </c>
      <c r="O691" s="6">
        <v>45419</v>
      </c>
      <c r="P691" s="7" t="s">
        <v>2533</v>
      </c>
      <c r="Q691" s="5">
        <v>76</v>
      </c>
      <c r="R691" s="10">
        <f t="shared" si="52"/>
        <v>304</v>
      </c>
      <c r="S691" s="5">
        <v>29</v>
      </c>
      <c r="T691" s="5" t="s">
        <v>45</v>
      </c>
      <c r="U691" s="11">
        <f t="shared" si="54"/>
        <v>116</v>
      </c>
    </row>
    <row r="692" spans="1:21" ht="16" x14ac:dyDescent="0.4">
      <c r="A692" s="2" t="s">
        <v>2534</v>
      </c>
      <c r="B692" s="3" t="s">
        <v>468</v>
      </c>
      <c r="C692" s="28" t="s">
        <v>23</v>
      </c>
      <c r="D692" s="2" t="s">
        <v>2535</v>
      </c>
      <c r="E692" s="4" t="s">
        <v>2269</v>
      </c>
      <c r="F692" s="5">
        <v>20</v>
      </c>
      <c r="G692" s="5">
        <v>25</v>
      </c>
      <c r="H692" s="5">
        <v>73</v>
      </c>
      <c r="I692" s="10">
        <v>4.75</v>
      </c>
      <c r="J692" s="11">
        <f t="shared" si="53"/>
        <v>95</v>
      </c>
      <c r="K692" s="12" t="str">
        <f t="shared" si="50"/>
        <v>Low Stock_Reorder Needed</v>
      </c>
      <c r="L692" s="12">
        <f t="shared" si="51"/>
        <v>346.75</v>
      </c>
      <c r="M692" s="6">
        <v>45573</v>
      </c>
      <c r="N692" s="6">
        <v>45475</v>
      </c>
      <c r="O692" s="6">
        <v>45560</v>
      </c>
      <c r="P692" s="7" t="s">
        <v>2536</v>
      </c>
      <c r="Q692" s="5">
        <v>78</v>
      </c>
      <c r="R692" s="10">
        <f t="shared" si="52"/>
        <v>370.5</v>
      </c>
      <c r="S692" s="5">
        <v>1</v>
      </c>
      <c r="T692" s="5" t="s">
        <v>27</v>
      </c>
      <c r="U692" s="11">
        <f t="shared" si="54"/>
        <v>275.5</v>
      </c>
    </row>
    <row r="693" spans="1:21" ht="16" x14ac:dyDescent="0.4">
      <c r="A693" s="2" t="s">
        <v>2537</v>
      </c>
      <c r="B693" s="3" t="s">
        <v>613</v>
      </c>
      <c r="C693" s="28" t="s">
        <v>65</v>
      </c>
      <c r="D693" s="2" t="s">
        <v>2538</v>
      </c>
      <c r="E693" s="4" t="s">
        <v>140</v>
      </c>
      <c r="F693" s="5">
        <v>41</v>
      </c>
      <c r="G693" s="5">
        <v>22</v>
      </c>
      <c r="H693" s="5">
        <v>11</v>
      </c>
      <c r="I693" s="10">
        <v>7</v>
      </c>
      <c r="J693" s="11">
        <f t="shared" si="53"/>
        <v>287</v>
      </c>
      <c r="K693" s="12" t="str">
        <f t="shared" si="50"/>
        <v>Stock_Sufficient</v>
      </c>
      <c r="L693" s="12">
        <f t="shared" si="51"/>
        <v>77</v>
      </c>
      <c r="M693" s="6">
        <v>45462</v>
      </c>
      <c r="N693" s="6">
        <v>45405</v>
      </c>
      <c r="O693" s="6">
        <v>45399</v>
      </c>
      <c r="P693" s="7" t="s">
        <v>2539</v>
      </c>
      <c r="Q693" s="5">
        <v>86</v>
      </c>
      <c r="R693" s="10">
        <f t="shared" si="52"/>
        <v>602</v>
      </c>
      <c r="S693" s="5">
        <v>30</v>
      </c>
      <c r="T693" s="5" t="s">
        <v>45</v>
      </c>
      <c r="U693" s="11">
        <f t="shared" si="54"/>
        <v>315</v>
      </c>
    </row>
    <row r="694" spans="1:21" ht="16" x14ac:dyDescent="0.4">
      <c r="A694" s="2" t="s">
        <v>2540</v>
      </c>
      <c r="B694" s="3" t="s">
        <v>509</v>
      </c>
      <c r="C694" s="28" t="s">
        <v>133</v>
      </c>
      <c r="D694" s="2" t="s">
        <v>2541</v>
      </c>
      <c r="E694" s="4" t="s">
        <v>1596</v>
      </c>
      <c r="F694" s="5">
        <v>46</v>
      </c>
      <c r="G694" s="5">
        <v>80</v>
      </c>
      <c r="H694" s="5">
        <v>88</v>
      </c>
      <c r="I694" s="10">
        <v>7</v>
      </c>
      <c r="J694" s="11">
        <f t="shared" si="53"/>
        <v>322</v>
      </c>
      <c r="K694" s="12" t="str">
        <f t="shared" si="50"/>
        <v>Low Stock_Reorder Needed</v>
      </c>
      <c r="L694" s="12">
        <f t="shared" si="51"/>
        <v>616</v>
      </c>
      <c r="M694" s="6">
        <v>45554</v>
      </c>
      <c r="N694" s="6">
        <v>45450</v>
      </c>
      <c r="O694" s="6">
        <v>45460</v>
      </c>
      <c r="P694" s="7" t="s">
        <v>2542</v>
      </c>
      <c r="Q694" s="5">
        <v>62</v>
      </c>
      <c r="R694" s="10">
        <f t="shared" si="52"/>
        <v>434</v>
      </c>
      <c r="S694" s="5">
        <v>22</v>
      </c>
      <c r="T694" s="5" t="s">
        <v>27</v>
      </c>
      <c r="U694" s="11">
        <f t="shared" si="54"/>
        <v>112</v>
      </c>
    </row>
    <row r="695" spans="1:21" ht="16" x14ac:dyDescent="0.4">
      <c r="A695" s="2" t="s">
        <v>2543</v>
      </c>
      <c r="B695" s="3" t="s">
        <v>456</v>
      </c>
      <c r="C695" s="28" t="s">
        <v>59</v>
      </c>
      <c r="D695" s="2" t="s">
        <v>2544</v>
      </c>
      <c r="E695" s="4" t="s">
        <v>339</v>
      </c>
      <c r="F695" s="5">
        <v>67</v>
      </c>
      <c r="G695" s="5">
        <v>57</v>
      </c>
      <c r="H695" s="5">
        <v>36</v>
      </c>
      <c r="I695" s="10">
        <v>1.8</v>
      </c>
      <c r="J695" s="11">
        <f t="shared" si="53"/>
        <v>120.60000000000001</v>
      </c>
      <c r="K695" s="12" t="str">
        <f t="shared" si="50"/>
        <v>Stock_Sufficient</v>
      </c>
      <c r="L695" s="12">
        <f t="shared" si="51"/>
        <v>64.8</v>
      </c>
      <c r="M695" s="6">
        <v>45506</v>
      </c>
      <c r="N695" s="6">
        <v>45392</v>
      </c>
      <c r="O695" s="6">
        <v>45439</v>
      </c>
      <c r="P695" s="7" t="s">
        <v>2545</v>
      </c>
      <c r="Q695" s="5">
        <v>78</v>
      </c>
      <c r="R695" s="10">
        <f t="shared" si="52"/>
        <v>140.4</v>
      </c>
      <c r="S695" s="5">
        <v>60</v>
      </c>
      <c r="T695" s="5" t="s">
        <v>45</v>
      </c>
      <c r="U695" s="11">
        <f t="shared" si="54"/>
        <v>19.799999999999997</v>
      </c>
    </row>
    <row r="696" spans="1:21" ht="16" x14ac:dyDescent="0.4">
      <c r="A696" s="2" t="s">
        <v>2546</v>
      </c>
      <c r="B696" s="3" t="s">
        <v>386</v>
      </c>
      <c r="C696" s="28" t="s">
        <v>23</v>
      </c>
      <c r="D696" s="2" t="s">
        <v>2547</v>
      </c>
      <c r="E696" s="4" t="s">
        <v>2548</v>
      </c>
      <c r="F696" s="5">
        <v>51</v>
      </c>
      <c r="G696" s="5">
        <v>19</v>
      </c>
      <c r="H696" s="5">
        <v>96</v>
      </c>
      <c r="I696" s="10">
        <v>4.5</v>
      </c>
      <c r="J696" s="11">
        <f t="shared" si="53"/>
        <v>229.5</v>
      </c>
      <c r="K696" s="12" t="str">
        <f t="shared" si="50"/>
        <v>Stock_Sufficient</v>
      </c>
      <c r="L696" s="12">
        <f t="shared" si="51"/>
        <v>432</v>
      </c>
      <c r="M696" s="6">
        <v>45619</v>
      </c>
      <c r="N696" s="6">
        <v>45697</v>
      </c>
      <c r="O696" s="6">
        <v>45469</v>
      </c>
      <c r="P696" s="7" t="s">
        <v>2549</v>
      </c>
      <c r="Q696" s="5">
        <v>73</v>
      </c>
      <c r="R696" s="10">
        <f t="shared" si="52"/>
        <v>328.5</v>
      </c>
      <c r="S696" s="5">
        <v>42</v>
      </c>
      <c r="T696" s="5" t="s">
        <v>45</v>
      </c>
      <c r="U696" s="11">
        <f t="shared" si="54"/>
        <v>99</v>
      </c>
    </row>
    <row r="697" spans="1:21" ht="16" x14ac:dyDescent="0.4">
      <c r="A697" s="2" t="s">
        <v>2550</v>
      </c>
      <c r="B697" s="3" t="s">
        <v>84</v>
      </c>
      <c r="C697" s="28" t="s">
        <v>23</v>
      </c>
      <c r="D697" s="2" t="s">
        <v>2551</v>
      </c>
      <c r="E697" s="4" t="s">
        <v>787</v>
      </c>
      <c r="F697" s="5">
        <v>42</v>
      </c>
      <c r="G697" s="5">
        <v>12</v>
      </c>
      <c r="H697" s="5">
        <v>28</v>
      </c>
      <c r="I697" s="10">
        <v>2</v>
      </c>
      <c r="J697" s="11">
        <f t="shared" si="53"/>
        <v>84</v>
      </c>
      <c r="K697" s="12" t="str">
        <f t="shared" si="50"/>
        <v>Stock_Sufficient</v>
      </c>
      <c r="L697" s="12">
        <f t="shared" si="51"/>
        <v>56</v>
      </c>
      <c r="M697" s="6">
        <v>45361</v>
      </c>
      <c r="N697" s="6">
        <v>45383</v>
      </c>
      <c r="O697" s="6">
        <v>45422</v>
      </c>
      <c r="P697" s="7" t="s">
        <v>2552</v>
      </c>
      <c r="Q697" s="5">
        <v>80</v>
      </c>
      <c r="R697" s="10">
        <f t="shared" si="52"/>
        <v>160</v>
      </c>
      <c r="S697" s="5">
        <v>8</v>
      </c>
      <c r="T697" s="5" t="s">
        <v>27</v>
      </c>
      <c r="U697" s="11">
        <f t="shared" si="54"/>
        <v>76</v>
      </c>
    </row>
    <row r="698" spans="1:21" ht="16" x14ac:dyDescent="0.4">
      <c r="A698" s="2" t="s">
        <v>2553</v>
      </c>
      <c r="B698" s="3" t="s">
        <v>738</v>
      </c>
      <c r="C698" s="28" t="s">
        <v>59</v>
      </c>
      <c r="D698" s="2" t="s">
        <v>2554</v>
      </c>
      <c r="E698" s="4" t="s">
        <v>2555</v>
      </c>
      <c r="F698" s="5">
        <v>85</v>
      </c>
      <c r="G698" s="5">
        <v>86</v>
      </c>
      <c r="H698" s="5">
        <v>21</v>
      </c>
      <c r="I698" s="10">
        <v>6.5</v>
      </c>
      <c r="J698" s="11">
        <f t="shared" si="53"/>
        <v>552.5</v>
      </c>
      <c r="K698" s="12" t="str">
        <f t="shared" si="50"/>
        <v>Low Stock_Reorder Needed</v>
      </c>
      <c r="L698" s="12">
        <f t="shared" si="51"/>
        <v>136.5</v>
      </c>
      <c r="M698" s="6">
        <v>45473</v>
      </c>
      <c r="N698" s="6">
        <v>45497</v>
      </c>
      <c r="O698" s="6">
        <v>45491</v>
      </c>
      <c r="P698" s="7" t="s">
        <v>2556</v>
      </c>
      <c r="Q698" s="5">
        <v>78</v>
      </c>
      <c r="R698" s="10">
        <f t="shared" si="52"/>
        <v>507</v>
      </c>
      <c r="S698" s="5">
        <v>53</v>
      </c>
      <c r="T698" s="5" t="s">
        <v>39</v>
      </c>
      <c r="U698" s="11">
        <f t="shared" si="54"/>
        <v>-45.5</v>
      </c>
    </row>
    <row r="699" spans="1:21" ht="16" x14ac:dyDescent="0.4">
      <c r="A699" s="2" t="s">
        <v>2557</v>
      </c>
      <c r="B699" s="3" t="s">
        <v>865</v>
      </c>
      <c r="C699" s="28" t="s">
        <v>59</v>
      </c>
      <c r="D699" s="2" t="s">
        <v>2558</v>
      </c>
      <c r="E699" s="4" t="s">
        <v>758</v>
      </c>
      <c r="F699" s="5">
        <v>23</v>
      </c>
      <c r="G699" s="5">
        <v>43</v>
      </c>
      <c r="H699" s="5">
        <v>75</v>
      </c>
      <c r="I699" s="10">
        <v>2.5</v>
      </c>
      <c r="J699" s="11">
        <f t="shared" si="53"/>
        <v>57.5</v>
      </c>
      <c r="K699" s="12" t="str">
        <f t="shared" si="50"/>
        <v>Low Stock_Reorder Needed</v>
      </c>
      <c r="L699" s="12">
        <f t="shared" si="51"/>
        <v>187.5</v>
      </c>
      <c r="M699" s="6">
        <v>45604</v>
      </c>
      <c r="N699" s="6">
        <v>45596</v>
      </c>
      <c r="O699" s="6">
        <v>45385</v>
      </c>
      <c r="P699" s="7" t="s">
        <v>2559</v>
      </c>
      <c r="Q699" s="5">
        <v>91</v>
      </c>
      <c r="R699" s="10">
        <f t="shared" si="52"/>
        <v>227.5</v>
      </c>
      <c r="S699" s="5">
        <v>86</v>
      </c>
      <c r="T699" s="5" t="s">
        <v>27</v>
      </c>
      <c r="U699" s="11">
        <f t="shared" si="54"/>
        <v>170</v>
      </c>
    </row>
    <row r="700" spans="1:21" ht="16" x14ac:dyDescent="0.4">
      <c r="A700" s="2" t="s">
        <v>2560</v>
      </c>
      <c r="B700" s="3" t="s">
        <v>369</v>
      </c>
      <c r="C700" s="28" t="s">
        <v>48</v>
      </c>
      <c r="D700" s="2" t="s">
        <v>2561</v>
      </c>
      <c r="E700" s="4" t="s">
        <v>1774</v>
      </c>
      <c r="F700" s="5">
        <v>84</v>
      </c>
      <c r="G700" s="5">
        <v>26</v>
      </c>
      <c r="H700" s="5">
        <v>37</v>
      </c>
      <c r="I700" s="10">
        <v>4.5</v>
      </c>
      <c r="J700" s="11">
        <f t="shared" si="53"/>
        <v>378</v>
      </c>
      <c r="K700" s="12" t="str">
        <f t="shared" si="50"/>
        <v>Stock_Sufficient</v>
      </c>
      <c r="L700" s="12">
        <f t="shared" si="51"/>
        <v>166.5</v>
      </c>
      <c r="M700" s="6">
        <v>45397</v>
      </c>
      <c r="N700" s="6">
        <v>45349</v>
      </c>
      <c r="O700" s="6">
        <v>45681</v>
      </c>
      <c r="P700" s="7" t="s">
        <v>2562</v>
      </c>
      <c r="Q700" s="5">
        <v>46</v>
      </c>
      <c r="R700" s="10">
        <f t="shared" si="52"/>
        <v>207</v>
      </c>
      <c r="S700" s="5">
        <v>67</v>
      </c>
      <c r="T700" s="5" t="s">
        <v>39</v>
      </c>
      <c r="U700" s="11">
        <f t="shared" si="54"/>
        <v>-171</v>
      </c>
    </row>
    <row r="701" spans="1:21" ht="16" x14ac:dyDescent="0.4">
      <c r="A701" s="2" t="s">
        <v>2563</v>
      </c>
      <c r="B701" s="3" t="s">
        <v>70</v>
      </c>
      <c r="C701" s="28" t="s">
        <v>48</v>
      </c>
      <c r="D701" s="2" t="s">
        <v>2564</v>
      </c>
      <c r="E701" s="4" t="s">
        <v>2565</v>
      </c>
      <c r="F701" s="5">
        <v>28</v>
      </c>
      <c r="G701" s="5">
        <v>38</v>
      </c>
      <c r="H701" s="5">
        <v>23</v>
      </c>
      <c r="I701" s="10">
        <v>42.58</v>
      </c>
      <c r="J701" s="11">
        <f t="shared" si="53"/>
        <v>1192.24</v>
      </c>
      <c r="K701" s="12" t="str">
        <f t="shared" si="50"/>
        <v>Low Stock_Reorder Needed</v>
      </c>
      <c r="L701" s="12">
        <f t="shared" si="51"/>
        <v>979.33999999999992</v>
      </c>
      <c r="M701" s="6">
        <v>45593</v>
      </c>
      <c r="N701" s="6">
        <v>45641</v>
      </c>
      <c r="O701" s="6">
        <v>45512</v>
      </c>
      <c r="P701" s="7" t="s">
        <v>2566</v>
      </c>
      <c r="Q701" s="5">
        <v>48</v>
      </c>
      <c r="R701" s="10">
        <f t="shared" si="52"/>
        <v>2043.84</v>
      </c>
      <c r="S701" s="5">
        <v>56</v>
      </c>
      <c r="T701" s="5" t="s">
        <v>39</v>
      </c>
      <c r="U701" s="11">
        <f t="shared" si="54"/>
        <v>851.59999999999991</v>
      </c>
    </row>
    <row r="702" spans="1:21" ht="16" x14ac:dyDescent="0.4">
      <c r="A702" s="2" t="s">
        <v>2567</v>
      </c>
      <c r="B702" s="3" t="s">
        <v>283</v>
      </c>
      <c r="C702" s="28" t="s">
        <v>90</v>
      </c>
      <c r="D702" s="2" t="s">
        <v>2568</v>
      </c>
      <c r="E702" s="4" t="s">
        <v>1284</v>
      </c>
      <c r="F702" s="5">
        <v>62</v>
      </c>
      <c r="G702" s="5">
        <v>49</v>
      </c>
      <c r="H702" s="5">
        <v>38</v>
      </c>
      <c r="I702" s="10">
        <v>2.5</v>
      </c>
      <c r="J702" s="11">
        <f t="shared" si="53"/>
        <v>155</v>
      </c>
      <c r="K702" s="12" t="str">
        <f t="shared" si="50"/>
        <v>Stock_Sufficient</v>
      </c>
      <c r="L702" s="12">
        <f t="shared" si="51"/>
        <v>95</v>
      </c>
      <c r="M702" s="6">
        <v>45642</v>
      </c>
      <c r="N702" s="6">
        <v>45441</v>
      </c>
      <c r="O702" s="6">
        <v>45574</v>
      </c>
      <c r="P702" s="7" t="s">
        <v>2569</v>
      </c>
      <c r="Q702" s="5">
        <v>42</v>
      </c>
      <c r="R702" s="10">
        <f t="shared" si="52"/>
        <v>105</v>
      </c>
      <c r="S702" s="5">
        <v>44</v>
      </c>
      <c r="T702" s="5" t="s">
        <v>27</v>
      </c>
      <c r="U702" s="11">
        <f t="shared" si="54"/>
        <v>-50</v>
      </c>
    </row>
    <row r="703" spans="1:21" ht="16" x14ac:dyDescent="0.4">
      <c r="A703" s="2" t="s">
        <v>2570</v>
      </c>
      <c r="B703" s="3" t="s">
        <v>64</v>
      </c>
      <c r="C703" s="28" t="s">
        <v>65</v>
      </c>
      <c r="D703" s="2" t="s">
        <v>2571</v>
      </c>
      <c r="E703" s="4" t="s">
        <v>1225</v>
      </c>
      <c r="F703" s="5">
        <v>65</v>
      </c>
      <c r="G703" s="5">
        <v>94</v>
      </c>
      <c r="H703" s="5">
        <v>4</v>
      </c>
      <c r="I703" s="10">
        <v>2.5</v>
      </c>
      <c r="J703" s="11">
        <f t="shared" si="53"/>
        <v>162.5</v>
      </c>
      <c r="K703" s="12" t="str">
        <f t="shared" si="50"/>
        <v>Low Stock_Reorder Needed</v>
      </c>
      <c r="L703" s="12">
        <f t="shared" si="51"/>
        <v>10</v>
      </c>
      <c r="M703" s="6">
        <v>45504</v>
      </c>
      <c r="N703" s="6">
        <v>45687</v>
      </c>
      <c r="O703" s="6">
        <v>45654</v>
      </c>
      <c r="P703" s="7" t="s">
        <v>2572</v>
      </c>
      <c r="Q703" s="5">
        <v>66</v>
      </c>
      <c r="R703" s="10">
        <f t="shared" si="52"/>
        <v>165</v>
      </c>
      <c r="S703" s="5">
        <v>36</v>
      </c>
      <c r="T703" s="5" t="s">
        <v>39</v>
      </c>
      <c r="U703" s="11">
        <f t="shared" si="54"/>
        <v>2.5</v>
      </c>
    </row>
    <row r="704" spans="1:21" ht="16" x14ac:dyDescent="0.4">
      <c r="A704" s="2" t="s">
        <v>2573</v>
      </c>
      <c r="B704" s="3" t="s">
        <v>882</v>
      </c>
      <c r="C704" s="28" t="s">
        <v>48</v>
      </c>
      <c r="D704" s="2" t="s">
        <v>2574</v>
      </c>
      <c r="E704" s="4" t="s">
        <v>2575</v>
      </c>
      <c r="F704" s="5">
        <v>18</v>
      </c>
      <c r="G704" s="5">
        <v>8</v>
      </c>
      <c r="H704" s="5">
        <v>68</v>
      </c>
      <c r="I704" s="10">
        <v>2</v>
      </c>
      <c r="J704" s="11">
        <f t="shared" si="53"/>
        <v>36</v>
      </c>
      <c r="K704" s="12" t="str">
        <f t="shared" si="50"/>
        <v>Stock_Sufficient</v>
      </c>
      <c r="L704" s="12">
        <f t="shared" si="51"/>
        <v>136</v>
      </c>
      <c r="M704" s="6">
        <v>45445</v>
      </c>
      <c r="N704" s="6">
        <v>45568</v>
      </c>
      <c r="O704" s="6">
        <v>45401</v>
      </c>
      <c r="P704" s="7" t="s">
        <v>2576</v>
      </c>
      <c r="Q704" s="5">
        <v>54</v>
      </c>
      <c r="R704" s="10">
        <f t="shared" si="52"/>
        <v>108</v>
      </c>
      <c r="S704" s="5">
        <v>45</v>
      </c>
      <c r="T704" s="5" t="s">
        <v>39</v>
      </c>
      <c r="U704" s="11">
        <f t="shared" si="54"/>
        <v>72</v>
      </c>
    </row>
    <row r="705" spans="1:21" ht="16" x14ac:dyDescent="0.4">
      <c r="A705" s="2" t="s">
        <v>2577</v>
      </c>
      <c r="B705" s="3" t="s">
        <v>2289</v>
      </c>
      <c r="C705" s="28" t="s">
        <v>65</v>
      </c>
      <c r="D705" s="2" t="s">
        <v>2578</v>
      </c>
      <c r="E705" s="4" t="s">
        <v>2579</v>
      </c>
      <c r="F705" s="5">
        <v>70</v>
      </c>
      <c r="G705" s="5">
        <v>29</v>
      </c>
      <c r="H705" s="5">
        <v>24</v>
      </c>
      <c r="I705" s="10">
        <v>0.2</v>
      </c>
      <c r="J705" s="11">
        <f t="shared" si="53"/>
        <v>14</v>
      </c>
      <c r="K705" s="12" t="str">
        <f t="shared" si="50"/>
        <v>Stock_Sufficient</v>
      </c>
      <c r="L705" s="12">
        <f t="shared" si="51"/>
        <v>4.8000000000000007</v>
      </c>
      <c r="M705" s="6">
        <v>45382</v>
      </c>
      <c r="N705" s="6">
        <v>45591</v>
      </c>
      <c r="O705" s="6">
        <v>45552</v>
      </c>
      <c r="P705" s="7" t="s">
        <v>2580</v>
      </c>
      <c r="Q705" s="5">
        <v>62</v>
      </c>
      <c r="R705" s="10">
        <f t="shared" si="52"/>
        <v>12.4</v>
      </c>
      <c r="S705" s="5">
        <v>55</v>
      </c>
      <c r="T705" s="5" t="s">
        <v>39</v>
      </c>
      <c r="U705" s="11">
        <f t="shared" si="54"/>
        <v>-1.5999999999999996</v>
      </c>
    </row>
    <row r="706" spans="1:21" ht="16" x14ac:dyDescent="0.4">
      <c r="A706" s="2" t="s">
        <v>2581</v>
      </c>
      <c r="B706" s="3" t="s">
        <v>711</v>
      </c>
      <c r="C706" s="28" t="s">
        <v>59</v>
      </c>
      <c r="D706" s="2" t="s">
        <v>2582</v>
      </c>
      <c r="E706" s="4" t="s">
        <v>1012</v>
      </c>
      <c r="F706" s="5">
        <v>23</v>
      </c>
      <c r="G706" s="5">
        <v>71</v>
      </c>
      <c r="H706" s="5">
        <v>32</v>
      </c>
      <c r="I706" s="10">
        <v>2</v>
      </c>
      <c r="J706" s="11">
        <f t="shared" si="53"/>
        <v>46</v>
      </c>
      <c r="K706" s="12" t="str">
        <f t="shared" ref="K706:K769" si="55">IF(F706&lt;=G706,"Low Stock_Reorder Needed","Stock_Sufficient")</f>
        <v>Low Stock_Reorder Needed</v>
      </c>
      <c r="L706" s="12">
        <f t="shared" ref="L706:L769" si="56">H706*I706</f>
        <v>64</v>
      </c>
      <c r="M706" s="6">
        <v>45396</v>
      </c>
      <c r="N706" s="6">
        <v>45673</v>
      </c>
      <c r="O706" s="6">
        <v>45522</v>
      </c>
      <c r="P706" s="7" t="s">
        <v>2583</v>
      </c>
      <c r="Q706" s="5">
        <v>63</v>
      </c>
      <c r="R706" s="10">
        <f t="shared" ref="R706:R769" si="57">Q706*I706</f>
        <v>126</v>
      </c>
      <c r="S706" s="5">
        <v>23</v>
      </c>
      <c r="T706" s="5" t="s">
        <v>27</v>
      </c>
      <c r="U706" s="11">
        <f t="shared" si="54"/>
        <v>80</v>
      </c>
    </row>
    <row r="707" spans="1:21" ht="16" x14ac:dyDescent="0.4">
      <c r="A707" s="2" t="s">
        <v>2584</v>
      </c>
      <c r="B707" s="3" t="s">
        <v>468</v>
      </c>
      <c r="C707" s="28" t="s">
        <v>23</v>
      </c>
      <c r="D707" s="2" t="s">
        <v>2585</v>
      </c>
      <c r="E707" s="4" t="s">
        <v>1025</v>
      </c>
      <c r="F707" s="5">
        <v>26</v>
      </c>
      <c r="G707" s="5">
        <v>83</v>
      </c>
      <c r="H707" s="5">
        <v>24</v>
      </c>
      <c r="I707" s="10">
        <v>4.75</v>
      </c>
      <c r="J707" s="11">
        <f t="shared" ref="J707:J770" si="58">I707*F707</f>
        <v>123.5</v>
      </c>
      <c r="K707" s="12" t="str">
        <f t="shared" si="55"/>
        <v>Low Stock_Reorder Needed</v>
      </c>
      <c r="L707" s="12">
        <f t="shared" si="56"/>
        <v>114</v>
      </c>
      <c r="M707" s="6">
        <v>45695</v>
      </c>
      <c r="N707" s="6">
        <v>45594</v>
      </c>
      <c r="O707" s="6">
        <v>45429</v>
      </c>
      <c r="P707" s="7" t="s">
        <v>2586</v>
      </c>
      <c r="Q707" s="5">
        <v>75</v>
      </c>
      <c r="R707" s="10">
        <f t="shared" si="57"/>
        <v>356.25</v>
      </c>
      <c r="S707" s="5">
        <v>12</v>
      </c>
      <c r="T707" s="5" t="s">
        <v>39</v>
      </c>
      <c r="U707" s="11">
        <f t="shared" ref="U707:U770" si="59">R707-J707</f>
        <v>232.75</v>
      </c>
    </row>
    <row r="708" spans="1:21" ht="16" x14ac:dyDescent="0.4">
      <c r="A708" s="2" t="s">
        <v>2587</v>
      </c>
      <c r="B708" s="3" t="s">
        <v>776</v>
      </c>
      <c r="C708" s="28" t="s">
        <v>30</v>
      </c>
      <c r="D708" s="2" t="s">
        <v>2588</v>
      </c>
      <c r="E708" s="4" t="s">
        <v>1918</v>
      </c>
      <c r="F708" s="5">
        <v>20</v>
      </c>
      <c r="G708" s="5">
        <v>42</v>
      </c>
      <c r="H708" s="5">
        <v>45</v>
      </c>
      <c r="I708" s="10">
        <v>10</v>
      </c>
      <c r="J708" s="11">
        <f t="shared" si="58"/>
        <v>200</v>
      </c>
      <c r="K708" s="12" t="str">
        <f t="shared" si="55"/>
        <v>Low Stock_Reorder Needed</v>
      </c>
      <c r="L708" s="12">
        <f t="shared" si="56"/>
        <v>450</v>
      </c>
      <c r="M708" s="6">
        <v>45373</v>
      </c>
      <c r="N708" s="6">
        <v>45468</v>
      </c>
      <c r="O708" s="6">
        <v>45557</v>
      </c>
      <c r="P708" s="7" t="s">
        <v>2589</v>
      </c>
      <c r="Q708" s="5">
        <v>72</v>
      </c>
      <c r="R708" s="10">
        <f t="shared" si="57"/>
        <v>720</v>
      </c>
      <c r="S708" s="5">
        <v>28</v>
      </c>
      <c r="T708" s="5" t="s">
        <v>27</v>
      </c>
      <c r="U708" s="11">
        <f t="shared" si="59"/>
        <v>520</v>
      </c>
    </row>
    <row r="709" spans="1:21" ht="16" x14ac:dyDescent="0.4">
      <c r="A709" s="2" t="s">
        <v>2590</v>
      </c>
      <c r="B709" s="3" t="s">
        <v>345</v>
      </c>
      <c r="C709" s="28" t="s">
        <v>65</v>
      </c>
      <c r="D709" s="2" t="s">
        <v>2591</v>
      </c>
      <c r="E709" s="4" t="s">
        <v>2592</v>
      </c>
      <c r="F709" s="5">
        <v>55</v>
      </c>
      <c r="G709" s="5">
        <v>58</v>
      </c>
      <c r="H709" s="5">
        <v>6</v>
      </c>
      <c r="I709" s="10">
        <v>7.2</v>
      </c>
      <c r="J709" s="11">
        <f t="shared" si="58"/>
        <v>396</v>
      </c>
      <c r="K709" s="12" t="str">
        <f t="shared" si="55"/>
        <v>Low Stock_Reorder Needed</v>
      </c>
      <c r="L709" s="12">
        <f t="shared" si="56"/>
        <v>43.2</v>
      </c>
      <c r="M709" s="6">
        <v>45674</v>
      </c>
      <c r="N709" s="6">
        <v>45485</v>
      </c>
      <c r="O709" s="6">
        <v>45558</v>
      </c>
      <c r="P709" s="7" t="s">
        <v>2593</v>
      </c>
      <c r="Q709" s="5">
        <v>48</v>
      </c>
      <c r="R709" s="10">
        <f t="shared" si="57"/>
        <v>345.6</v>
      </c>
      <c r="S709" s="5">
        <v>17</v>
      </c>
      <c r="T709" s="5" t="s">
        <v>27</v>
      </c>
      <c r="U709" s="11">
        <f t="shared" si="59"/>
        <v>-50.399999999999977</v>
      </c>
    </row>
    <row r="710" spans="1:21" ht="16" x14ac:dyDescent="0.4">
      <c r="A710" s="2" t="s">
        <v>2594</v>
      </c>
      <c r="B710" s="3" t="s">
        <v>772</v>
      </c>
      <c r="C710" s="28" t="s">
        <v>23</v>
      </c>
      <c r="D710" s="2" t="s">
        <v>2595</v>
      </c>
      <c r="E710" s="4" t="s">
        <v>2596</v>
      </c>
      <c r="F710" s="5">
        <v>82</v>
      </c>
      <c r="G710" s="5">
        <v>67</v>
      </c>
      <c r="H710" s="5">
        <v>67</v>
      </c>
      <c r="I710" s="10">
        <v>2.75</v>
      </c>
      <c r="J710" s="11">
        <f t="shared" si="58"/>
        <v>225.5</v>
      </c>
      <c r="K710" s="12" t="str">
        <f t="shared" si="55"/>
        <v>Stock_Sufficient</v>
      </c>
      <c r="L710" s="12">
        <f t="shared" si="56"/>
        <v>184.25</v>
      </c>
      <c r="M710" s="6">
        <v>45376</v>
      </c>
      <c r="N710" s="6">
        <v>45480</v>
      </c>
      <c r="O710" s="6">
        <v>45584</v>
      </c>
      <c r="P710" s="7" t="s">
        <v>2597</v>
      </c>
      <c r="Q710" s="5">
        <v>26</v>
      </c>
      <c r="R710" s="10">
        <f t="shared" si="57"/>
        <v>71.5</v>
      </c>
      <c r="S710" s="5">
        <v>1</v>
      </c>
      <c r="T710" s="5" t="s">
        <v>39</v>
      </c>
      <c r="U710" s="11">
        <f t="shared" si="59"/>
        <v>-154</v>
      </c>
    </row>
    <row r="711" spans="1:21" ht="16" x14ac:dyDescent="0.4">
      <c r="A711" s="2" t="s">
        <v>2598</v>
      </c>
      <c r="B711" s="3" t="s">
        <v>1480</v>
      </c>
      <c r="C711" s="28" t="s">
        <v>133</v>
      </c>
      <c r="D711" s="2" t="s">
        <v>2599</v>
      </c>
      <c r="E711" s="4" t="s">
        <v>2600</v>
      </c>
      <c r="F711" s="5">
        <v>73</v>
      </c>
      <c r="G711" s="5">
        <v>12</v>
      </c>
      <c r="H711" s="5">
        <v>28</v>
      </c>
      <c r="I711" s="10">
        <v>15</v>
      </c>
      <c r="J711" s="11">
        <f t="shared" si="58"/>
        <v>1095</v>
      </c>
      <c r="K711" s="12" t="str">
        <f t="shared" si="55"/>
        <v>Stock_Sufficient</v>
      </c>
      <c r="L711" s="12">
        <f t="shared" si="56"/>
        <v>420</v>
      </c>
      <c r="M711" s="6">
        <v>45550</v>
      </c>
      <c r="N711" s="6">
        <v>45451</v>
      </c>
      <c r="O711" s="6">
        <v>45625</v>
      </c>
      <c r="P711" s="7" t="s">
        <v>2601</v>
      </c>
      <c r="Q711" s="5">
        <v>89</v>
      </c>
      <c r="R711" s="10">
        <f t="shared" si="57"/>
        <v>1335</v>
      </c>
      <c r="S711" s="5">
        <v>92</v>
      </c>
      <c r="T711" s="5" t="s">
        <v>45</v>
      </c>
      <c r="U711" s="11">
        <f t="shared" si="59"/>
        <v>240</v>
      </c>
    </row>
    <row r="712" spans="1:21" ht="16" x14ac:dyDescent="0.4">
      <c r="A712" s="2" t="s">
        <v>2602</v>
      </c>
      <c r="B712" s="3" t="s">
        <v>337</v>
      </c>
      <c r="C712" s="28" t="s">
        <v>30</v>
      </c>
      <c r="D712" s="2" t="s">
        <v>2603</v>
      </c>
      <c r="E712" s="4" t="s">
        <v>2604</v>
      </c>
      <c r="F712" s="5">
        <v>81</v>
      </c>
      <c r="G712" s="5">
        <v>83</v>
      </c>
      <c r="H712" s="5">
        <v>36</v>
      </c>
      <c r="I712" s="10">
        <v>25</v>
      </c>
      <c r="J712" s="11">
        <f t="shared" si="58"/>
        <v>2025</v>
      </c>
      <c r="K712" s="12" t="str">
        <f t="shared" si="55"/>
        <v>Low Stock_Reorder Needed</v>
      </c>
      <c r="L712" s="12">
        <f t="shared" si="56"/>
        <v>900</v>
      </c>
      <c r="M712" s="6">
        <v>45591</v>
      </c>
      <c r="N712" s="6">
        <v>45664</v>
      </c>
      <c r="O712" s="6">
        <v>45581</v>
      </c>
      <c r="P712" s="7" t="s">
        <v>2605</v>
      </c>
      <c r="Q712" s="5">
        <v>74</v>
      </c>
      <c r="R712" s="10">
        <f t="shared" si="57"/>
        <v>1850</v>
      </c>
      <c r="S712" s="5">
        <v>86</v>
      </c>
      <c r="T712" s="5" t="s">
        <v>39</v>
      </c>
      <c r="U712" s="11">
        <f t="shared" si="59"/>
        <v>-175</v>
      </c>
    </row>
    <row r="713" spans="1:21" ht="16" x14ac:dyDescent="0.4">
      <c r="A713" s="2" t="s">
        <v>2606</v>
      </c>
      <c r="B713" s="3" t="s">
        <v>202</v>
      </c>
      <c r="C713" s="28" t="s">
        <v>48</v>
      </c>
      <c r="D713" s="2" t="s">
        <v>2607</v>
      </c>
      <c r="E713" s="4" t="s">
        <v>915</v>
      </c>
      <c r="F713" s="5">
        <v>20</v>
      </c>
      <c r="G713" s="5">
        <v>65</v>
      </c>
      <c r="H713" s="5">
        <v>61</v>
      </c>
      <c r="I713" s="10">
        <v>2</v>
      </c>
      <c r="J713" s="11">
        <f t="shared" si="58"/>
        <v>40</v>
      </c>
      <c r="K713" s="12" t="str">
        <f t="shared" si="55"/>
        <v>Low Stock_Reorder Needed</v>
      </c>
      <c r="L713" s="12">
        <f t="shared" si="56"/>
        <v>122</v>
      </c>
      <c r="M713" s="6">
        <v>45477</v>
      </c>
      <c r="N713" s="6">
        <v>45483</v>
      </c>
      <c r="O713" s="6">
        <v>45580</v>
      </c>
      <c r="P713" s="7" t="s">
        <v>2608</v>
      </c>
      <c r="Q713" s="5">
        <v>51</v>
      </c>
      <c r="R713" s="10">
        <f t="shared" si="57"/>
        <v>102</v>
      </c>
      <c r="S713" s="5">
        <v>78</v>
      </c>
      <c r="T713" s="5" t="s">
        <v>45</v>
      </c>
      <c r="U713" s="11">
        <f t="shared" si="59"/>
        <v>62</v>
      </c>
    </row>
    <row r="714" spans="1:21" ht="16" x14ac:dyDescent="0.4">
      <c r="A714" s="2" t="s">
        <v>2609</v>
      </c>
      <c r="B714" s="3" t="s">
        <v>235</v>
      </c>
      <c r="C714" s="28" t="s">
        <v>30</v>
      </c>
      <c r="D714" s="2" t="s">
        <v>2610</v>
      </c>
      <c r="E714" s="4" t="s">
        <v>1640</v>
      </c>
      <c r="F714" s="5">
        <v>78</v>
      </c>
      <c r="G714" s="5">
        <v>38</v>
      </c>
      <c r="H714" s="5">
        <v>27</v>
      </c>
      <c r="I714" s="10">
        <v>15</v>
      </c>
      <c r="J714" s="11">
        <f t="shared" si="58"/>
        <v>1170</v>
      </c>
      <c r="K714" s="12" t="str">
        <f t="shared" si="55"/>
        <v>Stock_Sufficient</v>
      </c>
      <c r="L714" s="12">
        <f t="shared" si="56"/>
        <v>405</v>
      </c>
      <c r="M714" s="6">
        <v>45388</v>
      </c>
      <c r="N714" s="6">
        <v>45482</v>
      </c>
      <c r="O714" s="6">
        <v>45547</v>
      </c>
      <c r="P714" s="7" t="s">
        <v>2611</v>
      </c>
      <c r="Q714" s="5">
        <v>54</v>
      </c>
      <c r="R714" s="10">
        <f t="shared" si="57"/>
        <v>810</v>
      </c>
      <c r="S714" s="5">
        <v>42</v>
      </c>
      <c r="T714" s="5" t="s">
        <v>45</v>
      </c>
      <c r="U714" s="11">
        <f t="shared" si="59"/>
        <v>-360</v>
      </c>
    </row>
    <row r="715" spans="1:21" ht="16" x14ac:dyDescent="0.4">
      <c r="A715" s="2" t="s">
        <v>2612</v>
      </c>
      <c r="B715" s="3" t="s">
        <v>398</v>
      </c>
      <c r="C715" s="28" t="s">
        <v>90</v>
      </c>
      <c r="D715" s="2" t="s">
        <v>2613</v>
      </c>
      <c r="E715" s="4" t="s">
        <v>2614</v>
      </c>
      <c r="F715" s="5">
        <v>84</v>
      </c>
      <c r="G715" s="5">
        <v>58</v>
      </c>
      <c r="H715" s="5">
        <v>28</v>
      </c>
      <c r="I715" s="10">
        <v>6</v>
      </c>
      <c r="J715" s="11">
        <f t="shared" si="58"/>
        <v>504</v>
      </c>
      <c r="K715" s="12" t="str">
        <f t="shared" si="55"/>
        <v>Stock_Sufficient</v>
      </c>
      <c r="L715" s="12">
        <f t="shared" si="56"/>
        <v>168</v>
      </c>
      <c r="M715" s="6">
        <v>45399</v>
      </c>
      <c r="N715" s="6">
        <v>45692</v>
      </c>
      <c r="O715" s="6">
        <v>45437</v>
      </c>
      <c r="P715" s="7" t="s">
        <v>2615</v>
      </c>
      <c r="Q715" s="5">
        <v>51</v>
      </c>
      <c r="R715" s="10">
        <f t="shared" si="57"/>
        <v>306</v>
      </c>
      <c r="S715" s="5">
        <v>12</v>
      </c>
      <c r="T715" s="5" t="s">
        <v>45</v>
      </c>
      <c r="U715" s="11">
        <f t="shared" si="59"/>
        <v>-198</v>
      </c>
    </row>
    <row r="716" spans="1:21" ht="16" x14ac:dyDescent="0.4">
      <c r="A716" s="2" t="s">
        <v>2616</v>
      </c>
      <c r="B716" s="3" t="s">
        <v>58</v>
      </c>
      <c r="C716" s="28" t="s">
        <v>59</v>
      </c>
      <c r="D716" s="2" t="s">
        <v>2617</v>
      </c>
      <c r="E716" s="4" t="s">
        <v>174</v>
      </c>
      <c r="F716" s="5">
        <v>32</v>
      </c>
      <c r="G716" s="5">
        <v>38</v>
      </c>
      <c r="H716" s="5">
        <v>23</v>
      </c>
      <c r="I716" s="10">
        <v>2.5</v>
      </c>
      <c r="J716" s="11">
        <f t="shared" si="58"/>
        <v>80</v>
      </c>
      <c r="K716" s="12" t="str">
        <f t="shared" si="55"/>
        <v>Low Stock_Reorder Needed</v>
      </c>
      <c r="L716" s="12">
        <f t="shared" si="56"/>
        <v>57.5</v>
      </c>
      <c r="M716" s="6">
        <v>45459</v>
      </c>
      <c r="N716" s="6">
        <v>45441</v>
      </c>
      <c r="O716" s="6">
        <v>45690</v>
      </c>
      <c r="P716" s="7" t="s">
        <v>2618</v>
      </c>
      <c r="Q716" s="5">
        <v>52</v>
      </c>
      <c r="R716" s="10">
        <f t="shared" si="57"/>
        <v>130</v>
      </c>
      <c r="S716" s="5">
        <v>11</v>
      </c>
      <c r="T716" s="5" t="s">
        <v>27</v>
      </c>
      <c r="U716" s="11">
        <f t="shared" si="59"/>
        <v>50</v>
      </c>
    </row>
    <row r="717" spans="1:21" ht="16" x14ac:dyDescent="0.4">
      <c r="A717" s="2" t="s">
        <v>2619</v>
      </c>
      <c r="B717" s="3" t="s">
        <v>1539</v>
      </c>
      <c r="C717" s="28" t="s">
        <v>59</v>
      </c>
      <c r="D717" s="2" t="s">
        <v>2620</v>
      </c>
      <c r="E717" s="4" t="s">
        <v>2614</v>
      </c>
      <c r="F717" s="5">
        <v>90</v>
      </c>
      <c r="G717" s="5">
        <v>75</v>
      </c>
      <c r="H717" s="5">
        <v>6</v>
      </c>
      <c r="I717" s="10">
        <v>5</v>
      </c>
      <c r="J717" s="11">
        <f t="shared" si="58"/>
        <v>450</v>
      </c>
      <c r="K717" s="12" t="str">
        <f t="shared" si="55"/>
        <v>Stock_Sufficient</v>
      </c>
      <c r="L717" s="12">
        <f t="shared" si="56"/>
        <v>30</v>
      </c>
      <c r="M717" s="6">
        <v>45479</v>
      </c>
      <c r="N717" s="6">
        <v>45658</v>
      </c>
      <c r="O717" s="6">
        <v>45535</v>
      </c>
      <c r="P717" s="7" t="s">
        <v>2621</v>
      </c>
      <c r="Q717" s="5">
        <v>55</v>
      </c>
      <c r="R717" s="10">
        <f t="shared" si="57"/>
        <v>275</v>
      </c>
      <c r="S717" s="5">
        <v>64</v>
      </c>
      <c r="T717" s="5" t="s">
        <v>45</v>
      </c>
      <c r="U717" s="11">
        <f t="shared" si="59"/>
        <v>-175</v>
      </c>
    </row>
    <row r="718" spans="1:21" ht="16" x14ac:dyDescent="0.4">
      <c r="A718" s="2" t="s">
        <v>2622</v>
      </c>
      <c r="B718" s="3" t="s">
        <v>1193</v>
      </c>
      <c r="C718" s="28" t="s">
        <v>65</v>
      </c>
      <c r="D718" s="2" t="s">
        <v>2623</v>
      </c>
      <c r="E718" s="4" t="s">
        <v>1221</v>
      </c>
      <c r="F718" s="5">
        <v>70</v>
      </c>
      <c r="G718" s="5">
        <v>81</v>
      </c>
      <c r="H718" s="5">
        <v>75</v>
      </c>
      <c r="I718" s="10">
        <v>2</v>
      </c>
      <c r="J718" s="11">
        <f t="shared" si="58"/>
        <v>140</v>
      </c>
      <c r="K718" s="12" t="str">
        <f t="shared" si="55"/>
        <v>Low Stock_Reorder Needed</v>
      </c>
      <c r="L718" s="12">
        <f t="shared" si="56"/>
        <v>150</v>
      </c>
      <c r="M718" s="6">
        <v>45543</v>
      </c>
      <c r="N718" s="6">
        <v>45349</v>
      </c>
      <c r="O718" s="6">
        <v>45351</v>
      </c>
      <c r="P718" s="7" t="s">
        <v>2624</v>
      </c>
      <c r="Q718" s="5">
        <v>24</v>
      </c>
      <c r="R718" s="10">
        <f t="shared" si="57"/>
        <v>48</v>
      </c>
      <c r="S718" s="5">
        <v>54</v>
      </c>
      <c r="T718" s="5" t="s">
        <v>39</v>
      </c>
      <c r="U718" s="11">
        <f t="shared" si="59"/>
        <v>-92</v>
      </c>
    </row>
    <row r="719" spans="1:21" ht="16" x14ac:dyDescent="0.4">
      <c r="A719" s="2" t="s">
        <v>2625</v>
      </c>
      <c r="B719" s="3" t="s">
        <v>369</v>
      </c>
      <c r="C719" s="28" t="s">
        <v>48</v>
      </c>
      <c r="D719" s="2" t="s">
        <v>2626</v>
      </c>
      <c r="E719" s="4" t="s">
        <v>2627</v>
      </c>
      <c r="F719" s="5">
        <v>90</v>
      </c>
      <c r="G719" s="5">
        <v>22</v>
      </c>
      <c r="H719" s="5">
        <v>20</v>
      </c>
      <c r="I719" s="10">
        <v>4.5</v>
      </c>
      <c r="J719" s="11">
        <f t="shared" si="58"/>
        <v>405</v>
      </c>
      <c r="K719" s="12" t="str">
        <f t="shared" si="55"/>
        <v>Stock_Sufficient</v>
      </c>
      <c r="L719" s="12">
        <f t="shared" si="56"/>
        <v>90</v>
      </c>
      <c r="M719" s="6">
        <v>45473</v>
      </c>
      <c r="N719" s="6">
        <v>45710</v>
      </c>
      <c r="O719" s="6">
        <v>45670</v>
      </c>
      <c r="P719" s="7" t="s">
        <v>2628</v>
      </c>
      <c r="Q719" s="5">
        <v>81</v>
      </c>
      <c r="R719" s="10">
        <f t="shared" si="57"/>
        <v>364.5</v>
      </c>
      <c r="S719" s="5">
        <v>88</v>
      </c>
      <c r="T719" s="5" t="s">
        <v>39</v>
      </c>
      <c r="U719" s="11">
        <f t="shared" si="59"/>
        <v>-40.5</v>
      </c>
    </row>
    <row r="720" spans="1:21" ht="16" x14ac:dyDescent="0.4">
      <c r="A720" s="2" t="s">
        <v>2629</v>
      </c>
      <c r="B720" s="3" t="s">
        <v>513</v>
      </c>
      <c r="C720" s="28" t="s">
        <v>48</v>
      </c>
      <c r="D720" s="2" t="s">
        <v>2630</v>
      </c>
      <c r="E720" s="4" t="s">
        <v>627</v>
      </c>
      <c r="F720" s="5">
        <v>100</v>
      </c>
      <c r="G720" s="5">
        <v>7</v>
      </c>
      <c r="H720" s="5">
        <v>14</v>
      </c>
      <c r="I720" s="10">
        <v>2</v>
      </c>
      <c r="J720" s="11">
        <f t="shared" si="58"/>
        <v>200</v>
      </c>
      <c r="K720" s="12" t="str">
        <f t="shared" si="55"/>
        <v>Stock_Sufficient</v>
      </c>
      <c r="L720" s="12">
        <f t="shared" si="56"/>
        <v>28</v>
      </c>
      <c r="M720" s="6">
        <v>45642</v>
      </c>
      <c r="N720" s="6">
        <v>45357</v>
      </c>
      <c r="O720" s="6">
        <v>45498</v>
      </c>
      <c r="P720" s="7" t="s">
        <v>2631</v>
      </c>
      <c r="Q720" s="5">
        <v>26</v>
      </c>
      <c r="R720" s="10">
        <f t="shared" si="57"/>
        <v>52</v>
      </c>
      <c r="S720" s="5">
        <v>33</v>
      </c>
      <c r="T720" s="5" t="s">
        <v>39</v>
      </c>
      <c r="U720" s="11">
        <f t="shared" si="59"/>
        <v>-148</v>
      </c>
    </row>
    <row r="721" spans="1:21" ht="16" x14ac:dyDescent="0.4">
      <c r="A721" s="2" t="s">
        <v>2632</v>
      </c>
      <c r="B721" s="3" t="s">
        <v>1146</v>
      </c>
      <c r="C721" s="28" t="s">
        <v>23</v>
      </c>
      <c r="D721" s="2" t="s">
        <v>2633</v>
      </c>
      <c r="E721" s="4" t="s">
        <v>1582</v>
      </c>
      <c r="F721" s="5">
        <v>89</v>
      </c>
      <c r="G721" s="5">
        <v>54</v>
      </c>
      <c r="H721" s="5">
        <v>15</v>
      </c>
      <c r="I721" s="10">
        <v>2.5</v>
      </c>
      <c r="J721" s="11">
        <f t="shared" si="58"/>
        <v>222.5</v>
      </c>
      <c r="K721" s="12" t="str">
        <f t="shared" si="55"/>
        <v>Stock_Sufficient</v>
      </c>
      <c r="L721" s="12">
        <f t="shared" si="56"/>
        <v>37.5</v>
      </c>
      <c r="M721" s="6">
        <v>45574</v>
      </c>
      <c r="N721" s="6">
        <v>45505</v>
      </c>
      <c r="O721" s="6">
        <v>45415</v>
      </c>
      <c r="P721" s="7" t="s">
        <v>2634</v>
      </c>
      <c r="Q721" s="5">
        <v>64</v>
      </c>
      <c r="R721" s="10">
        <f t="shared" si="57"/>
        <v>160</v>
      </c>
      <c r="S721" s="5">
        <v>63</v>
      </c>
      <c r="T721" s="5" t="s">
        <v>45</v>
      </c>
      <c r="U721" s="11">
        <f t="shared" si="59"/>
        <v>-62.5</v>
      </c>
    </row>
    <row r="722" spans="1:21" ht="16" x14ac:dyDescent="0.4">
      <c r="A722" s="2" t="s">
        <v>2635</v>
      </c>
      <c r="B722" s="3" t="s">
        <v>772</v>
      </c>
      <c r="C722" s="28" t="s">
        <v>23</v>
      </c>
      <c r="D722" s="2" t="s">
        <v>2636</v>
      </c>
      <c r="E722" s="4" t="s">
        <v>55</v>
      </c>
      <c r="F722" s="5">
        <v>38</v>
      </c>
      <c r="G722" s="5">
        <v>43</v>
      </c>
      <c r="H722" s="5">
        <v>28</v>
      </c>
      <c r="I722" s="10">
        <v>2.7</v>
      </c>
      <c r="J722" s="11">
        <f t="shared" si="58"/>
        <v>102.60000000000001</v>
      </c>
      <c r="K722" s="12" t="str">
        <f t="shared" si="55"/>
        <v>Low Stock_Reorder Needed</v>
      </c>
      <c r="L722" s="12">
        <f t="shared" si="56"/>
        <v>75.600000000000009</v>
      </c>
      <c r="M722" s="6">
        <v>45566</v>
      </c>
      <c r="N722" s="6">
        <v>45499</v>
      </c>
      <c r="O722" s="6">
        <v>45550</v>
      </c>
      <c r="P722" s="7" t="s">
        <v>2637</v>
      </c>
      <c r="Q722" s="5">
        <v>34</v>
      </c>
      <c r="R722" s="10">
        <f t="shared" si="57"/>
        <v>91.800000000000011</v>
      </c>
      <c r="S722" s="5">
        <v>54</v>
      </c>
      <c r="T722" s="5" t="s">
        <v>39</v>
      </c>
      <c r="U722" s="11">
        <f t="shared" si="59"/>
        <v>-10.799999999999997</v>
      </c>
    </row>
    <row r="723" spans="1:21" ht="16" x14ac:dyDescent="0.4">
      <c r="A723" s="2" t="s">
        <v>2638</v>
      </c>
      <c r="B723" s="3" t="s">
        <v>89</v>
      </c>
      <c r="C723" s="28" t="s">
        <v>90</v>
      </c>
      <c r="D723" s="2" t="s">
        <v>2639</v>
      </c>
      <c r="E723" s="4" t="s">
        <v>2640</v>
      </c>
      <c r="F723" s="5">
        <v>61</v>
      </c>
      <c r="G723" s="5">
        <v>20</v>
      </c>
      <c r="H723" s="5">
        <v>29</v>
      </c>
      <c r="I723" s="10">
        <v>3</v>
      </c>
      <c r="J723" s="11">
        <f t="shared" si="58"/>
        <v>183</v>
      </c>
      <c r="K723" s="12" t="str">
        <f t="shared" si="55"/>
        <v>Stock_Sufficient</v>
      </c>
      <c r="L723" s="12">
        <f t="shared" si="56"/>
        <v>87</v>
      </c>
      <c r="M723" s="6">
        <v>45401</v>
      </c>
      <c r="N723" s="6">
        <v>45364</v>
      </c>
      <c r="O723" s="6">
        <v>45547</v>
      </c>
      <c r="P723" s="7" t="s">
        <v>2641</v>
      </c>
      <c r="Q723" s="5">
        <v>71</v>
      </c>
      <c r="R723" s="10">
        <f t="shared" si="57"/>
        <v>213</v>
      </c>
      <c r="S723" s="5">
        <v>97</v>
      </c>
      <c r="T723" s="5" t="s">
        <v>39</v>
      </c>
      <c r="U723" s="11">
        <f t="shared" si="59"/>
        <v>30</v>
      </c>
    </row>
    <row r="724" spans="1:21" ht="16" x14ac:dyDescent="0.4">
      <c r="A724" s="2" t="s">
        <v>2642</v>
      </c>
      <c r="B724" s="3" t="s">
        <v>275</v>
      </c>
      <c r="C724" s="28" t="s">
        <v>48</v>
      </c>
      <c r="D724" s="2" t="s">
        <v>2643</v>
      </c>
      <c r="E724" s="4" t="s">
        <v>1225</v>
      </c>
      <c r="F724" s="5">
        <v>75</v>
      </c>
      <c r="G724" s="5">
        <v>48</v>
      </c>
      <c r="H724" s="5">
        <v>25</v>
      </c>
      <c r="I724" s="10">
        <v>3</v>
      </c>
      <c r="J724" s="11">
        <f t="shared" si="58"/>
        <v>225</v>
      </c>
      <c r="K724" s="12" t="str">
        <f t="shared" si="55"/>
        <v>Stock_Sufficient</v>
      </c>
      <c r="L724" s="12">
        <f t="shared" si="56"/>
        <v>75</v>
      </c>
      <c r="M724" s="6">
        <v>45637</v>
      </c>
      <c r="N724" s="6">
        <v>45521</v>
      </c>
      <c r="O724" s="6">
        <v>45533</v>
      </c>
      <c r="P724" s="7" t="s">
        <v>2644</v>
      </c>
      <c r="Q724" s="5">
        <v>96</v>
      </c>
      <c r="R724" s="10">
        <f t="shared" si="57"/>
        <v>288</v>
      </c>
      <c r="S724" s="5">
        <v>65</v>
      </c>
      <c r="T724" s="5" t="s">
        <v>39</v>
      </c>
      <c r="U724" s="11">
        <f t="shared" si="59"/>
        <v>63</v>
      </c>
    </row>
    <row r="725" spans="1:21" ht="16" x14ac:dyDescent="0.4">
      <c r="A725" s="2" t="s">
        <v>2645</v>
      </c>
      <c r="B725" s="3" t="s">
        <v>244</v>
      </c>
      <c r="C725" s="28" t="s">
        <v>90</v>
      </c>
      <c r="D725" s="2" t="s">
        <v>2646</v>
      </c>
      <c r="E725" s="4" t="s">
        <v>2647</v>
      </c>
      <c r="F725" s="5">
        <v>87</v>
      </c>
      <c r="G725" s="5">
        <v>70</v>
      </c>
      <c r="H725" s="5">
        <v>77</v>
      </c>
      <c r="I725" s="10">
        <v>3.2</v>
      </c>
      <c r="J725" s="11">
        <f t="shared" si="58"/>
        <v>278.40000000000003</v>
      </c>
      <c r="K725" s="12" t="str">
        <f t="shared" si="55"/>
        <v>Stock_Sufficient</v>
      </c>
      <c r="L725" s="12">
        <f t="shared" si="56"/>
        <v>246.4</v>
      </c>
      <c r="M725" s="6">
        <v>45420</v>
      </c>
      <c r="N725" s="6">
        <v>45349</v>
      </c>
      <c r="O725" s="6">
        <v>45690</v>
      </c>
      <c r="P725" s="7" t="s">
        <v>2648</v>
      </c>
      <c r="Q725" s="5">
        <v>73</v>
      </c>
      <c r="R725" s="10">
        <f t="shared" si="57"/>
        <v>233.60000000000002</v>
      </c>
      <c r="S725" s="5">
        <v>44</v>
      </c>
      <c r="T725" s="5" t="s">
        <v>45</v>
      </c>
      <c r="U725" s="11">
        <f t="shared" si="59"/>
        <v>-44.800000000000011</v>
      </c>
    </row>
    <row r="726" spans="1:21" ht="16" x14ac:dyDescent="0.4">
      <c r="A726" s="2" t="s">
        <v>2649</v>
      </c>
      <c r="B726" s="3" t="s">
        <v>109</v>
      </c>
      <c r="C726" s="28" t="s">
        <v>23</v>
      </c>
      <c r="D726" s="2" t="s">
        <v>2650</v>
      </c>
      <c r="E726" s="4" t="s">
        <v>2651</v>
      </c>
      <c r="F726" s="5">
        <v>71</v>
      </c>
      <c r="G726" s="5">
        <v>77</v>
      </c>
      <c r="H726" s="5">
        <v>30</v>
      </c>
      <c r="I726" s="10">
        <v>1.5</v>
      </c>
      <c r="J726" s="11">
        <f t="shared" si="58"/>
        <v>106.5</v>
      </c>
      <c r="K726" s="12" t="str">
        <f t="shared" si="55"/>
        <v>Low Stock_Reorder Needed</v>
      </c>
      <c r="L726" s="12">
        <f t="shared" si="56"/>
        <v>45</v>
      </c>
      <c r="M726" s="6">
        <v>45490</v>
      </c>
      <c r="N726" s="6">
        <v>45605</v>
      </c>
      <c r="O726" s="6">
        <v>45677</v>
      </c>
      <c r="P726" s="7" t="s">
        <v>2652</v>
      </c>
      <c r="Q726" s="5">
        <v>34</v>
      </c>
      <c r="R726" s="10">
        <f t="shared" si="57"/>
        <v>51</v>
      </c>
      <c r="S726" s="5">
        <v>57</v>
      </c>
      <c r="T726" s="5" t="s">
        <v>39</v>
      </c>
      <c r="U726" s="11">
        <f t="shared" si="59"/>
        <v>-55.5</v>
      </c>
    </row>
    <row r="727" spans="1:21" ht="16" x14ac:dyDescent="0.4">
      <c r="A727" s="2" t="s">
        <v>2653</v>
      </c>
      <c r="B727" s="3" t="s">
        <v>197</v>
      </c>
      <c r="C727" s="28" t="s">
        <v>133</v>
      </c>
      <c r="D727" s="2" t="s">
        <v>2654</v>
      </c>
      <c r="E727" s="4" t="s">
        <v>2655</v>
      </c>
      <c r="F727" s="5">
        <v>98</v>
      </c>
      <c r="G727" s="5">
        <v>100</v>
      </c>
      <c r="H727" s="5">
        <v>34</v>
      </c>
      <c r="I727" s="10">
        <v>9</v>
      </c>
      <c r="J727" s="11">
        <f t="shared" si="58"/>
        <v>882</v>
      </c>
      <c r="K727" s="12" t="str">
        <f t="shared" si="55"/>
        <v>Low Stock_Reorder Needed</v>
      </c>
      <c r="L727" s="12">
        <f t="shared" si="56"/>
        <v>306</v>
      </c>
      <c r="M727" s="6">
        <v>45578</v>
      </c>
      <c r="N727" s="6">
        <v>45350</v>
      </c>
      <c r="O727" s="6">
        <v>45531</v>
      </c>
      <c r="P727" s="7" t="s">
        <v>2656</v>
      </c>
      <c r="Q727" s="5">
        <v>53</v>
      </c>
      <c r="R727" s="10">
        <f t="shared" si="57"/>
        <v>477</v>
      </c>
      <c r="S727" s="5">
        <v>20</v>
      </c>
      <c r="T727" s="5" t="s">
        <v>45</v>
      </c>
      <c r="U727" s="11">
        <f t="shared" si="59"/>
        <v>-405</v>
      </c>
    </row>
    <row r="728" spans="1:21" ht="16" x14ac:dyDescent="0.4">
      <c r="A728" s="2" t="s">
        <v>2657</v>
      </c>
      <c r="B728" s="3" t="s">
        <v>138</v>
      </c>
      <c r="C728" s="28" t="s">
        <v>48</v>
      </c>
      <c r="D728" s="2" t="s">
        <v>2658</v>
      </c>
      <c r="E728" s="4" t="s">
        <v>986</v>
      </c>
      <c r="F728" s="5">
        <v>19</v>
      </c>
      <c r="G728" s="5">
        <v>92</v>
      </c>
      <c r="H728" s="5">
        <v>41</v>
      </c>
      <c r="I728" s="10">
        <v>2</v>
      </c>
      <c r="J728" s="11">
        <f t="shared" si="58"/>
        <v>38</v>
      </c>
      <c r="K728" s="12" t="str">
        <f t="shared" si="55"/>
        <v>Low Stock_Reorder Needed</v>
      </c>
      <c r="L728" s="12">
        <f t="shared" si="56"/>
        <v>82</v>
      </c>
      <c r="M728" s="6">
        <v>45662</v>
      </c>
      <c r="N728" s="6">
        <v>45668</v>
      </c>
      <c r="O728" s="6">
        <v>45578</v>
      </c>
      <c r="P728" s="7" t="s">
        <v>2659</v>
      </c>
      <c r="Q728" s="5">
        <v>51</v>
      </c>
      <c r="R728" s="10">
        <f t="shared" si="57"/>
        <v>102</v>
      </c>
      <c r="S728" s="5">
        <v>79</v>
      </c>
      <c r="T728" s="5" t="s">
        <v>45</v>
      </c>
      <c r="U728" s="11">
        <f t="shared" si="59"/>
        <v>64</v>
      </c>
    </row>
    <row r="729" spans="1:21" ht="16" x14ac:dyDescent="0.4">
      <c r="A729" s="2" t="s">
        <v>2660</v>
      </c>
      <c r="B729" s="3" t="s">
        <v>529</v>
      </c>
      <c r="C729" s="28" t="s">
        <v>48</v>
      </c>
      <c r="D729" s="2" t="s">
        <v>2661</v>
      </c>
      <c r="E729" s="4" t="s">
        <v>2662</v>
      </c>
      <c r="F729" s="5">
        <v>85</v>
      </c>
      <c r="G729" s="5">
        <v>90</v>
      </c>
      <c r="H729" s="5">
        <v>16</v>
      </c>
      <c r="I729" s="10">
        <v>5</v>
      </c>
      <c r="J729" s="11">
        <f t="shared" si="58"/>
        <v>425</v>
      </c>
      <c r="K729" s="12" t="str">
        <f t="shared" si="55"/>
        <v>Low Stock_Reorder Needed</v>
      </c>
      <c r="L729" s="12">
        <f t="shared" si="56"/>
        <v>80</v>
      </c>
      <c r="M729" s="6">
        <v>45437</v>
      </c>
      <c r="N729" s="6">
        <v>45446</v>
      </c>
      <c r="O729" s="6">
        <v>45503</v>
      </c>
      <c r="P729" s="7" t="s">
        <v>2663</v>
      </c>
      <c r="Q729" s="5">
        <v>61</v>
      </c>
      <c r="R729" s="10">
        <f t="shared" si="57"/>
        <v>305</v>
      </c>
      <c r="S729" s="5">
        <v>80</v>
      </c>
      <c r="T729" s="5" t="s">
        <v>39</v>
      </c>
      <c r="U729" s="11">
        <f t="shared" si="59"/>
        <v>-120</v>
      </c>
    </row>
    <row r="730" spans="1:21" ht="16" x14ac:dyDescent="0.4">
      <c r="A730" s="2" t="s">
        <v>2664</v>
      </c>
      <c r="B730" s="3" t="s">
        <v>1235</v>
      </c>
      <c r="C730" s="28" t="s">
        <v>48</v>
      </c>
      <c r="D730" s="2" t="s">
        <v>2665</v>
      </c>
      <c r="E730" s="4" t="s">
        <v>952</v>
      </c>
      <c r="F730" s="5">
        <v>71</v>
      </c>
      <c r="G730" s="5">
        <v>36</v>
      </c>
      <c r="H730" s="5">
        <v>45</v>
      </c>
      <c r="I730" s="10">
        <v>3.5</v>
      </c>
      <c r="J730" s="11">
        <f t="shared" si="58"/>
        <v>248.5</v>
      </c>
      <c r="K730" s="12" t="str">
        <f t="shared" si="55"/>
        <v>Stock_Sufficient</v>
      </c>
      <c r="L730" s="12">
        <f t="shared" si="56"/>
        <v>157.5</v>
      </c>
      <c r="M730" s="6">
        <v>45686</v>
      </c>
      <c r="N730" s="6">
        <v>45613</v>
      </c>
      <c r="O730" s="6">
        <v>45659</v>
      </c>
      <c r="P730" s="7" t="s">
        <v>2666</v>
      </c>
      <c r="Q730" s="5">
        <v>87</v>
      </c>
      <c r="R730" s="10">
        <f t="shared" si="57"/>
        <v>304.5</v>
      </c>
      <c r="S730" s="5">
        <v>2</v>
      </c>
      <c r="T730" s="5" t="s">
        <v>39</v>
      </c>
      <c r="U730" s="11">
        <f t="shared" si="59"/>
        <v>56</v>
      </c>
    </row>
    <row r="731" spans="1:21" ht="16" x14ac:dyDescent="0.4">
      <c r="A731" s="2" t="s">
        <v>2667</v>
      </c>
      <c r="B731" s="3" t="s">
        <v>1146</v>
      </c>
      <c r="C731" s="28" t="s">
        <v>23</v>
      </c>
      <c r="D731" s="2" t="s">
        <v>2668</v>
      </c>
      <c r="E731" s="4" t="s">
        <v>263</v>
      </c>
      <c r="F731" s="5">
        <v>44</v>
      </c>
      <c r="G731" s="5">
        <v>48</v>
      </c>
      <c r="H731" s="5">
        <v>77</v>
      </c>
      <c r="I731" s="10">
        <v>2.5</v>
      </c>
      <c r="J731" s="11">
        <f t="shared" si="58"/>
        <v>110</v>
      </c>
      <c r="K731" s="12" t="str">
        <f t="shared" si="55"/>
        <v>Low Stock_Reorder Needed</v>
      </c>
      <c r="L731" s="12">
        <f t="shared" si="56"/>
        <v>192.5</v>
      </c>
      <c r="M731" s="6">
        <v>45527</v>
      </c>
      <c r="N731" s="6">
        <v>45552</v>
      </c>
      <c r="O731" s="6">
        <v>45680</v>
      </c>
      <c r="P731" s="7" t="s">
        <v>2669</v>
      </c>
      <c r="Q731" s="5">
        <v>67</v>
      </c>
      <c r="R731" s="10">
        <f t="shared" si="57"/>
        <v>167.5</v>
      </c>
      <c r="S731" s="5">
        <v>79</v>
      </c>
      <c r="T731" s="5" t="s">
        <v>27</v>
      </c>
      <c r="U731" s="11">
        <f t="shared" si="59"/>
        <v>57.5</v>
      </c>
    </row>
    <row r="732" spans="1:21" ht="16" x14ac:dyDescent="0.4">
      <c r="A732" s="2" t="s">
        <v>2670</v>
      </c>
      <c r="B732" s="3" t="s">
        <v>473</v>
      </c>
      <c r="C732" s="28" t="s">
        <v>23</v>
      </c>
      <c r="D732" s="2" t="s">
        <v>2671</v>
      </c>
      <c r="E732" s="4" t="s">
        <v>478</v>
      </c>
      <c r="F732" s="5">
        <v>25</v>
      </c>
      <c r="G732" s="5">
        <v>95</v>
      </c>
      <c r="H732" s="5">
        <v>71</v>
      </c>
      <c r="I732" s="10">
        <v>2</v>
      </c>
      <c r="J732" s="11">
        <f t="shared" si="58"/>
        <v>50</v>
      </c>
      <c r="K732" s="12" t="str">
        <f t="shared" si="55"/>
        <v>Low Stock_Reorder Needed</v>
      </c>
      <c r="L732" s="12">
        <f t="shared" si="56"/>
        <v>142</v>
      </c>
      <c r="M732" s="6">
        <v>45468</v>
      </c>
      <c r="N732" s="6">
        <v>45482</v>
      </c>
      <c r="O732" s="6">
        <v>45671</v>
      </c>
      <c r="P732" s="7" t="s">
        <v>2672</v>
      </c>
      <c r="Q732" s="5">
        <v>24</v>
      </c>
      <c r="R732" s="10">
        <f t="shared" si="57"/>
        <v>48</v>
      </c>
      <c r="S732" s="5">
        <v>76</v>
      </c>
      <c r="T732" s="5" t="s">
        <v>39</v>
      </c>
      <c r="U732" s="11">
        <f t="shared" si="59"/>
        <v>-2</v>
      </c>
    </row>
    <row r="733" spans="1:21" ht="16" x14ac:dyDescent="0.4">
      <c r="A733" s="2" t="s">
        <v>2673</v>
      </c>
      <c r="B733" s="3" t="s">
        <v>436</v>
      </c>
      <c r="C733" s="28" t="s">
        <v>59</v>
      </c>
      <c r="D733" s="2" t="s">
        <v>2674</v>
      </c>
      <c r="E733" s="4" t="s">
        <v>1606</v>
      </c>
      <c r="F733" s="5">
        <v>24</v>
      </c>
      <c r="G733" s="5">
        <v>14</v>
      </c>
      <c r="H733" s="5">
        <v>5</v>
      </c>
      <c r="I733" s="10">
        <v>4</v>
      </c>
      <c r="J733" s="11">
        <f t="shared" si="58"/>
        <v>96</v>
      </c>
      <c r="K733" s="12" t="str">
        <f t="shared" si="55"/>
        <v>Stock_Sufficient</v>
      </c>
      <c r="L733" s="12">
        <f t="shared" si="56"/>
        <v>20</v>
      </c>
      <c r="M733" s="6">
        <v>45463</v>
      </c>
      <c r="N733" s="6">
        <v>45381</v>
      </c>
      <c r="O733" s="6">
        <v>45460</v>
      </c>
      <c r="P733" s="7" t="s">
        <v>2675</v>
      </c>
      <c r="Q733" s="5">
        <v>98</v>
      </c>
      <c r="R733" s="10">
        <f t="shared" si="57"/>
        <v>392</v>
      </c>
      <c r="S733" s="5">
        <v>9</v>
      </c>
      <c r="T733" s="5" t="s">
        <v>45</v>
      </c>
      <c r="U733" s="11">
        <f t="shared" si="59"/>
        <v>296</v>
      </c>
    </row>
    <row r="734" spans="1:21" ht="16" x14ac:dyDescent="0.4">
      <c r="A734" s="2" t="s">
        <v>2676</v>
      </c>
      <c r="B734" s="3" t="s">
        <v>801</v>
      </c>
      <c r="C734" s="28" t="s">
        <v>133</v>
      </c>
      <c r="D734" s="2" t="s">
        <v>2677</v>
      </c>
      <c r="E734" s="4" t="s">
        <v>263</v>
      </c>
      <c r="F734" s="5">
        <v>44</v>
      </c>
      <c r="G734" s="5">
        <v>97</v>
      </c>
      <c r="H734" s="5">
        <v>76</v>
      </c>
      <c r="I734" s="10">
        <v>10</v>
      </c>
      <c r="J734" s="11">
        <f t="shared" si="58"/>
        <v>440</v>
      </c>
      <c r="K734" s="12" t="str">
        <f t="shared" si="55"/>
        <v>Low Stock_Reorder Needed</v>
      </c>
      <c r="L734" s="12">
        <f t="shared" si="56"/>
        <v>760</v>
      </c>
      <c r="M734" s="6">
        <v>45439</v>
      </c>
      <c r="N734" s="6">
        <v>45392</v>
      </c>
      <c r="O734" s="6">
        <v>45641</v>
      </c>
      <c r="P734" s="7" t="s">
        <v>2678</v>
      </c>
      <c r="Q734" s="5">
        <v>80</v>
      </c>
      <c r="R734" s="10">
        <f t="shared" si="57"/>
        <v>800</v>
      </c>
      <c r="S734" s="5">
        <v>33</v>
      </c>
      <c r="T734" s="5" t="s">
        <v>27</v>
      </c>
      <c r="U734" s="11">
        <f t="shared" si="59"/>
        <v>360</v>
      </c>
    </row>
    <row r="735" spans="1:21" ht="16" x14ac:dyDescent="0.4">
      <c r="A735" s="2" t="s">
        <v>2679</v>
      </c>
      <c r="B735" s="3" t="s">
        <v>688</v>
      </c>
      <c r="C735" s="28" t="s">
        <v>23</v>
      </c>
      <c r="D735" s="2" t="s">
        <v>2680</v>
      </c>
      <c r="E735" s="4" t="s">
        <v>1284</v>
      </c>
      <c r="F735" s="5">
        <v>63</v>
      </c>
      <c r="G735" s="5">
        <v>4</v>
      </c>
      <c r="H735" s="5">
        <v>46</v>
      </c>
      <c r="I735" s="10">
        <v>2.5</v>
      </c>
      <c r="J735" s="11">
        <f t="shared" si="58"/>
        <v>157.5</v>
      </c>
      <c r="K735" s="12" t="str">
        <f t="shared" si="55"/>
        <v>Stock_Sufficient</v>
      </c>
      <c r="L735" s="12">
        <f t="shared" si="56"/>
        <v>115</v>
      </c>
      <c r="M735" s="6">
        <v>45521</v>
      </c>
      <c r="N735" s="6">
        <v>45372</v>
      </c>
      <c r="O735" s="6">
        <v>45360</v>
      </c>
      <c r="P735" s="7" t="s">
        <v>2681</v>
      </c>
      <c r="Q735" s="5">
        <v>40</v>
      </c>
      <c r="R735" s="10">
        <f t="shared" si="57"/>
        <v>100</v>
      </c>
      <c r="S735" s="5">
        <v>69</v>
      </c>
      <c r="T735" s="5" t="s">
        <v>27</v>
      </c>
      <c r="U735" s="11">
        <f t="shared" si="59"/>
        <v>-57.5</v>
      </c>
    </row>
    <row r="736" spans="1:21" ht="16" x14ac:dyDescent="0.4">
      <c r="A736" s="2" t="s">
        <v>2682</v>
      </c>
      <c r="B736" s="3" t="s">
        <v>456</v>
      </c>
      <c r="C736" s="28" t="s">
        <v>59</v>
      </c>
      <c r="D736" s="2" t="s">
        <v>2683</v>
      </c>
      <c r="E736" s="4" t="s">
        <v>548</v>
      </c>
      <c r="F736" s="5">
        <v>69</v>
      </c>
      <c r="G736" s="5">
        <v>59</v>
      </c>
      <c r="H736" s="5">
        <v>29</v>
      </c>
      <c r="I736" s="10">
        <v>1.8</v>
      </c>
      <c r="J736" s="11">
        <f t="shared" si="58"/>
        <v>124.2</v>
      </c>
      <c r="K736" s="12" t="str">
        <f t="shared" si="55"/>
        <v>Stock_Sufficient</v>
      </c>
      <c r="L736" s="12">
        <f t="shared" si="56"/>
        <v>52.2</v>
      </c>
      <c r="M736" s="6">
        <v>45595</v>
      </c>
      <c r="N736" s="6">
        <v>45435</v>
      </c>
      <c r="O736" s="6">
        <v>45434</v>
      </c>
      <c r="P736" s="7" t="s">
        <v>2684</v>
      </c>
      <c r="Q736" s="5">
        <v>63</v>
      </c>
      <c r="R736" s="10">
        <f t="shared" si="57"/>
        <v>113.4</v>
      </c>
      <c r="S736" s="5">
        <v>91</v>
      </c>
      <c r="T736" s="5" t="s">
        <v>45</v>
      </c>
      <c r="U736" s="11">
        <f t="shared" si="59"/>
        <v>-10.799999999999997</v>
      </c>
    </row>
    <row r="737" spans="1:21" ht="16" x14ac:dyDescent="0.4">
      <c r="A737" s="2" t="s">
        <v>2685</v>
      </c>
      <c r="B737" s="3" t="s">
        <v>625</v>
      </c>
      <c r="C737" s="28" t="s">
        <v>133</v>
      </c>
      <c r="D737" s="2" t="s">
        <v>2686</v>
      </c>
      <c r="E737" s="4" t="s">
        <v>1986</v>
      </c>
      <c r="F737" s="5">
        <v>88</v>
      </c>
      <c r="G737" s="5">
        <v>71</v>
      </c>
      <c r="H737" s="5">
        <v>9</v>
      </c>
      <c r="I737" s="10">
        <v>18</v>
      </c>
      <c r="J737" s="11">
        <f t="shared" si="58"/>
        <v>1584</v>
      </c>
      <c r="K737" s="12" t="str">
        <f t="shared" si="55"/>
        <v>Stock_Sufficient</v>
      </c>
      <c r="L737" s="12">
        <f t="shared" si="56"/>
        <v>162</v>
      </c>
      <c r="M737" s="6">
        <v>45365</v>
      </c>
      <c r="N737" s="6">
        <v>45654</v>
      </c>
      <c r="O737" s="6">
        <v>45367</v>
      </c>
      <c r="P737" s="7" t="s">
        <v>2687</v>
      </c>
      <c r="Q737" s="5">
        <v>28</v>
      </c>
      <c r="R737" s="10">
        <f t="shared" si="57"/>
        <v>504</v>
      </c>
      <c r="S737" s="5">
        <v>14</v>
      </c>
      <c r="T737" s="5" t="s">
        <v>39</v>
      </c>
      <c r="U737" s="11">
        <f t="shared" si="59"/>
        <v>-1080</v>
      </c>
    </row>
    <row r="738" spans="1:21" ht="16" x14ac:dyDescent="0.4">
      <c r="A738" s="2" t="s">
        <v>2688</v>
      </c>
      <c r="B738" s="3" t="s">
        <v>776</v>
      </c>
      <c r="C738" s="28" t="s">
        <v>30</v>
      </c>
      <c r="D738" s="2" t="s">
        <v>2689</v>
      </c>
      <c r="E738" s="4" t="s">
        <v>2690</v>
      </c>
      <c r="F738" s="5">
        <v>74</v>
      </c>
      <c r="G738" s="5">
        <v>2</v>
      </c>
      <c r="H738" s="5">
        <v>45</v>
      </c>
      <c r="I738" s="10">
        <v>10</v>
      </c>
      <c r="J738" s="11">
        <f t="shared" si="58"/>
        <v>740</v>
      </c>
      <c r="K738" s="12" t="str">
        <f t="shared" si="55"/>
        <v>Stock_Sufficient</v>
      </c>
      <c r="L738" s="12">
        <f t="shared" si="56"/>
        <v>450</v>
      </c>
      <c r="M738" s="6">
        <v>45351</v>
      </c>
      <c r="N738" s="6">
        <v>45691</v>
      </c>
      <c r="O738" s="6">
        <v>45388</v>
      </c>
      <c r="P738" s="7" t="s">
        <v>2691</v>
      </c>
      <c r="Q738" s="5">
        <v>37</v>
      </c>
      <c r="R738" s="10">
        <f t="shared" si="57"/>
        <v>370</v>
      </c>
      <c r="S738" s="5">
        <v>99</v>
      </c>
      <c r="T738" s="5" t="s">
        <v>45</v>
      </c>
      <c r="U738" s="11">
        <f t="shared" si="59"/>
        <v>-370</v>
      </c>
    </row>
    <row r="739" spans="1:21" ht="16" x14ac:dyDescent="0.4">
      <c r="A739" s="2" t="s">
        <v>2692</v>
      </c>
      <c r="B739" s="3" t="s">
        <v>369</v>
      </c>
      <c r="C739" s="28" t="s">
        <v>48</v>
      </c>
      <c r="D739" s="2" t="s">
        <v>2693</v>
      </c>
      <c r="E739" s="4" t="s">
        <v>2694</v>
      </c>
      <c r="F739" s="5">
        <v>98</v>
      </c>
      <c r="G739" s="5">
        <v>43</v>
      </c>
      <c r="H739" s="5">
        <v>9</v>
      </c>
      <c r="I739" s="10">
        <v>4.5</v>
      </c>
      <c r="J739" s="11">
        <f t="shared" si="58"/>
        <v>441</v>
      </c>
      <c r="K739" s="12" t="str">
        <f t="shared" si="55"/>
        <v>Stock_Sufficient</v>
      </c>
      <c r="L739" s="12">
        <f t="shared" si="56"/>
        <v>40.5</v>
      </c>
      <c r="M739" s="6">
        <v>45468</v>
      </c>
      <c r="N739" s="6">
        <v>45357</v>
      </c>
      <c r="O739" s="6">
        <v>45655</v>
      </c>
      <c r="P739" s="7" t="s">
        <v>2695</v>
      </c>
      <c r="Q739" s="5">
        <v>86</v>
      </c>
      <c r="R739" s="10">
        <f t="shared" si="57"/>
        <v>387</v>
      </c>
      <c r="S739" s="5">
        <v>62</v>
      </c>
      <c r="T739" s="5" t="s">
        <v>39</v>
      </c>
      <c r="U739" s="11">
        <f t="shared" si="59"/>
        <v>-54</v>
      </c>
    </row>
    <row r="740" spans="1:21" ht="16" x14ac:dyDescent="0.4">
      <c r="A740" s="2" t="s">
        <v>2696</v>
      </c>
      <c r="B740" s="3" t="s">
        <v>2289</v>
      </c>
      <c r="C740" s="28" t="s">
        <v>65</v>
      </c>
      <c r="D740" s="2" t="s">
        <v>2697</v>
      </c>
      <c r="E740" s="4" t="s">
        <v>1087</v>
      </c>
      <c r="F740" s="5">
        <v>22</v>
      </c>
      <c r="G740" s="5">
        <v>19</v>
      </c>
      <c r="H740" s="5">
        <v>4</v>
      </c>
      <c r="I740" s="10">
        <v>0.2</v>
      </c>
      <c r="J740" s="11">
        <f t="shared" si="58"/>
        <v>4.4000000000000004</v>
      </c>
      <c r="K740" s="12" t="str">
        <f t="shared" si="55"/>
        <v>Stock_Sufficient</v>
      </c>
      <c r="L740" s="12">
        <f t="shared" si="56"/>
        <v>0.8</v>
      </c>
      <c r="M740" s="6">
        <v>45400</v>
      </c>
      <c r="N740" s="6">
        <v>45368</v>
      </c>
      <c r="O740" s="6">
        <v>45552</v>
      </c>
      <c r="P740" s="7" t="s">
        <v>2698</v>
      </c>
      <c r="Q740" s="5">
        <v>88</v>
      </c>
      <c r="R740" s="10">
        <f t="shared" si="57"/>
        <v>17.600000000000001</v>
      </c>
      <c r="S740" s="5">
        <v>24</v>
      </c>
      <c r="T740" s="5" t="s">
        <v>27</v>
      </c>
      <c r="U740" s="11">
        <f t="shared" si="59"/>
        <v>13.200000000000001</v>
      </c>
    </row>
    <row r="741" spans="1:21" ht="16" x14ac:dyDescent="0.4">
      <c r="A741" s="2" t="s">
        <v>2699</v>
      </c>
      <c r="B741" s="3" t="s">
        <v>1185</v>
      </c>
      <c r="C741" s="28" t="s">
        <v>48</v>
      </c>
      <c r="D741" s="2" t="s">
        <v>2700</v>
      </c>
      <c r="E741" s="4" t="s">
        <v>81</v>
      </c>
      <c r="F741" s="5">
        <v>55</v>
      </c>
      <c r="G741" s="5">
        <v>96</v>
      </c>
      <c r="H741" s="5">
        <v>40</v>
      </c>
      <c r="I741" s="10">
        <v>5</v>
      </c>
      <c r="J741" s="11">
        <f t="shared" si="58"/>
        <v>275</v>
      </c>
      <c r="K741" s="12" t="str">
        <f t="shared" si="55"/>
        <v>Low Stock_Reorder Needed</v>
      </c>
      <c r="L741" s="12">
        <f t="shared" si="56"/>
        <v>200</v>
      </c>
      <c r="M741" s="6">
        <v>45428</v>
      </c>
      <c r="N741" s="6">
        <v>45423</v>
      </c>
      <c r="O741" s="6">
        <v>45449</v>
      </c>
      <c r="P741" s="7" t="s">
        <v>2701</v>
      </c>
      <c r="Q741" s="5">
        <v>23</v>
      </c>
      <c r="R741" s="10">
        <f t="shared" si="57"/>
        <v>115</v>
      </c>
      <c r="S741" s="5">
        <v>47</v>
      </c>
      <c r="T741" s="5" t="s">
        <v>27</v>
      </c>
      <c r="U741" s="11">
        <f t="shared" si="59"/>
        <v>-160</v>
      </c>
    </row>
    <row r="742" spans="1:21" ht="16" x14ac:dyDescent="0.4">
      <c r="A742" s="2" t="s">
        <v>2702</v>
      </c>
      <c r="B742" s="3" t="s">
        <v>329</v>
      </c>
      <c r="C742" s="28" t="s">
        <v>65</v>
      </c>
      <c r="D742" s="2" t="s">
        <v>2703</v>
      </c>
      <c r="E742" s="4" t="s">
        <v>2640</v>
      </c>
      <c r="F742" s="5">
        <v>96</v>
      </c>
      <c r="G742" s="5">
        <v>80</v>
      </c>
      <c r="H742" s="5">
        <v>20</v>
      </c>
      <c r="I742" s="10">
        <v>6.1</v>
      </c>
      <c r="J742" s="11">
        <f t="shared" si="58"/>
        <v>585.59999999999991</v>
      </c>
      <c r="K742" s="12" t="str">
        <f t="shared" si="55"/>
        <v>Stock_Sufficient</v>
      </c>
      <c r="L742" s="12">
        <f t="shared" si="56"/>
        <v>122</v>
      </c>
      <c r="M742" s="6">
        <v>45645</v>
      </c>
      <c r="N742" s="6">
        <v>45503</v>
      </c>
      <c r="O742" s="6">
        <v>45685</v>
      </c>
      <c r="P742" s="7" t="s">
        <v>2704</v>
      </c>
      <c r="Q742" s="5">
        <v>94</v>
      </c>
      <c r="R742" s="10">
        <f t="shared" si="57"/>
        <v>573.4</v>
      </c>
      <c r="S742" s="5">
        <v>49</v>
      </c>
      <c r="T742" s="5" t="s">
        <v>27</v>
      </c>
      <c r="U742" s="11">
        <f t="shared" si="59"/>
        <v>-12.199999999999932</v>
      </c>
    </row>
    <row r="743" spans="1:21" ht="16" x14ac:dyDescent="0.4">
      <c r="A743" s="2" t="s">
        <v>2705</v>
      </c>
      <c r="B743" s="3" t="s">
        <v>104</v>
      </c>
      <c r="C743" s="28" t="s">
        <v>65</v>
      </c>
      <c r="D743" s="2" t="s">
        <v>2706</v>
      </c>
      <c r="E743" s="4" t="s">
        <v>2565</v>
      </c>
      <c r="F743" s="5">
        <v>91</v>
      </c>
      <c r="G743" s="5">
        <v>7</v>
      </c>
      <c r="H743" s="5">
        <v>64</v>
      </c>
      <c r="I743" s="10">
        <v>7</v>
      </c>
      <c r="J743" s="11">
        <f t="shared" si="58"/>
        <v>637</v>
      </c>
      <c r="K743" s="12" t="str">
        <f t="shared" si="55"/>
        <v>Stock_Sufficient</v>
      </c>
      <c r="L743" s="12">
        <f t="shared" si="56"/>
        <v>448</v>
      </c>
      <c r="M743" s="6">
        <v>45605</v>
      </c>
      <c r="N743" s="6">
        <v>45516</v>
      </c>
      <c r="O743" s="6">
        <v>45712</v>
      </c>
      <c r="P743" s="7" t="s">
        <v>2707</v>
      </c>
      <c r="Q743" s="5">
        <v>32</v>
      </c>
      <c r="R743" s="10">
        <f t="shared" si="57"/>
        <v>224</v>
      </c>
      <c r="S743" s="5">
        <v>65</v>
      </c>
      <c r="T743" s="5" t="s">
        <v>27</v>
      </c>
      <c r="U743" s="11">
        <f t="shared" si="59"/>
        <v>-413</v>
      </c>
    </row>
    <row r="744" spans="1:21" ht="16" x14ac:dyDescent="0.4">
      <c r="A744" s="2" t="s">
        <v>2708</v>
      </c>
      <c r="B744" s="3" t="s">
        <v>984</v>
      </c>
      <c r="C744" s="28" t="s">
        <v>90</v>
      </c>
      <c r="D744" s="2" t="s">
        <v>2709</v>
      </c>
      <c r="E744" s="4" t="s">
        <v>1175</v>
      </c>
      <c r="F744" s="5">
        <v>40</v>
      </c>
      <c r="G744" s="5">
        <v>91</v>
      </c>
      <c r="H744" s="5">
        <v>24</v>
      </c>
      <c r="I744" s="10">
        <v>4</v>
      </c>
      <c r="J744" s="11">
        <f t="shared" si="58"/>
        <v>160</v>
      </c>
      <c r="K744" s="12" t="str">
        <f t="shared" si="55"/>
        <v>Low Stock_Reorder Needed</v>
      </c>
      <c r="L744" s="12">
        <f t="shared" si="56"/>
        <v>96</v>
      </c>
      <c r="M744" s="6">
        <v>45502</v>
      </c>
      <c r="N744" s="6">
        <v>45638</v>
      </c>
      <c r="O744" s="6">
        <v>45626</v>
      </c>
      <c r="P744" s="7" t="s">
        <v>2710</v>
      </c>
      <c r="Q744" s="5">
        <v>28</v>
      </c>
      <c r="R744" s="10">
        <f t="shared" si="57"/>
        <v>112</v>
      </c>
      <c r="S744" s="5">
        <v>47</v>
      </c>
      <c r="T744" s="5" t="s">
        <v>27</v>
      </c>
      <c r="U744" s="11">
        <f t="shared" si="59"/>
        <v>-48</v>
      </c>
    </row>
    <row r="745" spans="1:21" ht="16" x14ac:dyDescent="0.4">
      <c r="A745" s="2" t="s">
        <v>2711</v>
      </c>
      <c r="B745" s="3" t="s">
        <v>1480</v>
      </c>
      <c r="C745" s="28" t="s">
        <v>133</v>
      </c>
      <c r="D745" s="2" t="s">
        <v>2712</v>
      </c>
      <c r="E745" s="4" t="s">
        <v>670</v>
      </c>
      <c r="F745" s="5">
        <v>52</v>
      </c>
      <c r="G745" s="5">
        <v>46</v>
      </c>
      <c r="H745" s="5">
        <v>12</v>
      </c>
      <c r="I745" s="10">
        <v>15</v>
      </c>
      <c r="J745" s="11">
        <f t="shared" si="58"/>
        <v>780</v>
      </c>
      <c r="K745" s="12" t="str">
        <f t="shared" si="55"/>
        <v>Stock_Sufficient</v>
      </c>
      <c r="L745" s="12">
        <f t="shared" si="56"/>
        <v>180</v>
      </c>
      <c r="M745" s="6">
        <v>45644</v>
      </c>
      <c r="N745" s="6">
        <v>45447</v>
      </c>
      <c r="O745" s="6">
        <v>45398</v>
      </c>
      <c r="P745" s="7" t="s">
        <v>2713</v>
      </c>
      <c r="Q745" s="5">
        <v>43</v>
      </c>
      <c r="R745" s="10">
        <f t="shared" si="57"/>
        <v>645</v>
      </c>
      <c r="S745" s="5">
        <v>34</v>
      </c>
      <c r="T745" s="5" t="s">
        <v>39</v>
      </c>
      <c r="U745" s="11">
        <f t="shared" si="59"/>
        <v>-135</v>
      </c>
    </row>
    <row r="746" spans="1:21" ht="16" x14ac:dyDescent="0.4">
      <c r="A746" s="2" t="s">
        <v>2714</v>
      </c>
      <c r="B746" s="3" t="s">
        <v>513</v>
      </c>
      <c r="C746" s="28" t="s">
        <v>48</v>
      </c>
      <c r="D746" s="2" t="s">
        <v>2715</v>
      </c>
      <c r="E746" s="4" t="s">
        <v>1375</v>
      </c>
      <c r="F746" s="5">
        <v>22</v>
      </c>
      <c r="G746" s="5">
        <v>22</v>
      </c>
      <c r="H746" s="5">
        <v>65</v>
      </c>
      <c r="I746" s="10">
        <v>2</v>
      </c>
      <c r="J746" s="11">
        <f t="shared" si="58"/>
        <v>44</v>
      </c>
      <c r="K746" s="12" t="str">
        <f t="shared" si="55"/>
        <v>Low Stock_Reorder Needed</v>
      </c>
      <c r="L746" s="12">
        <f t="shared" si="56"/>
        <v>130</v>
      </c>
      <c r="M746" s="6">
        <v>45672</v>
      </c>
      <c r="N746" s="6">
        <v>45412</v>
      </c>
      <c r="O746" s="6">
        <v>45455</v>
      </c>
      <c r="P746" s="7" t="s">
        <v>2716</v>
      </c>
      <c r="Q746" s="5">
        <v>62</v>
      </c>
      <c r="R746" s="10">
        <f t="shared" si="57"/>
        <v>124</v>
      </c>
      <c r="S746" s="5">
        <v>78</v>
      </c>
      <c r="T746" s="5" t="s">
        <v>39</v>
      </c>
      <c r="U746" s="11">
        <f t="shared" si="59"/>
        <v>80</v>
      </c>
    </row>
    <row r="747" spans="1:21" ht="16" x14ac:dyDescent="0.4">
      <c r="A747" s="2" t="s">
        <v>2717</v>
      </c>
      <c r="B747" s="3" t="s">
        <v>35</v>
      </c>
      <c r="C747" s="28" t="s">
        <v>23</v>
      </c>
      <c r="D747" s="2" t="s">
        <v>2718</v>
      </c>
      <c r="E747" s="4" t="s">
        <v>1195</v>
      </c>
      <c r="F747" s="5">
        <v>98</v>
      </c>
      <c r="G747" s="5">
        <v>41</v>
      </c>
      <c r="H747" s="5">
        <v>98</v>
      </c>
      <c r="I747" s="10">
        <v>6.35</v>
      </c>
      <c r="J747" s="11">
        <f t="shared" si="58"/>
        <v>622.29999999999995</v>
      </c>
      <c r="K747" s="12" t="str">
        <f t="shared" si="55"/>
        <v>Stock_Sufficient</v>
      </c>
      <c r="L747" s="12">
        <f t="shared" si="56"/>
        <v>622.29999999999995</v>
      </c>
      <c r="M747" s="6">
        <v>45662</v>
      </c>
      <c r="N747" s="6">
        <v>45535</v>
      </c>
      <c r="O747" s="6">
        <v>45675</v>
      </c>
      <c r="P747" s="7" t="s">
        <v>2719</v>
      </c>
      <c r="Q747" s="5">
        <v>70</v>
      </c>
      <c r="R747" s="10">
        <f t="shared" si="57"/>
        <v>444.5</v>
      </c>
      <c r="S747" s="5">
        <v>75</v>
      </c>
      <c r="T747" s="5" t="s">
        <v>39</v>
      </c>
      <c r="U747" s="11">
        <f t="shared" si="59"/>
        <v>-177.79999999999995</v>
      </c>
    </row>
    <row r="748" spans="1:21" ht="16" x14ac:dyDescent="0.4">
      <c r="A748" s="2" t="s">
        <v>2720</v>
      </c>
      <c r="B748" s="3" t="s">
        <v>772</v>
      </c>
      <c r="C748" s="28" t="s">
        <v>23</v>
      </c>
      <c r="D748" s="2" t="s">
        <v>2721</v>
      </c>
      <c r="E748" s="4" t="s">
        <v>50</v>
      </c>
      <c r="F748" s="5">
        <v>59</v>
      </c>
      <c r="G748" s="5">
        <v>73</v>
      </c>
      <c r="H748" s="5">
        <v>86</v>
      </c>
      <c r="I748" s="10">
        <v>2.75</v>
      </c>
      <c r="J748" s="11">
        <f t="shared" si="58"/>
        <v>162.25</v>
      </c>
      <c r="K748" s="12" t="str">
        <f t="shared" si="55"/>
        <v>Low Stock_Reorder Needed</v>
      </c>
      <c r="L748" s="12">
        <f t="shared" si="56"/>
        <v>236.5</v>
      </c>
      <c r="M748" s="6">
        <v>45701</v>
      </c>
      <c r="N748" s="6">
        <v>45658</v>
      </c>
      <c r="O748" s="6">
        <v>45546</v>
      </c>
      <c r="P748" s="7" t="s">
        <v>2722</v>
      </c>
      <c r="Q748" s="5">
        <v>32</v>
      </c>
      <c r="R748" s="10">
        <f t="shared" si="57"/>
        <v>88</v>
      </c>
      <c r="S748" s="5">
        <v>56</v>
      </c>
      <c r="T748" s="5" t="s">
        <v>39</v>
      </c>
      <c r="U748" s="11">
        <f t="shared" si="59"/>
        <v>-74.25</v>
      </c>
    </row>
    <row r="749" spans="1:21" ht="16" x14ac:dyDescent="0.4">
      <c r="A749" s="2" t="s">
        <v>2723</v>
      </c>
      <c r="B749" s="3" t="s">
        <v>446</v>
      </c>
      <c r="C749" s="28" t="s">
        <v>90</v>
      </c>
      <c r="D749" s="2" t="s">
        <v>2724</v>
      </c>
      <c r="E749" s="4" t="s">
        <v>1774</v>
      </c>
      <c r="F749" s="5">
        <v>99</v>
      </c>
      <c r="G749" s="5">
        <v>3</v>
      </c>
      <c r="H749" s="5">
        <v>79</v>
      </c>
      <c r="I749" s="10">
        <v>5</v>
      </c>
      <c r="J749" s="11">
        <f t="shared" si="58"/>
        <v>495</v>
      </c>
      <c r="K749" s="12" t="str">
        <f t="shared" si="55"/>
        <v>Stock_Sufficient</v>
      </c>
      <c r="L749" s="12">
        <f t="shared" si="56"/>
        <v>395</v>
      </c>
      <c r="M749" s="6">
        <v>45448</v>
      </c>
      <c r="N749" s="6">
        <v>45673</v>
      </c>
      <c r="O749" s="6">
        <v>45617</v>
      </c>
      <c r="P749" s="7" t="s">
        <v>2725</v>
      </c>
      <c r="Q749" s="5">
        <v>65</v>
      </c>
      <c r="R749" s="10">
        <f t="shared" si="57"/>
        <v>325</v>
      </c>
      <c r="S749" s="5">
        <v>16</v>
      </c>
      <c r="T749" s="5" t="s">
        <v>39</v>
      </c>
      <c r="U749" s="11">
        <f t="shared" si="59"/>
        <v>-170</v>
      </c>
    </row>
    <row r="750" spans="1:21" ht="16" x14ac:dyDescent="0.4">
      <c r="A750" s="2" t="s">
        <v>2726</v>
      </c>
      <c r="B750" s="3" t="s">
        <v>317</v>
      </c>
      <c r="C750" s="28" t="s">
        <v>30</v>
      </c>
      <c r="D750" s="2" t="s">
        <v>2727</v>
      </c>
      <c r="E750" s="4" t="s">
        <v>443</v>
      </c>
      <c r="F750" s="5">
        <v>18</v>
      </c>
      <c r="G750" s="5">
        <v>36</v>
      </c>
      <c r="H750" s="5">
        <v>53</v>
      </c>
      <c r="I750" s="10">
        <v>5.3</v>
      </c>
      <c r="J750" s="11">
        <f t="shared" si="58"/>
        <v>95.399999999999991</v>
      </c>
      <c r="K750" s="12" t="str">
        <f t="shared" si="55"/>
        <v>Low Stock_Reorder Needed</v>
      </c>
      <c r="L750" s="12">
        <f t="shared" si="56"/>
        <v>280.89999999999998</v>
      </c>
      <c r="M750" s="6">
        <v>45424</v>
      </c>
      <c r="N750" s="6">
        <v>45413</v>
      </c>
      <c r="O750" s="6">
        <v>45467</v>
      </c>
      <c r="P750" s="7" t="s">
        <v>2728</v>
      </c>
      <c r="Q750" s="5">
        <v>65</v>
      </c>
      <c r="R750" s="10">
        <f t="shared" si="57"/>
        <v>344.5</v>
      </c>
      <c r="S750" s="5">
        <v>100</v>
      </c>
      <c r="T750" s="5" t="s">
        <v>45</v>
      </c>
      <c r="U750" s="11">
        <f t="shared" si="59"/>
        <v>249.10000000000002</v>
      </c>
    </row>
    <row r="751" spans="1:21" ht="16" x14ac:dyDescent="0.4">
      <c r="A751" s="2" t="s">
        <v>2729</v>
      </c>
      <c r="B751" s="3" t="s">
        <v>781</v>
      </c>
      <c r="C751" s="28" t="s">
        <v>48</v>
      </c>
      <c r="D751" s="2" t="s">
        <v>2730</v>
      </c>
      <c r="E751" s="4" t="s">
        <v>803</v>
      </c>
      <c r="F751" s="5">
        <v>58</v>
      </c>
      <c r="G751" s="5">
        <v>12</v>
      </c>
      <c r="H751" s="5">
        <v>99</v>
      </c>
      <c r="I751" s="10">
        <v>3</v>
      </c>
      <c r="J751" s="11">
        <f t="shared" si="58"/>
        <v>174</v>
      </c>
      <c r="K751" s="12" t="str">
        <f t="shared" si="55"/>
        <v>Stock_Sufficient</v>
      </c>
      <c r="L751" s="12">
        <f t="shared" si="56"/>
        <v>297</v>
      </c>
      <c r="M751" s="6">
        <v>45679</v>
      </c>
      <c r="N751" s="6">
        <v>45669</v>
      </c>
      <c r="O751" s="6">
        <v>45438</v>
      </c>
      <c r="P751" s="7" t="s">
        <v>2731</v>
      </c>
      <c r="Q751" s="5">
        <v>71</v>
      </c>
      <c r="R751" s="10">
        <f t="shared" si="57"/>
        <v>213</v>
      </c>
      <c r="S751" s="5">
        <v>30</v>
      </c>
      <c r="T751" s="5" t="s">
        <v>45</v>
      </c>
      <c r="U751" s="11">
        <f t="shared" si="59"/>
        <v>39</v>
      </c>
    </row>
    <row r="752" spans="1:21" ht="16" x14ac:dyDescent="0.4">
      <c r="A752" s="2" t="s">
        <v>2732</v>
      </c>
      <c r="B752" s="3" t="s">
        <v>35</v>
      </c>
      <c r="C752" s="28" t="s">
        <v>23</v>
      </c>
      <c r="D752" s="2" t="s">
        <v>2733</v>
      </c>
      <c r="E752" s="4" t="s">
        <v>986</v>
      </c>
      <c r="F752" s="5">
        <v>30</v>
      </c>
      <c r="G752" s="5">
        <v>34</v>
      </c>
      <c r="H752" s="5">
        <v>96</v>
      </c>
      <c r="I752" s="10">
        <v>6.3</v>
      </c>
      <c r="J752" s="11">
        <f t="shared" si="58"/>
        <v>189</v>
      </c>
      <c r="K752" s="12" t="str">
        <f t="shared" si="55"/>
        <v>Low Stock_Reorder Needed</v>
      </c>
      <c r="L752" s="12">
        <f t="shared" si="56"/>
        <v>604.79999999999995</v>
      </c>
      <c r="M752" s="6">
        <v>45600</v>
      </c>
      <c r="N752" s="6">
        <v>45645</v>
      </c>
      <c r="O752" s="6">
        <v>45404</v>
      </c>
      <c r="P752" s="7" t="s">
        <v>2734</v>
      </c>
      <c r="Q752" s="5">
        <v>61</v>
      </c>
      <c r="R752" s="10">
        <f t="shared" si="57"/>
        <v>384.3</v>
      </c>
      <c r="S752" s="5">
        <v>13</v>
      </c>
      <c r="T752" s="5" t="s">
        <v>39</v>
      </c>
      <c r="U752" s="11">
        <f t="shared" si="59"/>
        <v>195.3</v>
      </c>
    </row>
    <row r="753" spans="1:21" ht="16" x14ac:dyDescent="0.4">
      <c r="A753" s="2" t="s">
        <v>2735</v>
      </c>
      <c r="B753" s="3" t="s">
        <v>1206</v>
      </c>
      <c r="C753" s="28" t="s">
        <v>48</v>
      </c>
      <c r="D753" s="2" t="s">
        <v>2736</v>
      </c>
      <c r="E753" s="4" t="s">
        <v>300</v>
      </c>
      <c r="F753" s="5">
        <v>97</v>
      </c>
      <c r="G753" s="5">
        <v>97</v>
      </c>
      <c r="H753" s="5">
        <v>71</v>
      </c>
      <c r="I753" s="10">
        <v>4.5</v>
      </c>
      <c r="J753" s="11">
        <f t="shared" si="58"/>
        <v>436.5</v>
      </c>
      <c r="K753" s="12" t="str">
        <f t="shared" si="55"/>
        <v>Low Stock_Reorder Needed</v>
      </c>
      <c r="L753" s="12">
        <f t="shared" si="56"/>
        <v>319.5</v>
      </c>
      <c r="M753" s="6">
        <v>45485</v>
      </c>
      <c r="N753" s="6">
        <v>45564</v>
      </c>
      <c r="O753" s="6">
        <v>45526</v>
      </c>
      <c r="P753" s="7" t="s">
        <v>2737</v>
      </c>
      <c r="Q753" s="5">
        <v>53</v>
      </c>
      <c r="R753" s="10">
        <f t="shared" si="57"/>
        <v>238.5</v>
      </c>
      <c r="S753" s="5">
        <v>31</v>
      </c>
      <c r="T753" s="5" t="s">
        <v>45</v>
      </c>
      <c r="U753" s="11">
        <f t="shared" si="59"/>
        <v>-198</v>
      </c>
    </row>
    <row r="754" spans="1:21" ht="16" x14ac:dyDescent="0.4">
      <c r="A754" s="2" t="s">
        <v>2738</v>
      </c>
      <c r="B754" s="3" t="s">
        <v>64</v>
      </c>
      <c r="C754" s="28" t="s">
        <v>65</v>
      </c>
      <c r="D754" s="2" t="s">
        <v>2739</v>
      </c>
      <c r="E754" s="4" t="s">
        <v>1094</v>
      </c>
      <c r="F754" s="5">
        <v>50</v>
      </c>
      <c r="G754" s="5">
        <v>93</v>
      </c>
      <c r="H754" s="5">
        <v>37</v>
      </c>
      <c r="I754" s="10">
        <v>2.4500000000000002</v>
      </c>
      <c r="J754" s="11">
        <f t="shared" si="58"/>
        <v>122.50000000000001</v>
      </c>
      <c r="K754" s="12" t="str">
        <f t="shared" si="55"/>
        <v>Low Stock_Reorder Needed</v>
      </c>
      <c r="L754" s="12">
        <f t="shared" si="56"/>
        <v>90.65</v>
      </c>
      <c r="M754" s="6">
        <v>45668</v>
      </c>
      <c r="N754" s="6">
        <v>45353</v>
      </c>
      <c r="O754" s="6">
        <v>45424</v>
      </c>
      <c r="P754" s="7" t="s">
        <v>2740</v>
      </c>
      <c r="Q754" s="5">
        <v>78</v>
      </c>
      <c r="R754" s="10">
        <f t="shared" si="57"/>
        <v>191.10000000000002</v>
      </c>
      <c r="S754" s="5">
        <v>79</v>
      </c>
      <c r="T754" s="5" t="s">
        <v>39</v>
      </c>
      <c r="U754" s="11">
        <f t="shared" si="59"/>
        <v>68.600000000000009</v>
      </c>
    </row>
    <row r="755" spans="1:21" ht="16" x14ac:dyDescent="0.4">
      <c r="A755" s="2" t="s">
        <v>2741</v>
      </c>
      <c r="B755" s="3" t="s">
        <v>720</v>
      </c>
      <c r="C755" s="28" t="s">
        <v>65</v>
      </c>
      <c r="D755" s="2" t="s">
        <v>2742</v>
      </c>
      <c r="E755" s="4" t="s">
        <v>2377</v>
      </c>
      <c r="F755" s="5">
        <v>70</v>
      </c>
      <c r="G755" s="5">
        <v>96</v>
      </c>
      <c r="H755" s="5">
        <v>35</v>
      </c>
      <c r="I755" s="10">
        <v>9</v>
      </c>
      <c r="J755" s="11">
        <f t="shared" si="58"/>
        <v>630</v>
      </c>
      <c r="K755" s="12" t="str">
        <f t="shared" si="55"/>
        <v>Low Stock_Reorder Needed</v>
      </c>
      <c r="L755" s="12">
        <f t="shared" si="56"/>
        <v>315</v>
      </c>
      <c r="M755" s="6">
        <v>45696</v>
      </c>
      <c r="N755" s="6">
        <v>45467</v>
      </c>
      <c r="O755" s="6">
        <v>45674</v>
      </c>
      <c r="P755" s="7" t="s">
        <v>2743</v>
      </c>
      <c r="Q755" s="5">
        <v>63</v>
      </c>
      <c r="R755" s="10">
        <f t="shared" si="57"/>
        <v>567</v>
      </c>
      <c r="S755" s="5">
        <v>84</v>
      </c>
      <c r="T755" s="5" t="s">
        <v>39</v>
      </c>
      <c r="U755" s="11">
        <f t="shared" si="59"/>
        <v>-63</v>
      </c>
    </row>
    <row r="756" spans="1:21" ht="16" x14ac:dyDescent="0.4">
      <c r="A756" s="2" t="s">
        <v>2744</v>
      </c>
      <c r="B756" s="3" t="s">
        <v>441</v>
      </c>
      <c r="C756" s="28" t="s">
        <v>48</v>
      </c>
      <c r="D756" s="2" t="s">
        <v>2745</v>
      </c>
      <c r="E756" s="4" t="s">
        <v>2220</v>
      </c>
      <c r="F756" s="5">
        <v>40</v>
      </c>
      <c r="G756" s="5">
        <v>61</v>
      </c>
      <c r="H756" s="5">
        <v>47</v>
      </c>
      <c r="I756" s="10">
        <v>10</v>
      </c>
      <c r="J756" s="11">
        <f t="shared" si="58"/>
        <v>400</v>
      </c>
      <c r="K756" s="12" t="str">
        <f t="shared" si="55"/>
        <v>Low Stock_Reorder Needed</v>
      </c>
      <c r="L756" s="12">
        <f t="shared" si="56"/>
        <v>470</v>
      </c>
      <c r="M756" s="6">
        <v>45532</v>
      </c>
      <c r="N756" s="6">
        <v>45454</v>
      </c>
      <c r="O756" s="6">
        <v>45439</v>
      </c>
      <c r="P756" s="7" t="s">
        <v>2746</v>
      </c>
      <c r="Q756" s="5">
        <v>76</v>
      </c>
      <c r="R756" s="10">
        <f t="shared" si="57"/>
        <v>760</v>
      </c>
      <c r="S756" s="5">
        <v>10</v>
      </c>
      <c r="T756" s="5" t="s">
        <v>27</v>
      </c>
      <c r="U756" s="11">
        <f t="shared" si="59"/>
        <v>360</v>
      </c>
    </row>
    <row r="757" spans="1:21" ht="16" x14ac:dyDescent="0.4">
      <c r="A757" s="2" t="s">
        <v>2747</v>
      </c>
      <c r="B757" s="3" t="s">
        <v>58</v>
      </c>
      <c r="C757" s="28" t="s">
        <v>59</v>
      </c>
      <c r="D757" s="2" t="s">
        <v>2748</v>
      </c>
      <c r="E757" s="4" t="s">
        <v>1660</v>
      </c>
      <c r="F757" s="5">
        <v>75</v>
      </c>
      <c r="G757" s="5">
        <v>23</v>
      </c>
      <c r="H757" s="5">
        <v>34</v>
      </c>
      <c r="I757" s="10">
        <v>2.5</v>
      </c>
      <c r="J757" s="11">
        <f t="shared" si="58"/>
        <v>187.5</v>
      </c>
      <c r="K757" s="12" t="str">
        <f t="shared" si="55"/>
        <v>Stock_Sufficient</v>
      </c>
      <c r="L757" s="12">
        <f t="shared" si="56"/>
        <v>85</v>
      </c>
      <c r="M757" s="6">
        <v>45465</v>
      </c>
      <c r="N757" s="6">
        <v>45539</v>
      </c>
      <c r="O757" s="6">
        <v>45477</v>
      </c>
      <c r="P757" s="7" t="s">
        <v>2749</v>
      </c>
      <c r="Q757" s="5">
        <v>100</v>
      </c>
      <c r="R757" s="10">
        <f t="shared" si="57"/>
        <v>250</v>
      </c>
      <c r="S757" s="5">
        <v>54</v>
      </c>
      <c r="T757" s="5" t="s">
        <v>39</v>
      </c>
      <c r="U757" s="11">
        <f t="shared" si="59"/>
        <v>62.5</v>
      </c>
    </row>
    <row r="758" spans="1:21" ht="16" x14ac:dyDescent="0.4">
      <c r="A758" s="2" t="s">
        <v>2750</v>
      </c>
      <c r="B758" s="3" t="s">
        <v>99</v>
      </c>
      <c r="C758" s="28" t="s">
        <v>48</v>
      </c>
      <c r="D758" s="2" t="s">
        <v>2751</v>
      </c>
      <c r="E758" s="4" t="s">
        <v>663</v>
      </c>
      <c r="F758" s="5">
        <v>26</v>
      </c>
      <c r="G758" s="5">
        <v>97</v>
      </c>
      <c r="H758" s="5">
        <v>12</v>
      </c>
      <c r="I758" s="10">
        <v>6</v>
      </c>
      <c r="J758" s="11">
        <f t="shared" si="58"/>
        <v>156</v>
      </c>
      <c r="K758" s="12" t="str">
        <f t="shared" si="55"/>
        <v>Low Stock_Reorder Needed</v>
      </c>
      <c r="L758" s="12">
        <f t="shared" si="56"/>
        <v>72</v>
      </c>
      <c r="M758" s="6">
        <v>45560</v>
      </c>
      <c r="N758" s="6">
        <v>45624</v>
      </c>
      <c r="O758" s="6">
        <v>45455</v>
      </c>
      <c r="P758" s="7" t="s">
        <v>2752</v>
      </c>
      <c r="Q758" s="5">
        <v>94</v>
      </c>
      <c r="R758" s="10">
        <f t="shared" si="57"/>
        <v>564</v>
      </c>
      <c r="S758" s="5">
        <v>58</v>
      </c>
      <c r="T758" s="5" t="s">
        <v>27</v>
      </c>
      <c r="U758" s="11">
        <f t="shared" si="59"/>
        <v>408</v>
      </c>
    </row>
    <row r="759" spans="1:21" ht="16" x14ac:dyDescent="0.4">
      <c r="A759" s="2" t="s">
        <v>2753</v>
      </c>
      <c r="B759" s="3" t="s">
        <v>29</v>
      </c>
      <c r="C759" s="28" t="s">
        <v>30</v>
      </c>
      <c r="D759" s="2" t="s">
        <v>2754</v>
      </c>
      <c r="E759" s="4" t="s">
        <v>1000</v>
      </c>
      <c r="F759" s="5">
        <v>13</v>
      </c>
      <c r="G759" s="5">
        <v>55</v>
      </c>
      <c r="H759" s="5">
        <v>77</v>
      </c>
      <c r="I759" s="10">
        <v>20</v>
      </c>
      <c r="J759" s="11">
        <f t="shared" si="58"/>
        <v>260</v>
      </c>
      <c r="K759" s="12" t="str">
        <f t="shared" si="55"/>
        <v>Low Stock_Reorder Needed</v>
      </c>
      <c r="L759" s="12">
        <f t="shared" si="56"/>
        <v>1540</v>
      </c>
      <c r="M759" s="6">
        <v>45582</v>
      </c>
      <c r="N759" s="6">
        <v>45642</v>
      </c>
      <c r="O759" s="6">
        <v>45599</v>
      </c>
      <c r="P759" s="7" t="s">
        <v>2755</v>
      </c>
      <c r="Q759" s="5">
        <v>67</v>
      </c>
      <c r="R759" s="10">
        <f t="shared" si="57"/>
        <v>1340</v>
      </c>
      <c r="S759" s="5">
        <v>68</v>
      </c>
      <c r="T759" s="5" t="s">
        <v>39</v>
      </c>
      <c r="U759" s="11">
        <f t="shared" si="59"/>
        <v>1080</v>
      </c>
    </row>
    <row r="760" spans="1:21" ht="16" x14ac:dyDescent="0.4">
      <c r="A760" s="2" t="s">
        <v>2756</v>
      </c>
      <c r="B760" s="3" t="s">
        <v>47</v>
      </c>
      <c r="C760" s="28" t="s">
        <v>48</v>
      </c>
      <c r="D760" s="2" t="s">
        <v>2757</v>
      </c>
      <c r="E760" s="4" t="s">
        <v>2758</v>
      </c>
      <c r="F760" s="5">
        <v>11</v>
      </c>
      <c r="G760" s="5">
        <v>58</v>
      </c>
      <c r="H760" s="5">
        <v>32</v>
      </c>
      <c r="I760" s="10">
        <v>4</v>
      </c>
      <c r="J760" s="11">
        <f t="shared" si="58"/>
        <v>44</v>
      </c>
      <c r="K760" s="12" t="str">
        <f t="shared" si="55"/>
        <v>Low Stock_Reorder Needed</v>
      </c>
      <c r="L760" s="12">
        <f t="shared" si="56"/>
        <v>128</v>
      </c>
      <c r="M760" s="6">
        <v>45350</v>
      </c>
      <c r="N760" s="6">
        <v>45482</v>
      </c>
      <c r="O760" s="6">
        <v>45620</v>
      </c>
      <c r="P760" s="7" t="s">
        <v>2759</v>
      </c>
      <c r="Q760" s="5">
        <v>99</v>
      </c>
      <c r="R760" s="10">
        <f t="shared" si="57"/>
        <v>396</v>
      </c>
      <c r="S760" s="5">
        <v>94</v>
      </c>
      <c r="T760" s="5" t="s">
        <v>45</v>
      </c>
      <c r="U760" s="11">
        <f t="shared" si="59"/>
        <v>352</v>
      </c>
    </row>
    <row r="761" spans="1:21" ht="16" x14ac:dyDescent="0.4">
      <c r="A761" s="2" t="s">
        <v>2760</v>
      </c>
      <c r="B761" s="3" t="s">
        <v>1480</v>
      </c>
      <c r="C761" s="28" t="s">
        <v>133</v>
      </c>
      <c r="D761" s="2" t="s">
        <v>2761</v>
      </c>
      <c r="E761" s="4" t="s">
        <v>189</v>
      </c>
      <c r="F761" s="5">
        <v>98</v>
      </c>
      <c r="G761" s="5">
        <v>67</v>
      </c>
      <c r="H761" s="5">
        <v>49</v>
      </c>
      <c r="I761" s="10">
        <v>15</v>
      </c>
      <c r="J761" s="11">
        <f t="shared" si="58"/>
        <v>1470</v>
      </c>
      <c r="K761" s="12" t="str">
        <f t="shared" si="55"/>
        <v>Stock_Sufficient</v>
      </c>
      <c r="L761" s="12">
        <f t="shared" si="56"/>
        <v>735</v>
      </c>
      <c r="M761" s="6">
        <v>45513</v>
      </c>
      <c r="N761" s="6">
        <v>45655</v>
      </c>
      <c r="O761" s="6">
        <v>45386</v>
      </c>
      <c r="P761" s="7" t="s">
        <v>2762</v>
      </c>
      <c r="Q761" s="5">
        <v>21</v>
      </c>
      <c r="R761" s="10">
        <f t="shared" si="57"/>
        <v>315</v>
      </c>
      <c r="S761" s="5">
        <v>61</v>
      </c>
      <c r="T761" s="5" t="s">
        <v>45</v>
      </c>
      <c r="U761" s="11">
        <f t="shared" si="59"/>
        <v>-1155</v>
      </c>
    </row>
    <row r="762" spans="1:21" ht="16" x14ac:dyDescent="0.4">
      <c r="A762" s="2" t="s">
        <v>2763</v>
      </c>
      <c r="B762" s="3" t="s">
        <v>350</v>
      </c>
      <c r="C762" s="28" t="s">
        <v>48</v>
      </c>
      <c r="D762" s="2" t="s">
        <v>2764</v>
      </c>
      <c r="E762" s="4" t="s">
        <v>414</v>
      </c>
      <c r="F762" s="5">
        <v>35</v>
      </c>
      <c r="G762" s="5">
        <v>4</v>
      </c>
      <c r="H762" s="5">
        <v>76</v>
      </c>
      <c r="I762" s="10">
        <v>4</v>
      </c>
      <c r="J762" s="11">
        <f t="shared" si="58"/>
        <v>140</v>
      </c>
      <c r="K762" s="12" t="str">
        <f t="shared" si="55"/>
        <v>Stock_Sufficient</v>
      </c>
      <c r="L762" s="12">
        <f t="shared" si="56"/>
        <v>304</v>
      </c>
      <c r="M762" s="6">
        <v>45513</v>
      </c>
      <c r="N762" s="6">
        <v>45526</v>
      </c>
      <c r="O762" s="6">
        <v>45520</v>
      </c>
      <c r="P762" s="7" t="s">
        <v>2765</v>
      </c>
      <c r="Q762" s="5">
        <v>90</v>
      </c>
      <c r="R762" s="10">
        <f t="shared" si="57"/>
        <v>360</v>
      </c>
      <c r="S762" s="5">
        <v>30</v>
      </c>
      <c r="T762" s="5" t="s">
        <v>27</v>
      </c>
      <c r="U762" s="11">
        <f t="shared" si="59"/>
        <v>220</v>
      </c>
    </row>
    <row r="763" spans="1:21" ht="16" x14ac:dyDescent="0.4">
      <c r="A763" s="2" t="s">
        <v>2766</v>
      </c>
      <c r="B763" s="3" t="s">
        <v>1043</v>
      </c>
      <c r="C763" s="28" t="s">
        <v>133</v>
      </c>
      <c r="D763" s="2" t="s">
        <v>2767</v>
      </c>
      <c r="E763" s="4" t="s">
        <v>2344</v>
      </c>
      <c r="F763" s="5">
        <v>45</v>
      </c>
      <c r="G763" s="5">
        <v>56</v>
      </c>
      <c r="H763" s="5">
        <v>64</v>
      </c>
      <c r="I763" s="10">
        <v>7.5</v>
      </c>
      <c r="J763" s="11">
        <f t="shared" si="58"/>
        <v>337.5</v>
      </c>
      <c r="K763" s="12" t="str">
        <f t="shared" si="55"/>
        <v>Low Stock_Reorder Needed</v>
      </c>
      <c r="L763" s="12">
        <f t="shared" si="56"/>
        <v>480</v>
      </c>
      <c r="M763" s="6">
        <v>45487</v>
      </c>
      <c r="N763" s="6">
        <v>45530</v>
      </c>
      <c r="O763" s="6">
        <v>45478</v>
      </c>
      <c r="P763" s="7" t="s">
        <v>2768</v>
      </c>
      <c r="Q763" s="5">
        <v>35</v>
      </c>
      <c r="R763" s="10">
        <f t="shared" si="57"/>
        <v>262.5</v>
      </c>
      <c r="S763" s="5">
        <v>82</v>
      </c>
      <c r="T763" s="5" t="s">
        <v>27</v>
      </c>
      <c r="U763" s="11">
        <f t="shared" si="59"/>
        <v>-75</v>
      </c>
    </row>
    <row r="764" spans="1:21" ht="16" x14ac:dyDescent="0.4">
      <c r="A764" s="2" t="s">
        <v>2769</v>
      </c>
      <c r="B764" s="3" t="s">
        <v>1003</v>
      </c>
      <c r="C764" s="28" t="s">
        <v>48</v>
      </c>
      <c r="D764" s="2" t="s">
        <v>2770</v>
      </c>
      <c r="E764" s="4" t="s">
        <v>2138</v>
      </c>
      <c r="F764" s="5">
        <v>47</v>
      </c>
      <c r="G764" s="5">
        <v>22</v>
      </c>
      <c r="H764" s="5">
        <v>69</v>
      </c>
      <c r="I764" s="10">
        <v>4</v>
      </c>
      <c r="J764" s="11">
        <f t="shared" si="58"/>
        <v>188</v>
      </c>
      <c r="K764" s="12" t="str">
        <f t="shared" si="55"/>
        <v>Stock_Sufficient</v>
      </c>
      <c r="L764" s="12">
        <f t="shared" si="56"/>
        <v>276</v>
      </c>
      <c r="M764" s="6">
        <v>45353</v>
      </c>
      <c r="N764" s="6">
        <v>45487</v>
      </c>
      <c r="O764" s="6">
        <v>45446</v>
      </c>
      <c r="P764" s="7" t="s">
        <v>2771</v>
      </c>
      <c r="Q764" s="5">
        <v>26</v>
      </c>
      <c r="R764" s="10">
        <f t="shared" si="57"/>
        <v>104</v>
      </c>
      <c r="S764" s="5">
        <v>59</v>
      </c>
      <c r="T764" s="5" t="s">
        <v>39</v>
      </c>
      <c r="U764" s="11">
        <f t="shared" si="59"/>
        <v>-84</v>
      </c>
    </row>
    <row r="765" spans="1:21" ht="16" x14ac:dyDescent="0.4">
      <c r="A765" s="2" t="s">
        <v>2772</v>
      </c>
      <c r="B765" s="3" t="s">
        <v>738</v>
      </c>
      <c r="C765" s="28" t="s">
        <v>59</v>
      </c>
      <c r="D765" s="2" t="s">
        <v>2773</v>
      </c>
      <c r="E765" s="4" t="s">
        <v>948</v>
      </c>
      <c r="F765" s="5">
        <v>89</v>
      </c>
      <c r="G765" s="5">
        <v>66</v>
      </c>
      <c r="H765" s="5">
        <v>28</v>
      </c>
      <c r="I765" s="10">
        <v>6.5</v>
      </c>
      <c r="J765" s="11">
        <f t="shared" si="58"/>
        <v>578.5</v>
      </c>
      <c r="K765" s="12" t="str">
        <f t="shared" si="55"/>
        <v>Stock_Sufficient</v>
      </c>
      <c r="L765" s="12">
        <f t="shared" si="56"/>
        <v>182</v>
      </c>
      <c r="M765" s="6">
        <v>45670</v>
      </c>
      <c r="N765" s="6">
        <v>45615</v>
      </c>
      <c r="O765" s="6">
        <v>45621</v>
      </c>
      <c r="P765" s="7" t="s">
        <v>2774</v>
      </c>
      <c r="Q765" s="5">
        <v>39</v>
      </c>
      <c r="R765" s="10">
        <f t="shared" si="57"/>
        <v>253.5</v>
      </c>
      <c r="S765" s="5">
        <v>25</v>
      </c>
      <c r="T765" s="5" t="s">
        <v>45</v>
      </c>
      <c r="U765" s="11">
        <f t="shared" si="59"/>
        <v>-325</v>
      </c>
    </row>
    <row r="766" spans="1:21" ht="16" x14ac:dyDescent="0.4">
      <c r="A766" s="2" t="s">
        <v>2775</v>
      </c>
      <c r="B766" s="3" t="s">
        <v>235</v>
      </c>
      <c r="C766" s="28" t="s">
        <v>30</v>
      </c>
      <c r="D766" s="2" t="s">
        <v>2776</v>
      </c>
      <c r="E766" s="4" t="s">
        <v>179</v>
      </c>
      <c r="F766" s="5">
        <v>33</v>
      </c>
      <c r="G766" s="5">
        <v>22</v>
      </c>
      <c r="H766" s="5">
        <v>94</v>
      </c>
      <c r="I766" s="10">
        <v>15</v>
      </c>
      <c r="J766" s="11">
        <f t="shared" si="58"/>
        <v>495</v>
      </c>
      <c r="K766" s="12" t="str">
        <f t="shared" si="55"/>
        <v>Stock_Sufficient</v>
      </c>
      <c r="L766" s="12">
        <f t="shared" si="56"/>
        <v>1410</v>
      </c>
      <c r="M766" s="6">
        <v>45624</v>
      </c>
      <c r="N766" s="6">
        <v>45559</v>
      </c>
      <c r="O766" s="6">
        <v>45534</v>
      </c>
      <c r="P766" s="7" t="s">
        <v>2777</v>
      </c>
      <c r="Q766" s="5">
        <v>96</v>
      </c>
      <c r="R766" s="10">
        <f t="shared" si="57"/>
        <v>1440</v>
      </c>
      <c r="S766" s="5">
        <v>56</v>
      </c>
      <c r="T766" s="5" t="s">
        <v>27</v>
      </c>
      <c r="U766" s="11">
        <f t="shared" si="59"/>
        <v>945</v>
      </c>
    </row>
    <row r="767" spans="1:21" ht="16" x14ac:dyDescent="0.4">
      <c r="A767" s="2" t="s">
        <v>2778</v>
      </c>
      <c r="B767" s="3" t="s">
        <v>1185</v>
      </c>
      <c r="C767" s="28" t="s">
        <v>48</v>
      </c>
      <c r="D767" s="2" t="s">
        <v>2779</v>
      </c>
      <c r="E767" s="4" t="s">
        <v>1195</v>
      </c>
      <c r="F767" s="5">
        <v>90</v>
      </c>
      <c r="G767" s="5">
        <v>30</v>
      </c>
      <c r="H767" s="5">
        <v>42</v>
      </c>
      <c r="I767" s="10">
        <v>5</v>
      </c>
      <c r="J767" s="11">
        <f t="shared" si="58"/>
        <v>450</v>
      </c>
      <c r="K767" s="12" t="str">
        <f t="shared" si="55"/>
        <v>Stock_Sufficient</v>
      </c>
      <c r="L767" s="12">
        <f t="shared" si="56"/>
        <v>210</v>
      </c>
      <c r="M767" s="6">
        <v>45523</v>
      </c>
      <c r="N767" s="6">
        <v>45502</v>
      </c>
      <c r="O767" s="6">
        <v>45353</v>
      </c>
      <c r="P767" s="7" t="s">
        <v>2780</v>
      </c>
      <c r="Q767" s="5">
        <v>76</v>
      </c>
      <c r="R767" s="10">
        <f t="shared" si="57"/>
        <v>380</v>
      </c>
      <c r="S767" s="5">
        <v>69</v>
      </c>
      <c r="T767" s="5" t="s">
        <v>39</v>
      </c>
      <c r="U767" s="11">
        <f t="shared" si="59"/>
        <v>-70</v>
      </c>
    </row>
    <row r="768" spans="1:21" ht="16" x14ac:dyDescent="0.4">
      <c r="A768" s="2" t="s">
        <v>2781</v>
      </c>
      <c r="B768" s="3" t="s">
        <v>468</v>
      </c>
      <c r="C768" s="28" t="s">
        <v>23</v>
      </c>
      <c r="D768" s="2" t="s">
        <v>2782</v>
      </c>
      <c r="E768" s="4" t="s">
        <v>1396</v>
      </c>
      <c r="F768" s="5">
        <v>44</v>
      </c>
      <c r="G768" s="5">
        <v>26</v>
      </c>
      <c r="H768" s="5">
        <v>60</v>
      </c>
      <c r="I768" s="10">
        <v>4.75</v>
      </c>
      <c r="J768" s="11">
        <f t="shared" si="58"/>
        <v>209</v>
      </c>
      <c r="K768" s="12" t="str">
        <f t="shared" si="55"/>
        <v>Stock_Sufficient</v>
      </c>
      <c r="L768" s="12">
        <f t="shared" si="56"/>
        <v>285</v>
      </c>
      <c r="M768" s="6">
        <v>45366</v>
      </c>
      <c r="N768" s="6">
        <v>45527</v>
      </c>
      <c r="O768" s="6">
        <v>45509</v>
      </c>
      <c r="P768" s="7" t="s">
        <v>2783</v>
      </c>
      <c r="Q768" s="5">
        <v>63</v>
      </c>
      <c r="R768" s="10">
        <f t="shared" si="57"/>
        <v>299.25</v>
      </c>
      <c r="S768" s="5">
        <v>59</v>
      </c>
      <c r="T768" s="5" t="s">
        <v>27</v>
      </c>
      <c r="U768" s="11">
        <f t="shared" si="59"/>
        <v>90.25</v>
      </c>
    </row>
    <row r="769" spans="1:21" ht="16" x14ac:dyDescent="0.4">
      <c r="A769" s="2" t="s">
        <v>2784</v>
      </c>
      <c r="B769" s="3" t="s">
        <v>1469</v>
      </c>
      <c r="C769" s="28" t="s">
        <v>23</v>
      </c>
      <c r="D769" s="2" t="s">
        <v>2785</v>
      </c>
      <c r="E769" s="4" t="s">
        <v>2786</v>
      </c>
      <c r="F769" s="5">
        <v>41</v>
      </c>
      <c r="G769" s="5">
        <v>56</v>
      </c>
      <c r="H769" s="5">
        <v>12</v>
      </c>
      <c r="I769" s="10">
        <v>9.75</v>
      </c>
      <c r="J769" s="11">
        <f t="shared" si="58"/>
        <v>399.75</v>
      </c>
      <c r="K769" s="12" t="str">
        <f t="shared" si="55"/>
        <v>Low Stock_Reorder Needed</v>
      </c>
      <c r="L769" s="12">
        <f t="shared" si="56"/>
        <v>117</v>
      </c>
      <c r="M769" s="6">
        <v>45418</v>
      </c>
      <c r="N769" s="6">
        <v>45621</v>
      </c>
      <c r="O769" s="6">
        <v>45351</v>
      </c>
      <c r="P769" s="7" t="s">
        <v>2787</v>
      </c>
      <c r="Q769" s="5">
        <v>93</v>
      </c>
      <c r="R769" s="10">
        <f t="shared" si="57"/>
        <v>906.75</v>
      </c>
      <c r="S769" s="5">
        <v>88</v>
      </c>
      <c r="T769" s="5" t="s">
        <v>45</v>
      </c>
      <c r="U769" s="11">
        <f t="shared" si="59"/>
        <v>507</v>
      </c>
    </row>
    <row r="770" spans="1:21" ht="16" x14ac:dyDescent="0.4">
      <c r="A770" s="2" t="s">
        <v>2788</v>
      </c>
      <c r="B770" s="3" t="s">
        <v>390</v>
      </c>
      <c r="C770" s="28" t="s">
        <v>48</v>
      </c>
      <c r="D770" s="2" t="s">
        <v>2789</v>
      </c>
      <c r="E770" s="4" t="s">
        <v>1986</v>
      </c>
      <c r="F770" s="5">
        <v>72</v>
      </c>
      <c r="G770" s="5">
        <v>58</v>
      </c>
      <c r="H770" s="5">
        <v>69</v>
      </c>
      <c r="I770" s="10">
        <v>1.2</v>
      </c>
      <c r="J770" s="11">
        <f t="shared" si="58"/>
        <v>86.399999999999991</v>
      </c>
      <c r="K770" s="12" t="str">
        <f t="shared" ref="K770:K833" si="60">IF(F770&lt;=G770,"Low Stock_Reorder Needed","Stock_Sufficient")</f>
        <v>Stock_Sufficient</v>
      </c>
      <c r="L770" s="12">
        <f t="shared" ref="L770:L833" si="61">H770*I770</f>
        <v>82.8</v>
      </c>
      <c r="M770" s="6">
        <v>45581</v>
      </c>
      <c r="N770" s="6">
        <v>45691</v>
      </c>
      <c r="O770" s="6">
        <v>45711</v>
      </c>
      <c r="P770" s="7" t="s">
        <v>2790</v>
      </c>
      <c r="Q770" s="5">
        <v>96</v>
      </c>
      <c r="R770" s="10">
        <f t="shared" ref="R770:R833" si="62">Q770*I770</f>
        <v>115.19999999999999</v>
      </c>
      <c r="S770" s="5">
        <v>23</v>
      </c>
      <c r="T770" s="5" t="s">
        <v>39</v>
      </c>
      <c r="U770" s="11">
        <f t="shared" si="59"/>
        <v>28.799999999999997</v>
      </c>
    </row>
    <row r="771" spans="1:21" ht="16" x14ac:dyDescent="0.4">
      <c r="A771" s="2" t="s">
        <v>2791</v>
      </c>
      <c r="B771" s="3" t="s">
        <v>64</v>
      </c>
      <c r="C771" s="28" t="s">
        <v>65</v>
      </c>
      <c r="D771" s="2" t="s">
        <v>2792</v>
      </c>
      <c r="E771" s="4" t="s">
        <v>204</v>
      </c>
      <c r="F771" s="5">
        <v>72</v>
      </c>
      <c r="G771" s="5">
        <v>58</v>
      </c>
      <c r="H771" s="5">
        <v>52</v>
      </c>
      <c r="I771" s="10">
        <v>2.4</v>
      </c>
      <c r="J771" s="11">
        <f t="shared" ref="J771:J834" si="63">I771*F771</f>
        <v>172.79999999999998</v>
      </c>
      <c r="K771" s="12" t="str">
        <f t="shared" si="60"/>
        <v>Stock_Sufficient</v>
      </c>
      <c r="L771" s="12">
        <f t="shared" si="61"/>
        <v>124.8</v>
      </c>
      <c r="M771" s="6">
        <v>45703</v>
      </c>
      <c r="N771" s="6">
        <v>45428</v>
      </c>
      <c r="O771" s="6">
        <v>45588</v>
      </c>
      <c r="P771" s="7" t="s">
        <v>2793</v>
      </c>
      <c r="Q771" s="5">
        <v>36</v>
      </c>
      <c r="R771" s="10">
        <f t="shared" si="62"/>
        <v>86.399999999999991</v>
      </c>
      <c r="S771" s="5">
        <v>14</v>
      </c>
      <c r="T771" s="5" t="s">
        <v>45</v>
      </c>
      <c r="U771" s="11">
        <f t="shared" ref="U771:U834" si="64">R771-J771</f>
        <v>-86.399999999999991</v>
      </c>
    </row>
    <row r="772" spans="1:21" ht="16" x14ac:dyDescent="0.4">
      <c r="A772" s="2" t="s">
        <v>2794</v>
      </c>
      <c r="B772" s="3" t="s">
        <v>235</v>
      </c>
      <c r="C772" s="28" t="s">
        <v>30</v>
      </c>
      <c r="D772" s="2" t="s">
        <v>2795</v>
      </c>
      <c r="E772" s="4" t="s">
        <v>940</v>
      </c>
      <c r="F772" s="5">
        <v>40</v>
      </c>
      <c r="G772" s="5">
        <v>30</v>
      </c>
      <c r="H772" s="5">
        <v>60</v>
      </c>
      <c r="I772" s="10">
        <v>15</v>
      </c>
      <c r="J772" s="11">
        <f t="shared" si="63"/>
        <v>600</v>
      </c>
      <c r="K772" s="12" t="str">
        <f t="shared" si="60"/>
        <v>Stock_Sufficient</v>
      </c>
      <c r="L772" s="12">
        <f t="shared" si="61"/>
        <v>900</v>
      </c>
      <c r="M772" s="6">
        <v>45540</v>
      </c>
      <c r="N772" s="6">
        <v>45588</v>
      </c>
      <c r="O772" s="6">
        <v>45415</v>
      </c>
      <c r="P772" s="7" t="s">
        <v>2796</v>
      </c>
      <c r="Q772" s="5">
        <v>33</v>
      </c>
      <c r="R772" s="10">
        <f t="shared" si="62"/>
        <v>495</v>
      </c>
      <c r="S772" s="5">
        <v>84</v>
      </c>
      <c r="T772" s="5" t="s">
        <v>45</v>
      </c>
      <c r="U772" s="11">
        <f t="shared" si="64"/>
        <v>-105</v>
      </c>
    </row>
    <row r="773" spans="1:21" ht="16" x14ac:dyDescent="0.4">
      <c r="A773" s="2" t="s">
        <v>2797</v>
      </c>
      <c r="B773" s="3" t="s">
        <v>1552</v>
      </c>
      <c r="C773" s="28" t="s">
        <v>90</v>
      </c>
      <c r="D773" s="2" t="s">
        <v>2798</v>
      </c>
      <c r="E773" s="4" t="s">
        <v>486</v>
      </c>
      <c r="F773" s="5">
        <v>36</v>
      </c>
      <c r="G773" s="5">
        <v>53</v>
      </c>
      <c r="H773" s="5">
        <v>92</v>
      </c>
      <c r="I773" s="10">
        <v>3.5</v>
      </c>
      <c r="J773" s="11">
        <f t="shared" si="63"/>
        <v>126</v>
      </c>
      <c r="K773" s="12" t="str">
        <f t="shared" si="60"/>
        <v>Low Stock_Reorder Needed</v>
      </c>
      <c r="L773" s="12">
        <f t="shared" si="61"/>
        <v>322</v>
      </c>
      <c r="M773" s="6">
        <v>45480</v>
      </c>
      <c r="N773" s="6">
        <v>45444</v>
      </c>
      <c r="O773" s="6">
        <v>45373</v>
      </c>
      <c r="P773" s="7" t="s">
        <v>2799</v>
      </c>
      <c r="Q773" s="5">
        <v>67</v>
      </c>
      <c r="R773" s="10">
        <f t="shared" si="62"/>
        <v>234.5</v>
      </c>
      <c r="S773" s="5">
        <v>43</v>
      </c>
      <c r="T773" s="5" t="s">
        <v>39</v>
      </c>
      <c r="U773" s="11">
        <f t="shared" si="64"/>
        <v>108.5</v>
      </c>
    </row>
    <row r="774" spans="1:21" ht="16" x14ac:dyDescent="0.4">
      <c r="A774" s="2" t="s">
        <v>2800</v>
      </c>
      <c r="B774" s="3" t="s">
        <v>711</v>
      </c>
      <c r="C774" s="28" t="s">
        <v>59</v>
      </c>
      <c r="D774" s="2" t="s">
        <v>2801</v>
      </c>
      <c r="E774" s="4" t="s">
        <v>1640</v>
      </c>
      <c r="F774" s="5">
        <v>51</v>
      </c>
      <c r="G774" s="5">
        <v>87</v>
      </c>
      <c r="H774" s="5">
        <v>86</v>
      </c>
      <c r="I774" s="10">
        <v>2</v>
      </c>
      <c r="J774" s="11">
        <f t="shared" si="63"/>
        <v>102</v>
      </c>
      <c r="K774" s="12" t="str">
        <f t="shared" si="60"/>
        <v>Low Stock_Reorder Needed</v>
      </c>
      <c r="L774" s="12">
        <f t="shared" si="61"/>
        <v>172</v>
      </c>
      <c r="M774" s="6">
        <v>45383</v>
      </c>
      <c r="N774" s="6">
        <v>45431</v>
      </c>
      <c r="O774" s="6">
        <v>45454</v>
      </c>
      <c r="P774" s="7" t="s">
        <v>2802</v>
      </c>
      <c r="Q774" s="5">
        <v>24</v>
      </c>
      <c r="R774" s="10">
        <f t="shared" si="62"/>
        <v>48</v>
      </c>
      <c r="S774" s="5">
        <v>83</v>
      </c>
      <c r="T774" s="5" t="s">
        <v>39</v>
      </c>
      <c r="U774" s="11">
        <f t="shared" si="64"/>
        <v>-54</v>
      </c>
    </row>
    <row r="775" spans="1:21" ht="16" x14ac:dyDescent="0.4">
      <c r="A775" s="2" t="s">
        <v>2803</v>
      </c>
      <c r="B775" s="3" t="s">
        <v>235</v>
      </c>
      <c r="C775" s="28" t="s">
        <v>30</v>
      </c>
      <c r="D775" s="2" t="s">
        <v>2804</v>
      </c>
      <c r="E775" s="4" t="s">
        <v>1867</v>
      </c>
      <c r="F775" s="5">
        <v>87</v>
      </c>
      <c r="G775" s="5">
        <v>91</v>
      </c>
      <c r="H775" s="5">
        <v>23</v>
      </c>
      <c r="I775" s="10">
        <v>14.9</v>
      </c>
      <c r="J775" s="11">
        <f t="shared" si="63"/>
        <v>1296.3</v>
      </c>
      <c r="K775" s="12" t="str">
        <f t="shared" si="60"/>
        <v>Low Stock_Reorder Needed</v>
      </c>
      <c r="L775" s="12">
        <f t="shared" si="61"/>
        <v>342.7</v>
      </c>
      <c r="M775" s="6">
        <v>45655</v>
      </c>
      <c r="N775" s="6">
        <v>45435</v>
      </c>
      <c r="O775" s="6">
        <v>45521</v>
      </c>
      <c r="P775" s="7" t="s">
        <v>2805</v>
      </c>
      <c r="Q775" s="5">
        <v>90</v>
      </c>
      <c r="R775" s="10">
        <f t="shared" si="62"/>
        <v>1341</v>
      </c>
      <c r="S775" s="5">
        <v>75</v>
      </c>
      <c r="T775" s="5" t="s">
        <v>39</v>
      </c>
      <c r="U775" s="11">
        <f t="shared" si="64"/>
        <v>44.700000000000045</v>
      </c>
    </row>
    <row r="776" spans="1:21" ht="16" x14ac:dyDescent="0.4">
      <c r="A776" s="2" t="s">
        <v>2806</v>
      </c>
      <c r="B776" s="3" t="s">
        <v>172</v>
      </c>
      <c r="C776" s="28" t="s">
        <v>48</v>
      </c>
      <c r="D776" s="2" t="s">
        <v>2807</v>
      </c>
      <c r="E776" s="4" t="s">
        <v>2592</v>
      </c>
      <c r="F776" s="5">
        <v>79</v>
      </c>
      <c r="G776" s="5">
        <v>37</v>
      </c>
      <c r="H776" s="5">
        <v>98</v>
      </c>
      <c r="I776" s="10">
        <v>4.5</v>
      </c>
      <c r="J776" s="11">
        <f t="shared" si="63"/>
        <v>355.5</v>
      </c>
      <c r="K776" s="12" t="str">
        <f t="shared" si="60"/>
        <v>Stock_Sufficient</v>
      </c>
      <c r="L776" s="12">
        <f t="shared" si="61"/>
        <v>441</v>
      </c>
      <c r="M776" s="6">
        <v>45536</v>
      </c>
      <c r="N776" s="6">
        <v>45353</v>
      </c>
      <c r="O776" s="6">
        <v>45381</v>
      </c>
      <c r="P776" s="7" t="s">
        <v>2808</v>
      </c>
      <c r="Q776" s="5">
        <v>33</v>
      </c>
      <c r="R776" s="10">
        <f t="shared" si="62"/>
        <v>148.5</v>
      </c>
      <c r="S776" s="5">
        <v>20</v>
      </c>
      <c r="T776" s="5" t="s">
        <v>27</v>
      </c>
      <c r="U776" s="11">
        <f t="shared" si="64"/>
        <v>-207</v>
      </c>
    </row>
    <row r="777" spans="1:21" ht="16" x14ac:dyDescent="0.4">
      <c r="A777" s="2" t="s">
        <v>2809</v>
      </c>
      <c r="B777" s="3" t="s">
        <v>509</v>
      </c>
      <c r="C777" s="28" t="s">
        <v>133</v>
      </c>
      <c r="D777" s="2" t="s">
        <v>2810</v>
      </c>
      <c r="E777" s="4" t="s">
        <v>1890</v>
      </c>
      <c r="F777" s="5">
        <v>14</v>
      </c>
      <c r="G777" s="5">
        <v>52</v>
      </c>
      <c r="H777" s="5">
        <v>80</v>
      </c>
      <c r="I777" s="10">
        <v>6.8</v>
      </c>
      <c r="J777" s="11">
        <f t="shared" si="63"/>
        <v>95.2</v>
      </c>
      <c r="K777" s="12" t="str">
        <f t="shared" si="60"/>
        <v>Low Stock_Reorder Needed</v>
      </c>
      <c r="L777" s="12">
        <f t="shared" si="61"/>
        <v>544</v>
      </c>
      <c r="M777" s="6">
        <v>45499</v>
      </c>
      <c r="N777" s="6">
        <v>45486</v>
      </c>
      <c r="O777" s="6">
        <v>45496</v>
      </c>
      <c r="P777" s="7" t="s">
        <v>2811</v>
      </c>
      <c r="Q777" s="5">
        <v>64</v>
      </c>
      <c r="R777" s="10">
        <f t="shared" si="62"/>
        <v>435.2</v>
      </c>
      <c r="S777" s="5">
        <v>17</v>
      </c>
      <c r="T777" s="5" t="s">
        <v>27</v>
      </c>
      <c r="U777" s="11">
        <f t="shared" si="64"/>
        <v>340</v>
      </c>
    </row>
    <row r="778" spans="1:21" ht="16" x14ac:dyDescent="0.4">
      <c r="A778" s="2" t="s">
        <v>2812</v>
      </c>
      <c r="B778" s="3" t="s">
        <v>275</v>
      </c>
      <c r="C778" s="28" t="s">
        <v>48</v>
      </c>
      <c r="D778" s="2" t="s">
        <v>2813</v>
      </c>
      <c r="E778" s="4" t="s">
        <v>1065</v>
      </c>
      <c r="F778" s="5">
        <v>81</v>
      </c>
      <c r="G778" s="5">
        <v>35</v>
      </c>
      <c r="H778" s="5">
        <v>82</v>
      </c>
      <c r="I778" s="10">
        <v>3</v>
      </c>
      <c r="J778" s="11">
        <f t="shared" si="63"/>
        <v>243</v>
      </c>
      <c r="K778" s="12" t="str">
        <f t="shared" si="60"/>
        <v>Stock_Sufficient</v>
      </c>
      <c r="L778" s="12">
        <f t="shared" si="61"/>
        <v>246</v>
      </c>
      <c r="M778" s="6">
        <v>45656</v>
      </c>
      <c r="N778" s="6">
        <v>45376</v>
      </c>
      <c r="O778" s="6">
        <v>45698</v>
      </c>
      <c r="P778" s="7" t="s">
        <v>2814</v>
      </c>
      <c r="Q778" s="5">
        <v>86</v>
      </c>
      <c r="R778" s="10">
        <f t="shared" si="62"/>
        <v>258</v>
      </c>
      <c r="S778" s="5">
        <v>71</v>
      </c>
      <c r="T778" s="5" t="s">
        <v>39</v>
      </c>
      <c r="U778" s="11">
        <f t="shared" si="64"/>
        <v>15</v>
      </c>
    </row>
    <row r="779" spans="1:21" ht="16" x14ac:dyDescent="0.4">
      <c r="A779" s="2" t="s">
        <v>2815</v>
      </c>
      <c r="B779" s="3" t="s">
        <v>882</v>
      </c>
      <c r="C779" s="28" t="s">
        <v>48</v>
      </c>
      <c r="D779" s="2" t="s">
        <v>2816</v>
      </c>
      <c r="E779" s="4" t="s">
        <v>331</v>
      </c>
      <c r="F779" s="5">
        <v>75</v>
      </c>
      <c r="G779" s="5">
        <v>18</v>
      </c>
      <c r="H779" s="5">
        <v>65</v>
      </c>
      <c r="I779" s="10">
        <v>2</v>
      </c>
      <c r="J779" s="11">
        <f t="shared" si="63"/>
        <v>150</v>
      </c>
      <c r="K779" s="12" t="str">
        <f t="shared" si="60"/>
        <v>Stock_Sufficient</v>
      </c>
      <c r="L779" s="12">
        <f t="shared" si="61"/>
        <v>130</v>
      </c>
      <c r="M779" s="6">
        <v>45705</v>
      </c>
      <c r="N779" s="6">
        <v>45656</v>
      </c>
      <c r="O779" s="6">
        <v>45366</v>
      </c>
      <c r="P779" s="7" t="s">
        <v>2817</v>
      </c>
      <c r="Q779" s="5">
        <v>32</v>
      </c>
      <c r="R779" s="10">
        <f t="shared" si="62"/>
        <v>64</v>
      </c>
      <c r="S779" s="5">
        <v>92</v>
      </c>
      <c r="T779" s="5" t="s">
        <v>45</v>
      </c>
      <c r="U779" s="11">
        <f t="shared" si="64"/>
        <v>-86</v>
      </c>
    </row>
    <row r="780" spans="1:21" ht="16" x14ac:dyDescent="0.4">
      <c r="A780" s="2" t="s">
        <v>2818</v>
      </c>
      <c r="B780" s="3" t="s">
        <v>613</v>
      </c>
      <c r="C780" s="28" t="s">
        <v>65</v>
      </c>
      <c r="D780" s="2" t="s">
        <v>2819</v>
      </c>
      <c r="E780" s="4" t="s">
        <v>314</v>
      </c>
      <c r="F780" s="5">
        <v>48</v>
      </c>
      <c r="G780" s="5">
        <v>12</v>
      </c>
      <c r="H780" s="5">
        <v>62</v>
      </c>
      <c r="I780" s="10">
        <v>7</v>
      </c>
      <c r="J780" s="11">
        <f t="shared" si="63"/>
        <v>336</v>
      </c>
      <c r="K780" s="12" t="str">
        <f t="shared" si="60"/>
        <v>Stock_Sufficient</v>
      </c>
      <c r="L780" s="12">
        <f t="shared" si="61"/>
        <v>434</v>
      </c>
      <c r="M780" s="6">
        <v>45458</v>
      </c>
      <c r="N780" s="6">
        <v>45416</v>
      </c>
      <c r="O780" s="6">
        <v>45554</v>
      </c>
      <c r="P780" s="7" t="s">
        <v>2820</v>
      </c>
      <c r="Q780" s="5">
        <v>59</v>
      </c>
      <c r="R780" s="10">
        <f t="shared" si="62"/>
        <v>413</v>
      </c>
      <c r="S780" s="5">
        <v>23</v>
      </c>
      <c r="T780" s="5" t="s">
        <v>45</v>
      </c>
      <c r="U780" s="11">
        <f t="shared" si="64"/>
        <v>77</v>
      </c>
    </row>
    <row r="781" spans="1:21" ht="16" x14ac:dyDescent="0.4">
      <c r="A781" s="2" t="s">
        <v>2821</v>
      </c>
      <c r="B781" s="3" t="s">
        <v>202</v>
      </c>
      <c r="C781" s="28" t="s">
        <v>48</v>
      </c>
      <c r="D781" s="2" t="s">
        <v>2822</v>
      </c>
      <c r="E781" s="4" t="s">
        <v>1670</v>
      </c>
      <c r="F781" s="5">
        <v>50</v>
      </c>
      <c r="G781" s="5">
        <v>68</v>
      </c>
      <c r="H781" s="5">
        <v>90</v>
      </c>
      <c r="I781" s="10">
        <v>2</v>
      </c>
      <c r="J781" s="11">
        <f t="shared" si="63"/>
        <v>100</v>
      </c>
      <c r="K781" s="12" t="str">
        <f t="shared" si="60"/>
        <v>Low Stock_Reorder Needed</v>
      </c>
      <c r="L781" s="12">
        <f t="shared" si="61"/>
        <v>180</v>
      </c>
      <c r="M781" s="6">
        <v>45638</v>
      </c>
      <c r="N781" s="6">
        <v>45421</v>
      </c>
      <c r="O781" s="6">
        <v>45448</v>
      </c>
      <c r="P781" s="7" t="s">
        <v>2823</v>
      </c>
      <c r="Q781" s="5">
        <v>40</v>
      </c>
      <c r="R781" s="10">
        <f t="shared" si="62"/>
        <v>80</v>
      </c>
      <c r="S781" s="5">
        <v>13</v>
      </c>
      <c r="T781" s="5" t="s">
        <v>27</v>
      </c>
      <c r="U781" s="11">
        <f t="shared" si="64"/>
        <v>-20</v>
      </c>
    </row>
    <row r="782" spans="1:21" ht="16" x14ac:dyDescent="0.4">
      <c r="A782" s="2" t="s">
        <v>2824</v>
      </c>
      <c r="B782" s="3" t="s">
        <v>197</v>
      </c>
      <c r="C782" s="28" t="s">
        <v>133</v>
      </c>
      <c r="D782" s="2" t="s">
        <v>2825</v>
      </c>
      <c r="E782" s="4" t="s">
        <v>357</v>
      </c>
      <c r="F782" s="5">
        <v>11</v>
      </c>
      <c r="G782" s="5">
        <v>87</v>
      </c>
      <c r="H782" s="5">
        <v>43</v>
      </c>
      <c r="I782" s="10">
        <v>9</v>
      </c>
      <c r="J782" s="11">
        <f t="shared" si="63"/>
        <v>99</v>
      </c>
      <c r="K782" s="12" t="str">
        <f t="shared" si="60"/>
        <v>Low Stock_Reorder Needed</v>
      </c>
      <c r="L782" s="12">
        <f t="shared" si="61"/>
        <v>387</v>
      </c>
      <c r="M782" s="6">
        <v>45659</v>
      </c>
      <c r="N782" s="6">
        <v>45449</v>
      </c>
      <c r="O782" s="6">
        <v>45697</v>
      </c>
      <c r="P782" s="7" t="s">
        <v>2826</v>
      </c>
      <c r="Q782" s="5">
        <v>86</v>
      </c>
      <c r="R782" s="10">
        <f t="shared" si="62"/>
        <v>774</v>
      </c>
      <c r="S782" s="5">
        <v>91</v>
      </c>
      <c r="T782" s="5" t="s">
        <v>45</v>
      </c>
      <c r="U782" s="11">
        <f t="shared" si="64"/>
        <v>675</v>
      </c>
    </row>
    <row r="783" spans="1:21" ht="16" x14ac:dyDescent="0.4">
      <c r="A783" s="2" t="s">
        <v>2827</v>
      </c>
      <c r="B783" s="3" t="s">
        <v>502</v>
      </c>
      <c r="C783" s="28" t="s">
        <v>23</v>
      </c>
      <c r="D783" s="2" t="s">
        <v>2828</v>
      </c>
      <c r="E783" s="4" t="s">
        <v>615</v>
      </c>
      <c r="F783" s="5">
        <v>74</v>
      </c>
      <c r="G783" s="5">
        <v>22</v>
      </c>
      <c r="H783" s="5">
        <v>91</v>
      </c>
      <c r="I783" s="10">
        <v>9.5</v>
      </c>
      <c r="J783" s="11">
        <f t="shared" si="63"/>
        <v>703</v>
      </c>
      <c r="K783" s="12" t="str">
        <f t="shared" si="60"/>
        <v>Stock_Sufficient</v>
      </c>
      <c r="L783" s="12">
        <f t="shared" si="61"/>
        <v>864.5</v>
      </c>
      <c r="M783" s="6">
        <v>45529</v>
      </c>
      <c r="N783" s="6">
        <v>45679</v>
      </c>
      <c r="O783" s="6">
        <v>45462</v>
      </c>
      <c r="P783" s="7" t="s">
        <v>2829</v>
      </c>
      <c r="Q783" s="5">
        <v>24</v>
      </c>
      <c r="R783" s="10">
        <f t="shared" si="62"/>
        <v>228</v>
      </c>
      <c r="S783" s="5">
        <v>12</v>
      </c>
      <c r="T783" s="5" t="s">
        <v>45</v>
      </c>
      <c r="U783" s="11">
        <f t="shared" si="64"/>
        <v>-475</v>
      </c>
    </row>
    <row r="784" spans="1:21" ht="16" x14ac:dyDescent="0.4">
      <c r="A784" s="2" t="s">
        <v>2830</v>
      </c>
      <c r="B784" s="3" t="s">
        <v>1269</v>
      </c>
      <c r="C784" s="28" t="s">
        <v>48</v>
      </c>
      <c r="D784" s="2" t="s">
        <v>2831</v>
      </c>
      <c r="E784" s="4" t="s">
        <v>81</v>
      </c>
      <c r="F784" s="5">
        <v>11</v>
      </c>
      <c r="G784" s="5">
        <v>10</v>
      </c>
      <c r="H784" s="5">
        <v>60</v>
      </c>
      <c r="I784" s="10">
        <v>2.5</v>
      </c>
      <c r="J784" s="11">
        <f t="shared" si="63"/>
        <v>27.5</v>
      </c>
      <c r="K784" s="12" t="str">
        <f t="shared" si="60"/>
        <v>Stock_Sufficient</v>
      </c>
      <c r="L784" s="12">
        <f t="shared" si="61"/>
        <v>150</v>
      </c>
      <c r="M784" s="6">
        <v>45575</v>
      </c>
      <c r="N784" s="6">
        <v>45418</v>
      </c>
      <c r="O784" s="6">
        <v>45651</v>
      </c>
      <c r="P784" s="7" t="s">
        <v>2832</v>
      </c>
      <c r="Q784" s="5">
        <v>93</v>
      </c>
      <c r="R784" s="10">
        <f t="shared" si="62"/>
        <v>232.5</v>
      </c>
      <c r="S784" s="5">
        <v>53</v>
      </c>
      <c r="T784" s="5" t="s">
        <v>27</v>
      </c>
      <c r="U784" s="11">
        <f t="shared" si="64"/>
        <v>205</v>
      </c>
    </row>
    <row r="785" spans="1:21" ht="16" x14ac:dyDescent="0.4">
      <c r="A785" s="2" t="s">
        <v>2833</v>
      </c>
      <c r="B785" s="3" t="s">
        <v>364</v>
      </c>
      <c r="C785" s="28" t="s">
        <v>65</v>
      </c>
      <c r="D785" s="2" t="s">
        <v>2834</v>
      </c>
      <c r="E785" s="4" t="s">
        <v>2835</v>
      </c>
      <c r="F785" s="5">
        <v>85</v>
      </c>
      <c r="G785" s="5">
        <v>15</v>
      </c>
      <c r="H785" s="5">
        <v>30</v>
      </c>
      <c r="I785" s="10">
        <v>4</v>
      </c>
      <c r="J785" s="11">
        <f t="shared" si="63"/>
        <v>340</v>
      </c>
      <c r="K785" s="12" t="str">
        <f t="shared" si="60"/>
        <v>Stock_Sufficient</v>
      </c>
      <c r="L785" s="12">
        <f t="shared" si="61"/>
        <v>120</v>
      </c>
      <c r="M785" s="6">
        <v>45398</v>
      </c>
      <c r="N785" s="6">
        <v>45590</v>
      </c>
      <c r="O785" s="6">
        <v>45632</v>
      </c>
      <c r="P785" s="7" t="s">
        <v>2836</v>
      </c>
      <c r="Q785" s="5">
        <v>95</v>
      </c>
      <c r="R785" s="10">
        <f t="shared" si="62"/>
        <v>380</v>
      </c>
      <c r="S785" s="5">
        <v>63</v>
      </c>
      <c r="T785" s="5" t="s">
        <v>45</v>
      </c>
      <c r="U785" s="11">
        <f t="shared" si="64"/>
        <v>40</v>
      </c>
    </row>
    <row r="786" spans="1:21" ht="16" x14ac:dyDescent="0.4">
      <c r="A786" s="2" t="s">
        <v>2837</v>
      </c>
      <c r="B786" s="3" t="s">
        <v>595</v>
      </c>
      <c r="C786" s="28" t="s">
        <v>48</v>
      </c>
      <c r="D786" s="2" t="s">
        <v>2838</v>
      </c>
      <c r="E786" s="4" t="s">
        <v>268</v>
      </c>
      <c r="F786" s="5">
        <v>57</v>
      </c>
      <c r="G786" s="5">
        <v>43</v>
      </c>
      <c r="H786" s="5">
        <v>46</v>
      </c>
      <c r="I786" s="10">
        <v>2.5</v>
      </c>
      <c r="J786" s="11">
        <f t="shared" si="63"/>
        <v>142.5</v>
      </c>
      <c r="K786" s="12" t="str">
        <f t="shared" si="60"/>
        <v>Stock_Sufficient</v>
      </c>
      <c r="L786" s="12">
        <f t="shared" si="61"/>
        <v>115</v>
      </c>
      <c r="M786" s="6">
        <v>45456</v>
      </c>
      <c r="N786" s="6">
        <v>45627</v>
      </c>
      <c r="O786" s="6">
        <v>45508</v>
      </c>
      <c r="P786" s="7" t="s">
        <v>2839</v>
      </c>
      <c r="Q786" s="5">
        <v>87</v>
      </c>
      <c r="R786" s="10">
        <f t="shared" si="62"/>
        <v>217.5</v>
      </c>
      <c r="S786" s="5">
        <v>88</v>
      </c>
      <c r="T786" s="5" t="s">
        <v>27</v>
      </c>
      <c r="U786" s="11">
        <f t="shared" si="64"/>
        <v>75</v>
      </c>
    </row>
    <row r="787" spans="1:21" ht="16" x14ac:dyDescent="0.4">
      <c r="A787" s="2" t="s">
        <v>2840</v>
      </c>
      <c r="B787" s="3" t="s">
        <v>882</v>
      </c>
      <c r="C787" s="28" t="s">
        <v>48</v>
      </c>
      <c r="D787" s="2" t="s">
        <v>2841</v>
      </c>
      <c r="E787" s="4" t="s">
        <v>1203</v>
      </c>
      <c r="F787" s="5">
        <v>75</v>
      </c>
      <c r="G787" s="5">
        <v>56</v>
      </c>
      <c r="H787" s="5">
        <v>57</v>
      </c>
      <c r="I787" s="10">
        <v>1.9</v>
      </c>
      <c r="J787" s="11">
        <f t="shared" si="63"/>
        <v>142.5</v>
      </c>
      <c r="K787" s="12" t="str">
        <f t="shared" si="60"/>
        <v>Stock_Sufficient</v>
      </c>
      <c r="L787" s="12">
        <f t="shared" si="61"/>
        <v>108.3</v>
      </c>
      <c r="M787" s="6">
        <v>45592</v>
      </c>
      <c r="N787" s="6">
        <v>45590</v>
      </c>
      <c r="O787" s="6">
        <v>45554</v>
      </c>
      <c r="P787" s="7" t="s">
        <v>2842</v>
      </c>
      <c r="Q787" s="5">
        <v>63</v>
      </c>
      <c r="R787" s="10">
        <f t="shared" si="62"/>
        <v>119.69999999999999</v>
      </c>
      <c r="S787" s="5">
        <v>64</v>
      </c>
      <c r="T787" s="5" t="s">
        <v>27</v>
      </c>
      <c r="U787" s="11">
        <f t="shared" si="64"/>
        <v>-22.800000000000011</v>
      </c>
    </row>
    <row r="788" spans="1:21" ht="16" x14ac:dyDescent="0.4">
      <c r="A788" s="2" t="s">
        <v>2843</v>
      </c>
      <c r="B788" s="3" t="s">
        <v>729</v>
      </c>
      <c r="C788" s="28" t="s">
        <v>65</v>
      </c>
      <c r="D788" s="2" t="s">
        <v>2844</v>
      </c>
      <c r="E788" s="4" t="s">
        <v>272</v>
      </c>
      <c r="F788" s="5">
        <v>63</v>
      </c>
      <c r="G788" s="5">
        <v>7</v>
      </c>
      <c r="H788" s="5">
        <v>23</v>
      </c>
      <c r="I788" s="10">
        <v>2.35</v>
      </c>
      <c r="J788" s="11">
        <f t="shared" si="63"/>
        <v>148.05000000000001</v>
      </c>
      <c r="K788" s="12" t="str">
        <f t="shared" si="60"/>
        <v>Stock_Sufficient</v>
      </c>
      <c r="L788" s="12">
        <f t="shared" si="61"/>
        <v>54.050000000000004</v>
      </c>
      <c r="M788" s="6">
        <v>45542</v>
      </c>
      <c r="N788" s="6">
        <v>45618</v>
      </c>
      <c r="O788" s="6">
        <v>45582</v>
      </c>
      <c r="P788" s="7" t="s">
        <v>2845</v>
      </c>
      <c r="Q788" s="5">
        <v>78</v>
      </c>
      <c r="R788" s="10">
        <f t="shared" si="62"/>
        <v>183.3</v>
      </c>
      <c r="S788" s="5">
        <v>100</v>
      </c>
      <c r="T788" s="5" t="s">
        <v>45</v>
      </c>
      <c r="U788" s="11">
        <f t="shared" si="64"/>
        <v>35.25</v>
      </c>
    </row>
    <row r="789" spans="1:21" ht="16" x14ac:dyDescent="0.4">
      <c r="A789" s="2" t="s">
        <v>2846</v>
      </c>
      <c r="B789" s="3" t="s">
        <v>337</v>
      </c>
      <c r="C789" s="28" t="s">
        <v>30</v>
      </c>
      <c r="D789" s="2" t="s">
        <v>2847</v>
      </c>
      <c r="E789" s="4" t="s">
        <v>2848</v>
      </c>
      <c r="F789" s="5">
        <v>35</v>
      </c>
      <c r="G789" s="5">
        <v>20</v>
      </c>
      <c r="H789" s="5">
        <v>42</v>
      </c>
      <c r="I789" s="10">
        <v>25.25</v>
      </c>
      <c r="J789" s="11">
        <f t="shared" si="63"/>
        <v>883.75</v>
      </c>
      <c r="K789" s="12" t="str">
        <f t="shared" si="60"/>
        <v>Stock_Sufficient</v>
      </c>
      <c r="L789" s="12">
        <f t="shared" si="61"/>
        <v>1060.5</v>
      </c>
      <c r="M789" s="6">
        <v>45473</v>
      </c>
      <c r="N789" s="6">
        <v>45509</v>
      </c>
      <c r="O789" s="6">
        <v>45665</v>
      </c>
      <c r="P789" s="7" t="s">
        <v>2849</v>
      </c>
      <c r="Q789" s="5">
        <v>53</v>
      </c>
      <c r="R789" s="10">
        <f t="shared" si="62"/>
        <v>1338.25</v>
      </c>
      <c r="S789" s="5">
        <v>56</v>
      </c>
      <c r="T789" s="5" t="s">
        <v>27</v>
      </c>
      <c r="U789" s="11">
        <f t="shared" si="64"/>
        <v>454.5</v>
      </c>
    </row>
    <row r="790" spans="1:21" ht="16" x14ac:dyDescent="0.4">
      <c r="A790" s="2" t="s">
        <v>2850</v>
      </c>
      <c r="B790" s="3" t="s">
        <v>143</v>
      </c>
      <c r="C790" s="28" t="s">
        <v>48</v>
      </c>
      <c r="D790" s="2" t="s">
        <v>2851</v>
      </c>
      <c r="E790" s="4" t="s">
        <v>2078</v>
      </c>
      <c r="F790" s="5">
        <v>24</v>
      </c>
      <c r="G790" s="5">
        <v>32</v>
      </c>
      <c r="H790" s="5">
        <v>17</v>
      </c>
      <c r="I790" s="10">
        <v>1</v>
      </c>
      <c r="J790" s="11">
        <f t="shared" si="63"/>
        <v>24</v>
      </c>
      <c r="K790" s="12" t="str">
        <f t="shared" si="60"/>
        <v>Low Stock_Reorder Needed</v>
      </c>
      <c r="L790" s="12">
        <f t="shared" si="61"/>
        <v>17</v>
      </c>
      <c r="M790" s="6">
        <v>45564</v>
      </c>
      <c r="N790" s="6">
        <v>45460</v>
      </c>
      <c r="O790" s="6">
        <v>45475</v>
      </c>
      <c r="P790" s="7" t="s">
        <v>2852</v>
      </c>
      <c r="Q790" s="5">
        <v>55</v>
      </c>
      <c r="R790" s="10">
        <f t="shared" si="62"/>
        <v>55</v>
      </c>
      <c r="S790" s="5">
        <v>72</v>
      </c>
      <c r="T790" s="5" t="s">
        <v>27</v>
      </c>
      <c r="U790" s="11">
        <f t="shared" si="64"/>
        <v>31</v>
      </c>
    </row>
    <row r="791" spans="1:21" ht="16" x14ac:dyDescent="0.4">
      <c r="A791" s="2" t="s">
        <v>2853</v>
      </c>
      <c r="B791" s="3" t="s">
        <v>468</v>
      </c>
      <c r="C791" s="28" t="s">
        <v>23</v>
      </c>
      <c r="D791" s="2" t="s">
        <v>2854</v>
      </c>
      <c r="E791" s="4" t="s">
        <v>2647</v>
      </c>
      <c r="F791" s="5">
        <v>53</v>
      </c>
      <c r="G791" s="5">
        <v>26</v>
      </c>
      <c r="H791" s="5">
        <v>3</v>
      </c>
      <c r="I791" s="10">
        <v>4.75</v>
      </c>
      <c r="J791" s="11">
        <f t="shared" si="63"/>
        <v>251.75</v>
      </c>
      <c r="K791" s="12" t="str">
        <f t="shared" si="60"/>
        <v>Stock_Sufficient</v>
      </c>
      <c r="L791" s="12">
        <f t="shared" si="61"/>
        <v>14.25</v>
      </c>
      <c r="M791" s="6">
        <v>45353</v>
      </c>
      <c r="N791" s="6">
        <v>45477</v>
      </c>
      <c r="O791" s="6">
        <v>45357</v>
      </c>
      <c r="P791" s="7" t="s">
        <v>2855</v>
      </c>
      <c r="Q791" s="5">
        <v>100</v>
      </c>
      <c r="R791" s="10">
        <f t="shared" si="62"/>
        <v>475</v>
      </c>
      <c r="S791" s="5">
        <v>94</v>
      </c>
      <c r="T791" s="5" t="s">
        <v>45</v>
      </c>
      <c r="U791" s="11">
        <f t="shared" si="64"/>
        <v>223.25</v>
      </c>
    </row>
    <row r="792" spans="1:21" ht="16" x14ac:dyDescent="0.4">
      <c r="A792" s="2" t="s">
        <v>2856</v>
      </c>
      <c r="B792" s="3" t="s">
        <v>398</v>
      </c>
      <c r="C792" s="28" t="s">
        <v>90</v>
      </c>
      <c r="D792" s="2" t="s">
        <v>2857</v>
      </c>
      <c r="E792" s="4" t="s">
        <v>1132</v>
      </c>
      <c r="F792" s="5">
        <v>74</v>
      </c>
      <c r="G792" s="5">
        <v>81</v>
      </c>
      <c r="H792" s="5">
        <v>41</v>
      </c>
      <c r="I792" s="10">
        <v>6</v>
      </c>
      <c r="J792" s="11">
        <f t="shared" si="63"/>
        <v>444</v>
      </c>
      <c r="K792" s="12" t="str">
        <f t="shared" si="60"/>
        <v>Low Stock_Reorder Needed</v>
      </c>
      <c r="L792" s="12">
        <f t="shared" si="61"/>
        <v>246</v>
      </c>
      <c r="M792" s="6">
        <v>45693</v>
      </c>
      <c r="N792" s="6">
        <v>45414</v>
      </c>
      <c r="O792" s="6">
        <v>45439</v>
      </c>
      <c r="P792" s="7" t="s">
        <v>2858</v>
      </c>
      <c r="Q792" s="5">
        <v>51</v>
      </c>
      <c r="R792" s="10">
        <f t="shared" si="62"/>
        <v>306</v>
      </c>
      <c r="S792" s="5">
        <v>67</v>
      </c>
      <c r="T792" s="5" t="s">
        <v>45</v>
      </c>
      <c r="U792" s="11">
        <f t="shared" si="64"/>
        <v>-138</v>
      </c>
    </row>
    <row r="793" spans="1:21" ht="16" x14ac:dyDescent="0.4">
      <c r="A793" s="2" t="s">
        <v>2859</v>
      </c>
      <c r="B793" s="3" t="s">
        <v>1146</v>
      </c>
      <c r="C793" s="28" t="s">
        <v>23</v>
      </c>
      <c r="D793" s="2" t="s">
        <v>2860</v>
      </c>
      <c r="E793" s="4" t="s">
        <v>963</v>
      </c>
      <c r="F793" s="5">
        <v>79</v>
      </c>
      <c r="G793" s="5">
        <v>38</v>
      </c>
      <c r="H793" s="5">
        <v>67</v>
      </c>
      <c r="I793" s="10">
        <v>2.5</v>
      </c>
      <c r="J793" s="11">
        <f t="shared" si="63"/>
        <v>197.5</v>
      </c>
      <c r="K793" s="12" t="str">
        <f t="shared" si="60"/>
        <v>Stock_Sufficient</v>
      </c>
      <c r="L793" s="12">
        <f t="shared" si="61"/>
        <v>167.5</v>
      </c>
      <c r="M793" s="6">
        <v>45478</v>
      </c>
      <c r="N793" s="6">
        <v>45573</v>
      </c>
      <c r="O793" s="6">
        <v>45536</v>
      </c>
      <c r="P793" s="7" t="s">
        <v>2861</v>
      </c>
      <c r="Q793" s="5">
        <v>43</v>
      </c>
      <c r="R793" s="10">
        <f t="shared" si="62"/>
        <v>107.5</v>
      </c>
      <c r="S793" s="5">
        <v>93</v>
      </c>
      <c r="T793" s="5" t="s">
        <v>27</v>
      </c>
      <c r="U793" s="11">
        <f t="shared" si="64"/>
        <v>-90</v>
      </c>
    </row>
    <row r="794" spans="1:21" ht="16" x14ac:dyDescent="0.4">
      <c r="A794" s="2" t="s">
        <v>2862</v>
      </c>
      <c r="B794" s="3" t="s">
        <v>109</v>
      </c>
      <c r="C794" s="28" t="s">
        <v>23</v>
      </c>
      <c r="D794" s="2" t="s">
        <v>2863</v>
      </c>
      <c r="E794" s="4" t="s">
        <v>347</v>
      </c>
      <c r="F794" s="5">
        <v>54</v>
      </c>
      <c r="G794" s="5">
        <v>78</v>
      </c>
      <c r="H794" s="5">
        <v>81</v>
      </c>
      <c r="I794" s="10">
        <v>1.5</v>
      </c>
      <c r="J794" s="11">
        <f t="shared" si="63"/>
        <v>81</v>
      </c>
      <c r="K794" s="12" t="str">
        <f t="shared" si="60"/>
        <v>Low Stock_Reorder Needed</v>
      </c>
      <c r="L794" s="12">
        <f t="shared" si="61"/>
        <v>121.5</v>
      </c>
      <c r="M794" s="6">
        <v>45414</v>
      </c>
      <c r="N794" s="6">
        <v>45619</v>
      </c>
      <c r="O794" s="6">
        <v>45478</v>
      </c>
      <c r="P794" s="7" t="s">
        <v>2864</v>
      </c>
      <c r="Q794" s="5">
        <v>41</v>
      </c>
      <c r="R794" s="10">
        <f t="shared" si="62"/>
        <v>61.5</v>
      </c>
      <c r="S794" s="5">
        <v>63</v>
      </c>
      <c r="T794" s="5" t="s">
        <v>39</v>
      </c>
      <c r="U794" s="11">
        <f t="shared" si="64"/>
        <v>-19.5</v>
      </c>
    </row>
    <row r="795" spans="1:21" ht="16" x14ac:dyDescent="0.4">
      <c r="A795" s="2" t="s">
        <v>2865</v>
      </c>
      <c r="B795" s="3" t="s">
        <v>456</v>
      </c>
      <c r="C795" s="28" t="s">
        <v>59</v>
      </c>
      <c r="D795" s="2" t="s">
        <v>2866</v>
      </c>
      <c r="E795" s="4" t="s">
        <v>2867</v>
      </c>
      <c r="F795" s="5">
        <v>44</v>
      </c>
      <c r="G795" s="5">
        <v>83</v>
      </c>
      <c r="H795" s="5">
        <v>78</v>
      </c>
      <c r="I795" s="10">
        <v>1.8</v>
      </c>
      <c r="J795" s="11">
        <f t="shared" si="63"/>
        <v>79.2</v>
      </c>
      <c r="K795" s="12" t="str">
        <f t="shared" si="60"/>
        <v>Low Stock_Reorder Needed</v>
      </c>
      <c r="L795" s="12">
        <f t="shared" si="61"/>
        <v>140.4</v>
      </c>
      <c r="M795" s="6">
        <v>45481</v>
      </c>
      <c r="N795" s="6">
        <v>45664</v>
      </c>
      <c r="O795" s="6">
        <v>45524</v>
      </c>
      <c r="P795" s="7" t="s">
        <v>2868</v>
      </c>
      <c r="Q795" s="5">
        <v>46</v>
      </c>
      <c r="R795" s="10">
        <f t="shared" si="62"/>
        <v>82.8</v>
      </c>
      <c r="S795" s="5">
        <v>4</v>
      </c>
      <c r="T795" s="5" t="s">
        <v>27</v>
      </c>
      <c r="U795" s="11">
        <f t="shared" si="64"/>
        <v>3.5999999999999943</v>
      </c>
    </row>
    <row r="796" spans="1:21" ht="16" x14ac:dyDescent="0.4">
      <c r="A796" s="2" t="s">
        <v>2869</v>
      </c>
      <c r="B796" s="3" t="s">
        <v>502</v>
      </c>
      <c r="C796" s="28" t="s">
        <v>23</v>
      </c>
      <c r="D796" s="2" t="s">
        <v>2870</v>
      </c>
      <c r="E796" s="4" t="s">
        <v>1440</v>
      </c>
      <c r="F796" s="5">
        <v>77</v>
      </c>
      <c r="G796" s="5">
        <v>19</v>
      </c>
      <c r="H796" s="5">
        <v>31</v>
      </c>
      <c r="I796" s="10">
        <v>9.5</v>
      </c>
      <c r="J796" s="11">
        <f t="shared" si="63"/>
        <v>731.5</v>
      </c>
      <c r="K796" s="12" t="str">
        <f t="shared" si="60"/>
        <v>Stock_Sufficient</v>
      </c>
      <c r="L796" s="12">
        <f t="shared" si="61"/>
        <v>294.5</v>
      </c>
      <c r="M796" s="6">
        <v>45594</v>
      </c>
      <c r="N796" s="6">
        <v>45680</v>
      </c>
      <c r="O796" s="6">
        <v>45371</v>
      </c>
      <c r="P796" s="7" t="s">
        <v>2871</v>
      </c>
      <c r="Q796" s="5">
        <v>27</v>
      </c>
      <c r="R796" s="10">
        <f t="shared" si="62"/>
        <v>256.5</v>
      </c>
      <c r="S796" s="5">
        <v>25</v>
      </c>
      <c r="T796" s="5" t="s">
        <v>39</v>
      </c>
      <c r="U796" s="11">
        <f t="shared" si="64"/>
        <v>-475</v>
      </c>
    </row>
    <row r="797" spans="1:21" ht="16" x14ac:dyDescent="0.4">
      <c r="A797" s="2" t="s">
        <v>2872</v>
      </c>
      <c r="B797" s="3" t="s">
        <v>1185</v>
      </c>
      <c r="C797" s="28" t="s">
        <v>48</v>
      </c>
      <c r="D797" s="2" t="s">
        <v>2873</v>
      </c>
      <c r="E797" s="4" t="s">
        <v>1128</v>
      </c>
      <c r="F797" s="5">
        <v>42</v>
      </c>
      <c r="G797" s="5">
        <v>61</v>
      </c>
      <c r="H797" s="5">
        <v>52</v>
      </c>
      <c r="I797" s="10">
        <v>5</v>
      </c>
      <c r="J797" s="11">
        <f t="shared" si="63"/>
        <v>210</v>
      </c>
      <c r="K797" s="12" t="str">
        <f t="shared" si="60"/>
        <v>Low Stock_Reorder Needed</v>
      </c>
      <c r="L797" s="12">
        <f t="shared" si="61"/>
        <v>260</v>
      </c>
      <c r="M797" s="6">
        <v>45628</v>
      </c>
      <c r="N797" s="6">
        <v>45688</v>
      </c>
      <c r="O797" s="6">
        <v>45564</v>
      </c>
      <c r="P797" s="7" t="s">
        <v>2874</v>
      </c>
      <c r="Q797" s="5">
        <v>86</v>
      </c>
      <c r="R797" s="10">
        <f t="shared" si="62"/>
        <v>430</v>
      </c>
      <c r="S797" s="5">
        <v>99</v>
      </c>
      <c r="T797" s="5" t="s">
        <v>39</v>
      </c>
      <c r="U797" s="11">
        <f t="shared" si="64"/>
        <v>220</v>
      </c>
    </row>
    <row r="798" spans="1:21" ht="16" x14ac:dyDescent="0.4">
      <c r="A798" s="2" t="s">
        <v>2875</v>
      </c>
      <c r="B798" s="3" t="s">
        <v>1532</v>
      </c>
      <c r="C798" s="28" t="s">
        <v>48</v>
      </c>
      <c r="D798" s="2" t="s">
        <v>2876</v>
      </c>
      <c r="E798" s="4" t="s">
        <v>944</v>
      </c>
      <c r="F798" s="5">
        <v>44</v>
      </c>
      <c r="G798" s="5">
        <v>77</v>
      </c>
      <c r="H798" s="5">
        <v>45</v>
      </c>
      <c r="I798" s="10">
        <v>2</v>
      </c>
      <c r="J798" s="11">
        <f t="shared" si="63"/>
        <v>88</v>
      </c>
      <c r="K798" s="12" t="str">
        <f t="shared" si="60"/>
        <v>Low Stock_Reorder Needed</v>
      </c>
      <c r="L798" s="12">
        <f t="shared" si="61"/>
        <v>90</v>
      </c>
      <c r="M798" s="6">
        <v>45500</v>
      </c>
      <c r="N798" s="6">
        <v>45465</v>
      </c>
      <c r="O798" s="6">
        <v>45436</v>
      </c>
      <c r="P798" s="7" t="s">
        <v>2877</v>
      </c>
      <c r="Q798" s="5">
        <v>89</v>
      </c>
      <c r="R798" s="10">
        <f t="shared" si="62"/>
        <v>178</v>
      </c>
      <c r="S798" s="5">
        <v>64</v>
      </c>
      <c r="T798" s="5" t="s">
        <v>27</v>
      </c>
      <c r="U798" s="11">
        <f t="shared" si="64"/>
        <v>90</v>
      </c>
    </row>
    <row r="799" spans="1:21" ht="16" x14ac:dyDescent="0.4">
      <c r="A799" s="2" t="s">
        <v>2878</v>
      </c>
      <c r="B799" s="3" t="s">
        <v>646</v>
      </c>
      <c r="C799" s="28" t="s">
        <v>65</v>
      </c>
      <c r="D799" s="2" t="s">
        <v>2879</v>
      </c>
      <c r="E799" s="4" t="s">
        <v>352</v>
      </c>
      <c r="F799" s="5">
        <v>81</v>
      </c>
      <c r="G799" s="5">
        <v>76</v>
      </c>
      <c r="H799" s="5">
        <v>10</v>
      </c>
      <c r="I799" s="10">
        <v>4</v>
      </c>
      <c r="J799" s="11">
        <f t="shared" si="63"/>
        <v>324</v>
      </c>
      <c r="K799" s="12" t="str">
        <f t="shared" si="60"/>
        <v>Stock_Sufficient</v>
      </c>
      <c r="L799" s="12">
        <f t="shared" si="61"/>
        <v>40</v>
      </c>
      <c r="M799" s="6">
        <v>45425</v>
      </c>
      <c r="N799" s="6">
        <v>45439</v>
      </c>
      <c r="O799" s="6">
        <v>45644</v>
      </c>
      <c r="P799" s="7" t="s">
        <v>2880</v>
      </c>
      <c r="Q799" s="5">
        <v>68</v>
      </c>
      <c r="R799" s="10">
        <f t="shared" si="62"/>
        <v>272</v>
      </c>
      <c r="S799" s="5">
        <v>100</v>
      </c>
      <c r="T799" s="5" t="s">
        <v>39</v>
      </c>
      <c r="U799" s="11">
        <f t="shared" si="64"/>
        <v>-52</v>
      </c>
    </row>
    <row r="800" spans="1:21" ht="16" x14ac:dyDescent="0.4">
      <c r="A800" s="2" t="s">
        <v>2881</v>
      </c>
      <c r="B800" s="3" t="s">
        <v>35</v>
      </c>
      <c r="C800" s="28" t="s">
        <v>23</v>
      </c>
      <c r="D800" s="2" t="s">
        <v>2882</v>
      </c>
      <c r="E800" s="4" t="s">
        <v>818</v>
      </c>
      <c r="F800" s="5">
        <v>92</v>
      </c>
      <c r="G800" s="5">
        <v>48</v>
      </c>
      <c r="H800" s="5">
        <v>22</v>
      </c>
      <c r="I800" s="10">
        <v>6.25</v>
      </c>
      <c r="J800" s="11">
        <f t="shared" si="63"/>
        <v>575</v>
      </c>
      <c r="K800" s="12" t="str">
        <f t="shared" si="60"/>
        <v>Stock_Sufficient</v>
      </c>
      <c r="L800" s="12">
        <f t="shared" si="61"/>
        <v>137.5</v>
      </c>
      <c r="M800" s="6">
        <v>45625</v>
      </c>
      <c r="N800" s="6">
        <v>45627</v>
      </c>
      <c r="O800" s="6">
        <v>45677</v>
      </c>
      <c r="P800" s="7" t="s">
        <v>2883</v>
      </c>
      <c r="Q800" s="5">
        <v>38</v>
      </c>
      <c r="R800" s="10">
        <f t="shared" si="62"/>
        <v>237.5</v>
      </c>
      <c r="S800" s="5">
        <v>61</v>
      </c>
      <c r="T800" s="5" t="s">
        <v>39</v>
      </c>
      <c r="U800" s="11">
        <f t="shared" si="64"/>
        <v>-337.5</v>
      </c>
    </row>
    <row r="801" spans="1:21" ht="16" x14ac:dyDescent="0.4">
      <c r="A801" s="2" t="s">
        <v>2884</v>
      </c>
      <c r="B801" s="3" t="s">
        <v>1480</v>
      </c>
      <c r="C801" s="28" t="s">
        <v>133</v>
      </c>
      <c r="D801" s="2" t="s">
        <v>2885</v>
      </c>
      <c r="E801" s="4" t="s">
        <v>1736</v>
      </c>
      <c r="F801" s="5">
        <v>78</v>
      </c>
      <c r="G801" s="5">
        <v>68</v>
      </c>
      <c r="H801" s="5">
        <v>86</v>
      </c>
      <c r="I801" s="10">
        <v>15</v>
      </c>
      <c r="J801" s="11">
        <f t="shared" si="63"/>
        <v>1170</v>
      </c>
      <c r="K801" s="12" t="str">
        <f t="shared" si="60"/>
        <v>Stock_Sufficient</v>
      </c>
      <c r="L801" s="12">
        <f t="shared" si="61"/>
        <v>1290</v>
      </c>
      <c r="M801" s="6">
        <v>45376</v>
      </c>
      <c r="N801" s="6">
        <v>45371</v>
      </c>
      <c r="O801" s="6">
        <v>45654</v>
      </c>
      <c r="P801" s="7" t="s">
        <v>2886</v>
      </c>
      <c r="Q801" s="5">
        <v>47</v>
      </c>
      <c r="R801" s="10">
        <f t="shared" si="62"/>
        <v>705</v>
      </c>
      <c r="S801" s="5">
        <v>95</v>
      </c>
      <c r="T801" s="5" t="s">
        <v>27</v>
      </c>
      <c r="U801" s="11">
        <f t="shared" si="64"/>
        <v>-465</v>
      </c>
    </row>
    <row r="802" spans="1:21" ht="16" x14ac:dyDescent="0.4">
      <c r="A802" s="2" t="s">
        <v>2887</v>
      </c>
      <c r="B802" s="3" t="s">
        <v>364</v>
      </c>
      <c r="C802" s="28" t="s">
        <v>65</v>
      </c>
      <c r="D802" s="2" t="s">
        <v>2888</v>
      </c>
      <c r="E802" s="4" t="s">
        <v>944</v>
      </c>
      <c r="F802" s="5">
        <v>85</v>
      </c>
      <c r="G802" s="5">
        <v>66</v>
      </c>
      <c r="H802" s="5">
        <v>85</v>
      </c>
      <c r="I802" s="10">
        <v>4.2</v>
      </c>
      <c r="J802" s="11">
        <f t="shared" si="63"/>
        <v>357</v>
      </c>
      <c r="K802" s="12" t="str">
        <f t="shared" si="60"/>
        <v>Stock_Sufficient</v>
      </c>
      <c r="L802" s="12">
        <f t="shared" si="61"/>
        <v>357</v>
      </c>
      <c r="M802" s="6">
        <v>45663</v>
      </c>
      <c r="N802" s="6">
        <v>45596</v>
      </c>
      <c r="O802" s="6">
        <v>45544</v>
      </c>
      <c r="P802" s="7" t="s">
        <v>2889</v>
      </c>
      <c r="Q802" s="5">
        <v>65</v>
      </c>
      <c r="R802" s="10">
        <f t="shared" si="62"/>
        <v>273</v>
      </c>
      <c r="S802" s="5">
        <v>58</v>
      </c>
      <c r="T802" s="5" t="s">
        <v>27</v>
      </c>
      <c r="U802" s="11">
        <f t="shared" si="64"/>
        <v>-84</v>
      </c>
    </row>
    <row r="803" spans="1:21" ht="16" x14ac:dyDescent="0.4">
      <c r="A803" s="2" t="s">
        <v>2890</v>
      </c>
      <c r="B803" s="3" t="s">
        <v>546</v>
      </c>
      <c r="C803" s="28" t="s">
        <v>48</v>
      </c>
      <c r="D803" s="2" t="s">
        <v>2891</v>
      </c>
      <c r="E803" s="4" t="s">
        <v>2640</v>
      </c>
      <c r="F803" s="5">
        <v>65</v>
      </c>
      <c r="G803" s="5">
        <v>69</v>
      </c>
      <c r="H803" s="5">
        <v>4</v>
      </c>
      <c r="I803" s="10">
        <v>6</v>
      </c>
      <c r="J803" s="11">
        <f t="shared" si="63"/>
        <v>390</v>
      </c>
      <c r="K803" s="12" t="str">
        <f t="shared" si="60"/>
        <v>Low Stock_Reorder Needed</v>
      </c>
      <c r="L803" s="12">
        <f t="shared" si="61"/>
        <v>24</v>
      </c>
      <c r="M803" s="6">
        <v>45518</v>
      </c>
      <c r="N803" s="6">
        <v>45458</v>
      </c>
      <c r="O803" s="6">
        <v>45578</v>
      </c>
      <c r="P803" s="7" t="s">
        <v>2892</v>
      </c>
      <c r="Q803" s="5">
        <v>80</v>
      </c>
      <c r="R803" s="10">
        <f t="shared" si="62"/>
        <v>480</v>
      </c>
      <c r="S803" s="5">
        <v>26</v>
      </c>
      <c r="T803" s="5" t="s">
        <v>45</v>
      </c>
      <c r="U803" s="11">
        <f t="shared" si="64"/>
        <v>90</v>
      </c>
    </row>
    <row r="804" spans="1:21" ht="16" x14ac:dyDescent="0.4">
      <c r="A804" s="2" t="s">
        <v>2893</v>
      </c>
      <c r="B804" s="3" t="s">
        <v>187</v>
      </c>
      <c r="C804" s="28" t="s">
        <v>59</v>
      </c>
      <c r="D804" s="2" t="s">
        <v>2894</v>
      </c>
      <c r="E804" s="4" t="s">
        <v>1466</v>
      </c>
      <c r="F804" s="5">
        <v>36</v>
      </c>
      <c r="G804" s="5">
        <v>3</v>
      </c>
      <c r="H804" s="5">
        <v>54</v>
      </c>
      <c r="I804" s="10">
        <v>6</v>
      </c>
      <c r="J804" s="11">
        <f t="shared" si="63"/>
        <v>216</v>
      </c>
      <c r="K804" s="12" t="str">
        <f t="shared" si="60"/>
        <v>Stock_Sufficient</v>
      </c>
      <c r="L804" s="12">
        <f t="shared" si="61"/>
        <v>324</v>
      </c>
      <c r="M804" s="6">
        <v>45354</v>
      </c>
      <c r="N804" s="6">
        <v>45456</v>
      </c>
      <c r="O804" s="6">
        <v>45639</v>
      </c>
      <c r="P804" s="7" t="s">
        <v>2895</v>
      </c>
      <c r="Q804" s="5">
        <v>74</v>
      </c>
      <c r="R804" s="10">
        <f t="shared" si="62"/>
        <v>444</v>
      </c>
      <c r="S804" s="5">
        <v>8</v>
      </c>
      <c r="T804" s="5" t="s">
        <v>27</v>
      </c>
      <c r="U804" s="11">
        <f t="shared" si="64"/>
        <v>228</v>
      </c>
    </row>
    <row r="805" spans="1:21" ht="16" x14ac:dyDescent="0.4">
      <c r="A805" s="2" t="s">
        <v>2896</v>
      </c>
      <c r="B805" s="3" t="s">
        <v>390</v>
      </c>
      <c r="C805" s="28" t="s">
        <v>48</v>
      </c>
      <c r="D805" s="2" t="s">
        <v>2897</v>
      </c>
      <c r="E805" s="4" t="s">
        <v>2898</v>
      </c>
      <c r="F805" s="5">
        <v>26</v>
      </c>
      <c r="G805" s="5">
        <v>63</v>
      </c>
      <c r="H805" s="5">
        <v>88</v>
      </c>
      <c r="I805" s="10">
        <v>1.2</v>
      </c>
      <c r="J805" s="11">
        <f t="shared" si="63"/>
        <v>31.2</v>
      </c>
      <c r="K805" s="12" t="str">
        <f t="shared" si="60"/>
        <v>Low Stock_Reorder Needed</v>
      </c>
      <c r="L805" s="12">
        <f t="shared" si="61"/>
        <v>105.6</v>
      </c>
      <c r="M805" s="6">
        <v>45421</v>
      </c>
      <c r="N805" s="6">
        <v>45351</v>
      </c>
      <c r="O805" s="6">
        <v>45436</v>
      </c>
      <c r="P805" s="7" t="s">
        <v>2899</v>
      </c>
      <c r="Q805" s="5">
        <v>84</v>
      </c>
      <c r="R805" s="10">
        <f t="shared" si="62"/>
        <v>100.8</v>
      </c>
      <c r="S805" s="5">
        <v>70</v>
      </c>
      <c r="T805" s="5" t="s">
        <v>45</v>
      </c>
      <c r="U805" s="11">
        <f t="shared" si="64"/>
        <v>69.599999999999994</v>
      </c>
    </row>
    <row r="806" spans="1:21" ht="16" x14ac:dyDescent="0.4">
      <c r="A806" s="2" t="s">
        <v>2900</v>
      </c>
      <c r="B806" s="3" t="s">
        <v>865</v>
      </c>
      <c r="C806" s="28" t="s">
        <v>59</v>
      </c>
      <c r="D806" s="2" t="s">
        <v>2901</v>
      </c>
      <c r="E806" s="4" t="s">
        <v>1280</v>
      </c>
      <c r="F806" s="5">
        <v>39</v>
      </c>
      <c r="G806" s="5">
        <v>13</v>
      </c>
      <c r="H806" s="5">
        <v>13</v>
      </c>
      <c r="I806" s="10">
        <v>2.5</v>
      </c>
      <c r="J806" s="11">
        <f t="shared" si="63"/>
        <v>97.5</v>
      </c>
      <c r="K806" s="12" t="str">
        <f t="shared" si="60"/>
        <v>Stock_Sufficient</v>
      </c>
      <c r="L806" s="12">
        <f t="shared" si="61"/>
        <v>32.5</v>
      </c>
      <c r="M806" s="6">
        <v>45548</v>
      </c>
      <c r="N806" s="6">
        <v>45707</v>
      </c>
      <c r="O806" s="6">
        <v>45365</v>
      </c>
      <c r="P806" s="7" t="s">
        <v>2902</v>
      </c>
      <c r="Q806" s="5">
        <v>84</v>
      </c>
      <c r="R806" s="10">
        <f t="shared" si="62"/>
        <v>210</v>
      </c>
      <c r="S806" s="5">
        <v>93</v>
      </c>
      <c r="T806" s="5" t="s">
        <v>45</v>
      </c>
      <c r="U806" s="11">
        <f t="shared" si="64"/>
        <v>112.5</v>
      </c>
    </row>
    <row r="807" spans="1:21" ht="16" x14ac:dyDescent="0.4">
      <c r="A807" s="2" t="s">
        <v>2903</v>
      </c>
      <c r="B807" s="3" t="s">
        <v>84</v>
      </c>
      <c r="C807" s="28" t="s">
        <v>23</v>
      </c>
      <c r="D807" s="2" t="s">
        <v>2904</v>
      </c>
      <c r="E807" s="4" t="s">
        <v>2142</v>
      </c>
      <c r="F807" s="5">
        <v>39</v>
      </c>
      <c r="G807" s="5">
        <v>83</v>
      </c>
      <c r="H807" s="5">
        <v>21</v>
      </c>
      <c r="I807" s="10">
        <v>2</v>
      </c>
      <c r="J807" s="11">
        <f t="shared" si="63"/>
        <v>78</v>
      </c>
      <c r="K807" s="12" t="str">
        <f t="shared" si="60"/>
        <v>Low Stock_Reorder Needed</v>
      </c>
      <c r="L807" s="12">
        <f t="shared" si="61"/>
        <v>42</v>
      </c>
      <c r="M807" s="6">
        <v>45657</v>
      </c>
      <c r="N807" s="6">
        <v>45405</v>
      </c>
      <c r="O807" s="6">
        <v>45394</v>
      </c>
      <c r="P807" s="7" t="s">
        <v>2905</v>
      </c>
      <c r="Q807" s="5">
        <v>73</v>
      </c>
      <c r="R807" s="10">
        <f t="shared" si="62"/>
        <v>146</v>
      </c>
      <c r="S807" s="5">
        <v>88</v>
      </c>
      <c r="T807" s="5" t="s">
        <v>45</v>
      </c>
      <c r="U807" s="11">
        <f t="shared" si="64"/>
        <v>68</v>
      </c>
    </row>
    <row r="808" spans="1:21" ht="16" x14ac:dyDescent="0.4">
      <c r="A808" s="2" t="s">
        <v>2906</v>
      </c>
      <c r="B808" s="3" t="s">
        <v>143</v>
      </c>
      <c r="C808" s="28" t="s">
        <v>48</v>
      </c>
      <c r="D808" s="2" t="s">
        <v>2907</v>
      </c>
      <c r="E808" s="4" t="s">
        <v>227</v>
      </c>
      <c r="F808" s="5">
        <v>83</v>
      </c>
      <c r="G808" s="5">
        <v>61</v>
      </c>
      <c r="H808" s="5">
        <v>4</v>
      </c>
      <c r="I808" s="10">
        <v>1</v>
      </c>
      <c r="J808" s="11">
        <f t="shared" si="63"/>
        <v>83</v>
      </c>
      <c r="K808" s="12" t="str">
        <f t="shared" si="60"/>
        <v>Stock_Sufficient</v>
      </c>
      <c r="L808" s="12">
        <f t="shared" si="61"/>
        <v>4</v>
      </c>
      <c r="M808" s="6">
        <v>45551</v>
      </c>
      <c r="N808" s="6">
        <v>45601</v>
      </c>
      <c r="O808" s="6">
        <v>45589</v>
      </c>
      <c r="P808" s="7" t="s">
        <v>2908</v>
      </c>
      <c r="Q808" s="5">
        <v>35</v>
      </c>
      <c r="R808" s="10">
        <f t="shared" si="62"/>
        <v>35</v>
      </c>
      <c r="S808" s="5">
        <v>7</v>
      </c>
      <c r="T808" s="5" t="s">
        <v>39</v>
      </c>
      <c r="U808" s="11">
        <f t="shared" si="64"/>
        <v>-48</v>
      </c>
    </row>
    <row r="809" spans="1:21" ht="16" x14ac:dyDescent="0.4">
      <c r="A809" s="2" t="s">
        <v>2909</v>
      </c>
      <c r="B809" s="3" t="s">
        <v>177</v>
      </c>
      <c r="C809" s="28" t="s">
        <v>48</v>
      </c>
      <c r="D809" s="2" t="s">
        <v>2910</v>
      </c>
      <c r="E809" s="4" t="s">
        <v>2181</v>
      </c>
      <c r="F809" s="5">
        <v>28</v>
      </c>
      <c r="G809" s="5">
        <v>5</v>
      </c>
      <c r="H809" s="5">
        <v>9</v>
      </c>
      <c r="I809" s="10">
        <v>1.8</v>
      </c>
      <c r="J809" s="11">
        <f t="shared" si="63"/>
        <v>50.4</v>
      </c>
      <c r="K809" s="12" t="str">
        <f t="shared" si="60"/>
        <v>Stock_Sufficient</v>
      </c>
      <c r="L809" s="12">
        <f t="shared" si="61"/>
        <v>16.2</v>
      </c>
      <c r="M809" s="6">
        <v>45673</v>
      </c>
      <c r="N809" s="6">
        <v>45673</v>
      </c>
      <c r="O809" s="6">
        <v>45355</v>
      </c>
      <c r="P809" s="7" t="s">
        <v>2911</v>
      </c>
      <c r="Q809" s="5">
        <v>33</v>
      </c>
      <c r="R809" s="10">
        <f t="shared" si="62"/>
        <v>59.4</v>
      </c>
      <c r="S809" s="5">
        <v>9</v>
      </c>
      <c r="T809" s="5" t="s">
        <v>27</v>
      </c>
      <c r="U809" s="11">
        <f t="shared" si="64"/>
        <v>9</v>
      </c>
    </row>
    <row r="810" spans="1:21" ht="16" x14ac:dyDescent="0.4">
      <c r="A810" s="2" t="s">
        <v>2912</v>
      </c>
      <c r="B810" s="3" t="s">
        <v>625</v>
      </c>
      <c r="C810" s="28" t="s">
        <v>133</v>
      </c>
      <c r="D810" s="2" t="s">
        <v>2913</v>
      </c>
      <c r="E810" s="4" t="s">
        <v>1466</v>
      </c>
      <c r="F810" s="5">
        <v>85</v>
      </c>
      <c r="G810" s="5">
        <v>17</v>
      </c>
      <c r="H810" s="5">
        <v>96</v>
      </c>
      <c r="I810" s="10">
        <v>18</v>
      </c>
      <c r="J810" s="11">
        <f t="shared" si="63"/>
        <v>1530</v>
      </c>
      <c r="K810" s="12" t="str">
        <f t="shared" si="60"/>
        <v>Stock_Sufficient</v>
      </c>
      <c r="L810" s="12">
        <f t="shared" si="61"/>
        <v>1728</v>
      </c>
      <c r="M810" s="6">
        <v>45601</v>
      </c>
      <c r="N810" s="6">
        <v>45475</v>
      </c>
      <c r="O810" s="6">
        <v>45390</v>
      </c>
      <c r="P810" s="7" t="s">
        <v>2914</v>
      </c>
      <c r="Q810" s="5">
        <v>92</v>
      </c>
      <c r="R810" s="10">
        <f t="shared" si="62"/>
        <v>1656</v>
      </c>
      <c r="S810" s="5">
        <v>34</v>
      </c>
      <c r="T810" s="5" t="s">
        <v>27</v>
      </c>
      <c r="U810" s="11">
        <f t="shared" si="64"/>
        <v>126</v>
      </c>
    </row>
    <row r="811" spans="1:21" ht="16" x14ac:dyDescent="0.4">
      <c r="A811" s="2" t="s">
        <v>2915</v>
      </c>
      <c r="B811" s="3" t="s">
        <v>882</v>
      </c>
      <c r="C811" s="28" t="s">
        <v>48</v>
      </c>
      <c r="D811" s="2" t="s">
        <v>2916</v>
      </c>
      <c r="E811" s="4" t="s">
        <v>1079</v>
      </c>
      <c r="F811" s="5">
        <v>76</v>
      </c>
      <c r="G811" s="5">
        <v>39</v>
      </c>
      <c r="H811" s="5">
        <v>15</v>
      </c>
      <c r="I811" s="10">
        <v>2</v>
      </c>
      <c r="J811" s="11">
        <f t="shared" si="63"/>
        <v>152</v>
      </c>
      <c r="K811" s="12" t="str">
        <f t="shared" si="60"/>
        <v>Stock_Sufficient</v>
      </c>
      <c r="L811" s="12">
        <f t="shared" si="61"/>
        <v>30</v>
      </c>
      <c r="M811" s="6">
        <v>45632</v>
      </c>
      <c r="N811" s="6">
        <v>45466</v>
      </c>
      <c r="O811" s="6">
        <v>45520</v>
      </c>
      <c r="P811" s="7" t="s">
        <v>2917</v>
      </c>
      <c r="Q811" s="5">
        <v>77</v>
      </c>
      <c r="R811" s="10">
        <f t="shared" si="62"/>
        <v>154</v>
      </c>
      <c r="S811" s="5">
        <v>70</v>
      </c>
      <c r="T811" s="5" t="s">
        <v>39</v>
      </c>
      <c r="U811" s="11">
        <f t="shared" si="64"/>
        <v>2</v>
      </c>
    </row>
    <row r="812" spans="1:21" ht="16" x14ac:dyDescent="0.4">
      <c r="A812" s="2" t="s">
        <v>2918</v>
      </c>
      <c r="B812" s="3" t="s">
        <v>1269</v>
      </c>
      <c r="C812" s="28" t="s">
        <v>48</v>
      </c>
      <c r="D812" s="2" t="s">
        <v>2919</v>
      </c>
      <c r="E812" s="4" t="s">
        <v>1455</v>
      </c>
      <c r="F812" s="5">
        <v>100</v>
      </c>
      <c r="G812" s="5">
        <v>64</v>
      </c>
      <c r="H812" s="5">
        <v>62</v>
      </c>
      <c r="I812" s="10">
        <v>2.5</v>
      </c>
      <c r="J812" s="11">
        <f t="shared" si="63"/>
        <v>250</v>
      </c>
      <c r="K812" s="12" t="str">
        <f t="shared" si="60"/>
        <v>Stock_Sufficient</v>
      </c>
      <c r="L812" s="12">
        <f t="shared" si="61"/>
        <v>155</v>
      </c>
      <c r="M812" s="6">
        <v>45641</v>
      </c>
      <c r="N812" s="6">
        <v>45656</v>
      </c>
      <c r="O812" s="6">
        <v>45528</v>
      </c>
      <c r="P812" s="7" t="s">
        <v>2920</v>
      </c>
      <c r="Q812" s="5">
        <v>84</v>
      </c>
      <c r="R812" s="10">
        <f t="shared" si="62"/>
        <v>210</v>
      </c>
      <c r="S812" s="5">
        <v>44</v>
      </c>
      <c r="T812" s="5" t="s">
        <v>27</v>
      </c>
      <c r="U812" s="11">
        <f t="shared" si="64"/>
        <v>-40</v>
      </c>
    </row>
    <row r="813" spans="1:21" ht="16" x14ac:dyDescent="0.4">
      <c r="A813" s="2" t="s">
        <v>2921</v>
      </c>
      <c r="B813" s="3" t="s">
        <v>546</v>
      </c>
      <c r="C813" s="28" t="s">
        <v>48</v>
      </c>
      <c r="D813" s="2" t="s">
        <v>2922</v>
      </c>
      <c r="E813" s="4" t="s">
        <v>2923</v>
      </c>
      <c r="F813" s="5">
        <v>17</v>
      </c>
      <c r="G813" s="5">
        <v>45</v>
      </c>
      <c r="H813" s="5">
        <v>44</v>
      </c>
      <c r="I813" s="10">
        <v>6</v>
      </c>
      <c r="J813" s="11">
        <f t="shared" si="63"/>
        <v>102</v>
      </c>
      <c r="K813" s="12" t="str">
        <f t="shared" si="60"/>
        <v>Low Stock_Reorder Needed</v>
      </c>
      <c r="L813" s="12">
        <f t="shared" si="61"/>
        <v>264</v>
      </c>
      <c r="M813" s="6">
        <v>45498</v>
      </c>
      <c r="N813" s="6">
        <v>45385</v>
      </c>
      <c r="O813" s="6">
        <v>45575</v>
      </c>
      <c r="P813" s="7" t="s">
        <v>2924</v>
      </c>
      <c r="Q813" s="5">
        <v>37</v>
      </c>
      <c r="R813" s="10">
        <f t="shared" si="62"/>
        <v>222</v>
      </c>
      <c r="S813" s="5">
        <v>16</v>
      </c>
      <c r="T813" s="5" t="s">
        <v>45</v>
      </c>
      <c r="U813" s="11">
        <f t="shared" si="64"/>
        <v>120</v>
      </c>
    </row>
    <row r="814" spans="1:21" ht="16" x14ac:dyDescent="0.4">
      <c r="A814" s="2" t="s">
        <v>2925</v>
      </c>
      <c r="B814" s="3" t="s">
        <v>801</v>
      </c>
      <c r="C814" s="28" t="s">
        <v>133</v>
      </c>
      <c r="D814" s="2" t="s">
        <v>2926</v>
      </c>
      <c r="E814" s="4" t="s">
        <v>845</v>
      </c>
      <c r="F814" s="5">
        <v>51</v>
      </c>
      <c r="G814" s="5">
        <v>35</v>
      </c>
      <c r="H814" s="5">
        <v>95</v>
      </c>
      <c r="I814" s="10">
        <v>10</v>
      </c>
      <c r="J814" s="11">
        <f t="shared" si="63"/>
        <v>510</v>
      </c>
      <c r="K814" s="12" t="str">
        <f t="shared" si="60"/>
        <v>Stock_Sufficient</v>
      </c>
      <c r="L814" s="12">
        <f t="shared" si="61"/>
        <v>950</v>
      </c>
      <c r="M814" s="6">
        <v>45587</v>
      </c>
      <c r="N814" s="6">
        <v>45420</v>
      </c>
      <c r="O814" s="6">
        <v>45520</v>
      </c>
      <c r="P814" s="7" t="s">
        <v>2927</v>
      </c>
      <c r="Q814" s="5">
        <v>80</v>
      </c>
      <c r="R814" s="10">
        <f t="shared" si="62"/>
        <v>800</v>
      </c>
      <c r="S814" s="5">
        <v>89</v>
      </c>
      <c r="T814" s="5" t="s">
        <v>39</v>
      </c>
      <c r="U814" s="11">
        <f t="shared" si="64"/>
        <v>290</v>
      </c>
    </row>
    <row r="815" spans="1:21" ht="16" x14ac:dyDescent="0.4">
      <c r="A815" s="2" t="s">
        <v>2928</v>
      </c>
      <c r="B815" s="3" t="s">
        <v>1126</v>
      </c>
      <c r="C815" s="28" t="s">
        <v>48</v>
      </c>
      <c r="D815" s="2" t="s">
        <v>2929</v>
      </c>
      <c r="E815" s="4" t="s">
        <v>174</v>
      </c>
      <c r="F815" s="5">
        <v>54</v>
      </c>
      <c r="G815" s="5">
        <v>88</v>
      </c>
      <c r="H815" s="5">
        <v>43</v>
      </c>
      <c r="I815" s="10">
        <v>5.5</v>
      </c>
      <c r="J815" s="11">
        <f t="shared" si="63"/>
        <v>297</v>
      </c>
      <c r="K815" s="12" t="str">
        <f t="shared" si="60"/>
        <v>Low Stock_Reorder Needed</v>
      </c>
      <c r="L815" s="12">
        <f t="shared" si="61"/>
        <v>236.5</v>
      </c>
      <c r="M815" s="6">
        <v>45700</v>
      </c>
      <c r="N815" s="6">
        <v>45436</v>
      </c>
      <c r="O815" s="6">
        <v>45401</v>
      </c>
      <c r="P815" s="7" t="s">
        <v>2930</v>
      </c>
      <c r="Q815" s="5">
        <v>81</v>
      </c>
      <c r="R815" s="10">
        <f t="shared" si="62"/>
        <v>445.5</v>
      </c>
      <c r="S815" s="5">
        <v>77</v>
      </c>
      <c r="T815" s="5" t="s">
        <v>39</v>
      </c>
      <c r="U815" s="11">
        <f t="shared" si="64"/>
        <v>148.5</v>
      </c>
    </row>
    <row r="816" spans="1:21" ht="16" x14ac:dyDescent="0.4">
      <c r="A816" s="2" t="s">
        <v>2931</v>
      </c>
      <c r="B816" s="3" t="s">
        <v>266</v>
      </c>
      <c r="C816" s="28" t="s">
        <v>90</v>
      </c>
      <c r="D816" s="2" t="s">
        <v>2932</v>
      </c>
      <c r="E816" s="4" t="s">
        <v>1094</v>
      </c>
      <c r="F816" s="5">
        <v>94</v>
      </c>
      <c r="G816" s="5">
        <v>56</v>
      </c>
      <c r="H816" s="5">
        <v>80</v>
      </c>
      <c r="I816" s="10">
        <v>4</v>
      </c>
      <c r="J816" s="11">
        <f t="shared" si="63"/>
        <v>376</v>
      </c>
      <c r="K816" s="12" t="str">
        <f t="shared" si="60"/>
        <v>Stock_Sufficient</v>
      </c>
      <c r="L816" s="12">
        <f t="shared" si="61"/>
        <v>320</v>
      </c>
      <c r="M816" s="6">
        <v>45661</v>
      </c>
      <c r="N816" s="6">
        <v>45628</v>
      </c>
      <c r="O816" s="6">
        <v>45562</v>
      </c>
      <c r="P816" s="7" t="s">
        <v>2933</v>
      </c>
      <c r="Q816" s="5">
        <v>47</v>
      </c>
      <c r="R816" s="10">
        <f t="shared" si="62"/>
        <v>188</v>
      </c>
      <c r="S816" s="5">
        <v>96</v>
      </c>
      <c r="T816" s="5" t="s">
        <v>39</v>
      </c>
      <c r="U816" s="11">
        <f t="shared" si="64"/>
        <v>-188</v>
      </c>
    </row>
    <row r="817" spans="1:21" ht="16" x14ac:dyDescent="0.4">
      <c r="A817" s="2" t="s">
        <v>2934</v>
      </c>
      <c r="B817" s="3" t="s">
        <v>752</v>
      </c>
      <c r="C817" s="28" t="s">
        <v>48</v>
      </c>
      <c r="D817" s="2" t="s">
        <v>2935</v>
      </c>
      <c r="E817" s="4" t="s">
        <v>92</v>
      </c>
      <c r="F817" s="5">
        <v>34</v>
      </c>
      <c r="G817" s="5">
        <v>95</v>
      </c>
      <c r="H817" s="5">
        <v>18</v>
      </c>
      <c r="I817" s="10">
        <v>5</v>
      </c>
      <c r="J817" s="11">
        <f t="shared" si="63"/>
        <v>170</v>
      </c>
      <c r="K817" s="12" t="str">
        <f t="shared" si="60"/>
        <v>Low Stock_Reorder Needed</v>
      </c>
      <c r="L817" s="12">
        <f t="shared" si="61"/>
        <v>90</v>
      </c>
      <c r="M817" s="6">
        <v>45579</v>
      </c>
      <c r="N817" s="6">
        <v>45582</v>
      </c>
      <c r="O817" s="6">
        <v>45424</v>
      </c>
      <c r="P817" s="7" t="s">
        <v>2936</v>
      </c>
      <c r="Q817" s="5">
        <v>41</v>
      </c>
      <c r="R817" s="10">
        <f t="shared" si="62"/>
        <v>205</v>
      </c>
      <c r="S817" s="5">
        <v>26</v>
      </c>
      <c r="T817" s="5" t="s">
        <v>27</v>
      </c>
      <c r="U817" s="11">
        <f t="shared" si="64"/>
        <v>35</v>
      </c>
    </row>
    <row r="818" spans="1:21" ht="16" x14ac:dyDescent="0.4">
      <c r="A818" s="2" t="s">
        <v>2937</v>
      </c>
      <c r="B818" s="3" t="s">
        <v>192</v>
      </c>
      <c r="C818" s="28" t="s">
        <v>30</v>
      </c>
      <c r="D818" s="2" t="s">
        <v>2938</v>
      </c>
      <c r="E818" s="4" t="s">
        <v>2939</v>
      </c>
      <c r="F818" s="5">
        <v>27</v>
      </c>
      <c r="G818" s="5">
        <v>1</v>
      </c>
      <c r="H818" s="5">
        <v>3</v>
      </c>
      <c r="I818" s="10">
        <v>30</v>
      </c>
      <c r="J818" s="11">
        <f t="shared" si="63"/>
        <v>810</v>
      </c>
      <c r="K818" s="12" t="str">
        <f t="shared" si="60"/>
        <v>Stock_Sufficient</v>
      </c>
      <c r="L818" s="12">
        <f t="shared" si="61"/>
        <v>90</v>
      </c>
      <c r="M818" s="6">
        <v>45398</v>
      </c>
      <c r="N818" s="6">
        <v>45513</v>
      </c>
      <c r="O818" s="6">
        <v>45624</v>
      </c>
      <c r="P818" s="7" t="s">
        <v>2940</v>
      </c>
      <c r="Q818" s="5">
        <v>34</v>
      </c>
      <c r="R818" s="10">
        <f t="shared" si="62"/>
        <v>1020</v>
      </c>
      <c r="S818" s="5">
        <v>63</v>
      </c>
      <c r="T818" s="5" t="s">
        <v>39</v>
      </c>
      <c r="U818" s="11">
        <f t="shared" si="64"/>
        <v>210</v>
      </c>
    </row>
    <row r="819" spans="1:21" ht="16" x14ac:dyDescent="0.4">
      <c r="A819" s="2" t="s">
        <v>2941</v>
      </c>
      <c r="B819" s="3" t="s">
        <v>53</v>
      </c>
      <c r="C819" s="28" t="s">
        <v>23</v>
      </c>
      <c r="D819" s="2" t="s">
        <v>2942</v>
      </c>
      <c r="E819" s="4" t="s">
        <v>194</v>
      </c>
      <c r="F819" s="5">
        <v>50</v>
      </c>
      <c r="G819" s="5">
        <v>42</v>
      </c>
      <c r="H819" s="5">
        <v>20</v>
      </c>
      <c r="I819" s="10">
        <v>1.75</v>
      </c>
      <c r="J819" s="11">
        <f t="shared" si="63"/>
        <v>87.5</v>
      </c>
      <c r="K819" s="12" t="str">
        <f t="shared" si="60"/>
        <v>Stock_Sufficient</v>
      </c>
      <c r="L819" s="12">
        <f t="shared" si="61"/>
        <v>35</v>
      </c>
      <c r="M819" s="6">
        <v>45602</v>
      </c>
      <c r="N819" s="6">
        <v>45707</v>
      </c>
      <c r="O819" s="6">
        <v>45497</v>
      </c>
      <c r="P819" s="7" t="s">
        <v>2943</v>
      </c>
      <c r="Q819" s="5">
        <v>87</v>
      </c>
      <c r="R819" s="10">
        <f t="shared" si="62"/>
        <v>152.25</v>
      </c>
      <c r="S819" s="5">
        <v>59</v>
      </c>
      <c r="T819" s="5" t="s">
        <v>45</v>
      </c>
      <c r="U819" s="11">
        <f t="shared" si="64"/>
        <v>64.75</v>
      </c>
    </row>
    <row r="820" spans="1:21" ht="16" x14ac:dyDescent="0.4">
      <c r="A820" s="2" t="s">
        <v>2944</v>
      </c>
      <c r="B820" s="3" t="s">
        <v>502</v>
      </c>
      <c r="C820" s="28" t="s">
        <v>23</v>
      </c>
      <c r="D820" s="2" t="s">
        <v>2945</v>
      </c>
      <c r="E820" s="4" t="s">
        <v>2651</v>
      </c>
      <c r="F820" s="5">
        <v>85</v>
      </c>
      <c r="G820" s="5">
        <v>12</v>
      </c>
      <c r="H820" s="5">
        <v>94</v>
      </c>
      <c r="I820" s="10">
        <v>9.5</v>
      </c>
      <c r="J820" s="11">
        <f t="shared" si="63"/>
        <v>807.5</v>
      </c>
      <c r="K820" s="12" t="str">
        <f t="shared" si="60"/>
        <v>Stock_Sufficient</v>
      </c>
      <c r="L820" s="12">
        <f t="shared" si="61"/>
        <v>893</v>
      </c>
      <c r="M820" s="6">
        <v>45375</v>
      </c>
      <c r="N820" s="6">
        <v>45590</v>
      </c>
      <c r="O820" s="6">
        <v>45365</v>
      </c>
      <c r="P820" s="7" t="s">
        <v>2946</v>
      </c>
      <c r="Q820" s="5">
        <v>26</v>
      </c>
      <c r="R820" s="10">
        <f t="shared" si="62"/>
        <v>247</v>
      </c>
      <c r="S820" s="5">
        <v>32</v>
      </c>
      <c r="T820" s="5" t="s">
        <v>27</v>
      </c>
      <c r="U820" s="11">
        <f t="shared" si="64"/>
        <v>-560.5</v>
      </c>
    </row>
    <row r="821" spans="1:21" ht="16" x14ac:dyDescent="0.4">
      <c r="A821" s="2" t="s">
        <v>2947</v>
      </c>
      <c r="B821" s="3" t="s">
        <v>473</v>
      </c>
      <c r="C821" s="28" t="s">
        <v>23</v>
      </c>
      <c r="D821" s="2" t="s">
        <v>2948</v>
      </c>
      <c r="E821" s="4" t="s">
        <v>908</v>
      </c>
      <c r="F821" s="5">
        <v>24</v>
      </c>
      <c r="G821" s="5">
        <v>2</v>
      </c>
      <c r="H821" s="5">
        <v>49</v>
      </c>
      <c r="I821" s="10">
        <v>2</v>
      </c>
      <c r="J821" s="11">
        <f t="shared" si="63"/>
        <v>48</v>
      </c>
      <c r="K821" s="12" t="str">
        <f t="shared" si="60"/>
        <v>Stock_Sufficient</v>
      </c>
      <c r="L821" s="12">
        <f t="shared" si="61"/>
        <v>98</v>
      </c>
      <c r="M821" s="6">
        <v>45445</v>
      </c>
      <c r="N821" s="6">
        <v>45682</v>
      </c>
      <c r="O821" s="6">
        <v>45540</v>
      </c>
      <c r="P821" s="7" t="s">
        <v>2949</v>
      </c>
      <c r="Q821" s="5">
        <v>98</v>
      </c>
      <c r="R821" s="10">
        <f t="shared" si="62"/>
        <v>196</v>
      </c>
      <c r="S821" s="5">
        <v>82</v>
      </c>
      <c r="T821" s="5" t="s">
        <v>45</v>
      </c>
      <c r="U821" s="11">
        <f t="shared" si="64"/>
        <v>148</v>
      </c>
    </row>
    <row r="822" spans="1:21" ht="16" x14ac:dyDescent="0.4">
      <c r="A822" s="2" t="s">
        <v>2950</v>
      </c>
      <c r="B822" s="3" t="s">
        <v>1167</v>
      </c>
      <c r="C822" s="28" t="s">
        <v>133</v>
      </c>
      <c r="D822" s="2" t="s">
        <v>2951</v>
      </c>
      <c r="E822" s="4" t="s">
        <v>762</v>
      </c>
      <c r="F822" s="5">
        <v>82</v>
      </c>
      <c r="G822" s="5">
        <v>31</v>
      </c>
      <c r="H822" s="5">
        <v>86</v>
      </c>
      <c r="I822" s="10">
        <v>20</v>
      </c>
      <c r="J822" s="11">
        <f t="shared" si="63"/>
        <v>1640</v>
      </c>
      <c r="K822" s="12" t="str">
        <f t="shared" si="60"/>
        <v>Stock_Sufficient</v>
      </c>
      <c r="L822" s="12">
        <f t="shared" si="61"/>
        <v>1720</v>
      </c>
      <c r="M822" s="6">
        <v>45392</v>
      </c>
      <c r="N822" s="6">
        <v>45429</v>
      </c>
      <c r="O822" s="6">
        <v>45665</v>
      </c>
      <c r="P822" s="7" t="s">
        <v>2952</v>
      </c>
      <c r="Q822" s="5">
        <v>66</v>
      </c>
      <c r="R822" s="10">
        <f t="shared" si="62"/>
        <v>1320</v>
      </c>
      <c r="S822" s="5">
        <v>74</v>
      </c>
      <c r="T822" s="5" t="s">
        <v>45</v>
      </c>
      <c r="U822" s="11">
        <f t="shared" si="64"/>
        <v>-320</v>
      </c>
    </row>
    <row r="823" spans="1:21" ht="16" x14ac:dyDescent="0.4">
      <c r="A823" s="2" t="s">
        <v>2953</v>
      </c>
      <c r="B823" s="3" t="s">
        <v>1235</v>
      </c>
      <c r="C823" s="28" t="s">
        <v>48</v>
      </c>
      <c r="D823" s="2" t="s">
        <v>2954</v>
      </c>
      <c r="E823" s="4" t="s">
        <v>2344</v>
      </c>
      <c r="F823" s="5">
        <v>17</v>
      </c>
      <c r="G823" s="5">
        <v>14</v>
      </c>
      <c r="H823" s="5">
        <v>17</v>
      </c>
      <c r="I823" s="10">
        <v>3.5</v>
      </c>
      <c r="J823" s="11">
        <f t="shared" si="63"/>
        <v>59.5</v>
      </c>
      <c r="K823" s="12" t="str">
        <f t="shared" si="60"/>
        <v>Stock_Sufficient</v>
      </c>
      <c r="L823" s="12">
        <f t="shared" si="61"/>
        <v>59.5</v>
      </c>
      <c r="M823" s="6">
        <v>45375</v>
      </c>
      <c r="N823" s="6">
        <v>45570</v>
      </c>
      <c r="O823" s="6">
        <v>45396</v>
      </c>
      <c r="P823" s="7" t="s">
        <v>2955</v>
      </c>
      <c r="Q823" s="5">
        <v>36</v>
      </c>
      <c r="R823" s="10">
        <f t="shared" si="62"/>
        <v>126</v>
      </c>
      <c r="S823" s="5">
        <v>64</v>
      </c>
      <c r="T823" s="5" t="s">
        <v>27</v>
      </c>
      <c r="U823" s="11">
        <f t="shared" si="64"/>
        <v>66.5</v>
      </c>
    </row>
    <row r="824" spans="1:21" ht="16" x14ac:dyDescent="0.4">
      <c r="A824" s="2" t="s">
        <v>2956</v>
      </c>
      <c r="B824" s="3" t="s">
        <v>600</v>
      </c>
      <c r="C824" s="28" t="s">
        <v>59</v>
      </c>
      <c r="D824" s="2" t="s">
        <v>2957</v>
      </c>
      <c r="E824" s="4" t="s">
        <v>272</v>
      </c>
      <c r="F824" s="5">
        <v>25</v>
      </c>
      <c r="G824" s="5">
        <v>97</v>
      </c>
      <c r="H824" s="5">
        <v>63</v>
      </c>
      <c r="I824" s="10">
        <v>2.2999999999999998</v>
      </c>
      <c r="J824" s="11">
        <f t="shared" si="63"/>
        <v>57.499999999999993</v>
      </c>
      <c r="K824" s="12" t="str">
        <f t="shared" si="60"/>
        <v>Low Stock_Reorder Needed</v>
      </c>
      <c r="L824" s="12">
        <f t="shared" si="61"/>
        <v>144.89999999999998</v>
      </c>
      <c r="M824" s="6">
        <v>45587</v>
      </c>
      <c r="N824" s="6">
        <v>45465</v>
      </c>
      <c r="O824" s="6">
        <v>45519</v>
      </c>
      <c r="P824" s="7" t="s">
        <v>2958</v>
      </c>
      <c r="Q824" s="5">
        <v>72</v>
      </c>
      <c r="R824" s="10">
        <f t="shared" si="62"/>
        <v>165.6</v>
      </c>
      <c r="S824" s="5">
        <v>23</v>
      </c>
      <c r="T824" s="5" t="s">
        <v>27</v>
      </c>
      <c r="U824" s="11">
        <f t="shared" si="64"/>
        <v>108.1</v>
      </c>
    </row>
    <row r="825" spans="1:21" ht="16" x14ac:dyDescent="0.4">
      <c r="A825" s="2" t="s">
        <v>2959</v>
      </c>
      <c r="B825" s="3" t="s">
        <v>509</v>
      </c>
      <c r="C825" s="28" t="s">
        <v>133</v>
      </c>
      <c r="D825" s="2" t="s">
        <v>2960</v>
      </c>
      <c r="E825" s="4" t="s">
        <v>656</v>
      </c>
      <c r="F825" s="5">
        <v>56</v>
      </c>
      <c r="G825" s="5">
        <v>59</v>
      </c>
      <c r="H825" s="5">
        <v>87</v>
      </c>
      <c r="I825" s="10">
        <v>7</v>
      </c>
      <c r="J825" s="11">
        <f t="shared" si="63"/>
        <v>392</v>
      </c>
      <c r="K825" s="12" t="str">
        <f t="shared" si="60"/>
        <v>Low Stock_Reorder Needed</v>
      </c>
      <c r="L825" s="12">
        <f t="shared" si="61"/>
        <v>609</v>
      </c>
      <c r="M825" s="6">
        <v>45683</v>
      </c>
      <c r="N825" s="6">
        <v>45649</v>
      </c>
      <c r="O825" s="6">
        <v>45502</v>
      </c>
      <c r="P825" s="7" t="s">
        <v>2961</v>
      </c>
      <c r="Q825" s="5">
        <v>65</v>
      </c>
      <c r="R825" s="10">
        <f t="shared" si="62"/>
        <v>455</v>
      </c>
      <c r="S825" s="5">
        <v>45</v>
      </c>
      <c r="T825" s="5" t="s">
        <v>45</v>
      </c>
      <c r="U825" s="11">
        <f t="shared" si="64"/>
        <v>63</v>
      </c>
    </row>
    <row r="826" spans="1:21" ht="16" x14ac:dyDescent="0.4">
      <c r="A826" s="2" t="s">
        <v>2962</v>
      </c>
      <c r="B826" s="3" t="s">
        <v>1193</v>
      </c>
      <c r="C826" s="28" t="s">
        <v>65</v>
      </c>
      <c r="D826" s="2" t="s">
        <v>2963</v>
      </c>
      <c r="E826" s="4" t="s">
        <v>486</v>
      </c>
      <c r="F826" s="5">
        <v>72</v>
      </c>
      <c r="G826" s="5">
        <v>3</v>
      </c>
      <c r="H826" s="5">
        <v>10</v>
      </c>
      <c r="I826" s="10">
        <v>2</v>
      </c>
      <c r="J826" s="11">
        <f t="shared" si="63"/>
        <v>144</v>
      </c>
      <c r="K826" s="12" t="str">
        <f t="shared" si="60"/>
        <v>Stock_Sufficient</v>
      </c>
      <c r="L826" s="12">
        <f t="shared" si="61"/>
        <v>20</v>
      </c>
      <c r="M826" s="6">
        <v>45675</v>
      </c>
      <c r="N826" s="6">
        <v>45504</v>
      </c>
      <c r="O826" s="6">
        <v>45570</v>
      </c>
      <c r="P826" s="7" t="s">
        <v>2964</v>
      </c>
      <c r="Q826" s="5">
        <v>52</v>
      </c>
      <c r="R826" s="10">
        <f t="shared" si="62"/>
        <v>104</v>
      </c>
      <c r="S826" s="5">
        <v>14</v>
      </c>
      <c r="T826" s="5" t="s">
        <v>39</v>
      </c>
      <c r="U826" s="11">
        <f t="shared" si="64"/>
        <v>-40</v>
      </c>
    </row>
    <row r="827" spans="1:21" ht="16" x14ac:dyDescent="0.4">
      <c r="A827" s="2" t="s">
        <v>2965</v>
      </c>
      <c r="B827" s="3" t="s">
        <v>163</v>
      </c>
      <c r="C827" s="28" t="s">
        <v>48</v>
      </c>
      <c r="D827" s="2" t="s">
        <v>2966</v>
      </c>
      <c r="E827" s="4" t="s">
        <v>438</v>
      </c>
      <c r="F827" s="5">
        <v>65</v>
      </c>
      <c r="G827" s="5">
        <v>42</v>
      </c>
      <c r="H827" s="5">
        <v>62</v>
      </c>
      <c r="I827" s="10">
        <v>6.3</v>
      </c>
      <c r="J827" s="11">
        <f t="shared" si="63"/>
        <v>409.5</v>
      </c>
      <c r="K827" s="12" t="str">
        <f t="shared" si="60"/>
        <v>Stock_Sufficient</v>
      </c>
      <c r="L827" s="12">
        <f t="shared" si="61"/>
        <v>390.59999999999997</v>
      </c>
      <c r="M827" s="6">
        <v>45589</v>
      </c>
      <c r="N827" s="6">
        <v>45462</v>
      </c>
      <c r="O827" s="6">
        <v>45486</v>
      </c>
      <c r="P827" s="7" t="s">
        <v>2967</v>
      </c>
      <c r="Q827" s="5">
        <v>54</v>
      </c>
      <c r="R827" s="10">
        <f t="shared" si="62"/>
        <v>340.2</v>
      </c>
      <c r="S827" s="5">
        <v>2</v>
      </c>
      <c r="T827" s="5" t="s">
        <v>45</v>
      </c>
      <c r="U827" s="11">
        <f t="shared" si="64"/>
        <v>-69.300000000000011</v>
      </c>
    </row>
    <row r="828" spans="1:21" ht="16" x14ac:dyDescent="0.4">
      <c r="A828" s="2" t="s">
        <v>2968</v>
      </c>
      <c r="B828" s="3" t="s">
        <v>1126</v>
      </c>
      <c r="C828" s="28" t="s">
        <v>48</v>
      </c>
      <c r="D828" s="2" t="s">
        <v>2969</v>
      </c>
      <c r="E828" s="4" t="s">
        <v>1969</v>
      </c>
      <c r="F828" s="5">
        <v>30</v>
      </c>
      <c r="G828" s="5">
        <v>66</v>
      </c>
      <c r="H828" s="5">
        <v>28</v>
      </c>
      <c r="I828" s="10">
        <v>5.5</v>
      </c>
      <c r="J828" s="11">
        <f t="shared" si="63"/>
        <v>165</v>
      </c>
      <c r="K828" s="12" t="str">
        <f t="shared" si="60"/>
        <v>Low Stock_Reorder Needed</v>
      </c>
      <c r="L828" s="12">
        <f t="shared" si="61"/>
        <v>154</v>
      </c>
      <c r="M828" s="6">
        <v>45513</v>
      </c>
      <c r="N828" s="6">
        <v>45696</v>
      </c>
      <c r="O828" s="6">
        <v>45654</v>
      </c>
      <c r="P828" s="7" t="s">
        <v>2970</v>
      </c>
      <c r="Q828" s="5">
        <v>63</v>
      </c>
      <c r="R828" s="10">
        <f t="shared" si="62"/>
        <v>346.5</v>
      </c>
      <c r="S828" s="5">
        <v>98</v>
      </c>
      <c r="T828" s="5" t="s">
        <v>45</v>
      </c>
      <c r="U828" s="11">
        <f t="shared" si="64"/>
        <v>181.5</v>
      </c>
    </row>
    <row r="829" spans="1:21" ht="16" x14ac:dyDescent="0.4">
      <c r="A829" s="2" t="s">
        <v>2971</v>
      </c>
      <c r="B829" s="3" t="s">
        <v>202</v>
      </c>
      <c r="C829" s="28" t="s">
        <v>48</v>
      </c>
      <c r="D829" s="2" t="s">
        <v>2972</v>
      </c>
      <c r="E829" s="4" t="s">
        <v>708</v>
      </c>
      <c r="F829" s="5">
        <v>39</v>
      </c>
      <c r="G829" s="5">
        <v>37</v>
      </c>
      <c r="H829" s="5">
        <v>48</v>
      </c>
      <c r="I829" s="10">
        <v>2</v>
      </c>
      <c r="J829" s="11">
        <f t="shared" si="63"/>
        <v>78</v>
      </c>
      <c r="K829" s="12" t="str">
        <f t="shared" si="60"/>
        <v>Stock_Sufficient</v>
      </c>
      <c r="L829" s="12">
        <f t="shared" si="61"/>
        <v>96</v>
      </c>
      <c r="M829" s="6">
        <v>45623</v>
      </c>
      <c r="N829" s="6">
        <v>45530</v>
      </c>
      <c r="O829" s="6">
        <v>45467</v>
      </c>
      <c r="P829" s="7" t="s">
        <v>2973</v>
      </c>
      <c r="Q829" s="5">
        <v>25</v>
      </c>
      <c r="R829" s="10">
        <f t="shared" si="62"/>
        <v>50</v>
      </c>
      <c r="S829" s="5">
        <v>19</v>
      </c>
      <c r="T829" s="5" t="s">
        <v>45</v>
      </c>
      <c r="U829" s="11">
        <f t="shared" si="64"/>
        <v>-28</v>
      </c>
    </row>
    <row r="830" spans="1:21" ht="16" x14ac:dyDescent="0.4">
      <c r="A830" s="2" t="s">
        <v>2974</v>
      </c>
      <c r="B830" s="3" t="s">
        <v>182</v>
      </c>
      <c r="C830" s="28" t="s">
        <v>48</v>
      </c>
      <c r="D830" s="2" t="s">
        <v>2975</v>
      </c>
      <c r="E830" s="4" t="s">
        <v>1316</v>
      </c>
      <c r="F830" s="5">
        <v>14</v>
      </c>
      <c r="G830" s="5">
        <v>81</v>
      </c>
      <c r="H830" s="5">
        <v>65</v>
      </c>
      <c r="I830" s="10">
        <v>3.5</v>
      </c>
      <c r="J830" s="11">
        <f t="shared" si="63"/>
        <v>49</v>
      </c>
      <c r="K830" s="12" t="str">
        <f t="shared" si="60"/>
        <v>Low Stock_Reorder Needed</v>
      </c>
      <c r="L830" s="12">
        <f t="shared" si="61"/>
        <v>227.5</v>
      </c>
      <c r="M830" s="6">
        <v>45613</v>
      </c>
      <c r="N830" s="6">
        <v>45366</v>
      </c>
      <c r="O830" s="6">
        <v>45587</v>
      </c>
      <c r="P830" s="7" t="s">
        <v>2976</v>
      </c>
      <c r="Q830" s="5">
        <v>74</v>
      </c>
      <c r="R830" s="10">
        <f t="shared" si="62"/>
        <v>259</v>
      </c>
      <c r="S830" s="5">
        <v>84</v>
      </c>
      <c r="T830" s="5" t="s">
        <v>45</v>
      </c>
      <c r="U830" s="11">
        <f t="shared" si="64"/>
        <v>210</v>
      </c>
    </row>
    <row r="831" spans="1:21" ht="16" x14ac:dyDescent="0.4">
      <c r="A831" s="2" t="s">
        <v>2977</v>
      </c>
      <c r="B831" s="3" t="s">
        <v>312</v>
      </c>
      <c r="C831" s="28" t="s">
        <v>48</v>
      </c>
      <c r="D831" s="2" t="s">
        <v>2978</v>
      </c>
      <c r="E831" s="4" t="s">
        <v>1094</v>
      </c>
      <c r="F831" s="5">
        <v>74</v>
      </c>
      <c r="G831" s="5">
        <v>37</v>
      </c>
      <c r="H831" s="5">
        <v>57</v>
      </c>
      <c r="I831" s="10">
        <v>1.5</v>
      </c>
      <c r="J831" s="11">
        <f t="shared" si="63"/>
        <v>111</v>
      </c>
      <c r="K831" s="12" t="str">
        <f t="shared" si="60"/>
        <v>Stock_Sufficient</v>
      </c>
      <c r="L831" s="12">
        <f t="shared" si="61"/>
        <v>85.5</v>
      </c>
      <c r="M831" s="6">
        <v>45702</v>
      </c>
      <c r="N831" s="6">
        <v>45355</v>
      </c>
      <c r="O831" s="6">
        <v>45644</v>
      </c>
      <c r="P831" s="7" t="s">
        <v>2979</v>
      </c>
      <c r="Q831" s="5">
        <v>91</v>
      </c>
      <c r="R831" s="10">
        <f t="shared" si="62"/>
        <v>136.5</v>
      </c>
      <c r="S831" s="5">
        <v>18</v>
      </c>
      <c r="T831" s="5" t="s">
        <v>45</v>
      </c>
      <c r="U831" s="11">
        <f t="shared" si="64"/>
        <v>25.5</v>
      </c>
    </row>
    <row r="832" spans="1:21" ht="16" x14ac:dyDescent="0.4">
      <c r="A832" s="2" t="s">
        <v>2980</v>
      </c>
      <c r="B832" s="3" t="s">
        <v>148</v>
      </c>
      <c r="C832" s="28" t="s">
        <v>65</v>
      </c>
      <c r="D832" s="2" t="s">
        <v>2981</v>
      </c>
      <c r="E832" s="4" t="s">
        <v>2220</v>
      </c>
      <c r="F832" s="5">
        <v>63</v>
      </c>
      <c r="G832" s="5">
        <v>41</v>
      </c>
      <c r="H832" s="5">
        <v>98</v>
      </c>
      <c r="I832" s="10">
        <v>11.9</v>
      </c>
      <c r="J832" s="11">
        <f t="shared" si="63"/>
        <v>749.7</v>
      </c>
      <c r="K832" s="12" t="str">
        <f t="shared" si="60"/>
        <v>Stock_Sufficient</v>
      </c>
      <c r="L832" s="12">
        <f t="shared" si="61"/>
        <v>1166.2</v>
      </c>
      <c r="M832" s="6">
        <v>45587</v>
      </c>
      <c r="N832" s="6">
        <v>45643</v>
      </c>
      <c r="O832" s="6">
        <v>45518</v>
      </c>
      <c r="P832" s="7" t="s">
        <v>2982</v>
      </c>
      <c r="Q832" s="5">
        <v>37</v>
      </c>
      <c r="R832" s="10">
        <f t="shared" si="62"/>
        <v>440.3</v>
      </c>
      <c r="S832" s="5">
        <v>7</v>
      </c>
      <c r="T832" s="5" t="s">
        <v>45</v>
      </c>
      <c r="U832" s="11">
        <f t="shared" si="64"/>
        <v>-309.40000000000003</v>
      </c>
    </row>
    <row r="833" spans="1:21" ht="16" x14ac:dyDescent="0.4">
      <c r="A833" s="2" t="s">
        <v>2983</v>
      </c>
      <c r="B833" s="3" t="s">
        <v>555</v>
      </c>
      <c r="C833" s="28" t="s">
        <v>48</v>
      </c>
      <c r="D833" s="2" t="s">
        <v>2984</v>
      </c>
      <c r="E833" s="4" t="s">
        <v>106</v>
      </c>
      <c r="F833" s="5">
        <v>47</v>
      </c>
      <c r="G833" s="5">
        <v>67</v>
      </c>
      <c r="H833" s="5">
        <v>57</v>
      </c>
      <c r="I833" s="10">
        <v>4</v>
      </c>
      <c r="J833" s="11">
        <f t="shared" si="63"/>
        <v>188</v>
      </c>
      <c r="K833" s="12" t="str">
        <f t="shared" si="60"/>
        <v>Low Stock_Reorder Needed</v>
      </c>
      <c r="L833" s="12">
        <f t="shared" si="61"/>
        <v>228</v>
      </c>
      <c r="M833" s="6">
        <v>45630</v>
      </c>
      <c r="N833" s="6">
        <v>45495</v>
      </c>
      <c r="O833" s="6">
        <v>45711</v>
      </c>
      <c r="P833" s="7" t="s">
        <v>2985</v>
      </c>
      <c r="Q833" s="5">
        <v>36</v>
      </c>
      <c r="R833" s="10">
        <f t="shared" si="62"/>
        <v>144</v>
      </c>
      <c r="S833" s="5">
        <v>48</v>
      </c>
      <c r="T833" s="5" t="s">
        <v>39</v>
      </c>
      <c r="U833" s="11">
        <f t="shared" si="64"/>
        <v>-44</v>
      </c>
    </row>
    <row r="834" spans="1:21" ht="16" x14ac:dyDescent="0.4">
      <c r="A834" s="2" t="s">
        <v>2986</v>
      </c>
      <c r="B834" s="3" t="s">
        <v>729</v>
      </c>
      <c r="C834" s="28" t="s">
        <v>65</v>
      </c>
      <c r="D834" s="2" t="s">
        <v>2987</v>
      </c>
      <c r="E834" s="4" t="s">
        <v>735</v>
      </c>
      <c r="F834" s="5">
        <v>42</v>
      </c>
      <c r="G834" s="5">
        <v>94</v>
      </c>
      <c r="H834" s="5">
        <v>79</v>
      </c>
      <c r="I834" s="10">
        <v>2.5</v>
      </c>
      <c r="J834" s="11">
        <f t="shared" si="63"/>
        <v>105</v>
      </c>
      <c r="K834" s="12" t="str">
        <f t="shared" ref="K834:K897" si="65">IF(F834&lt;=G834,"Low Stock_Reorder Needed","Stock_Sufficient")</f>
        <v>Low Stock_Reorder Needed</v>
      </c>
      <c r="L834" s="12">
        <f t="shared" ref="L834:L897" si="66">H834*I834</f>
        <v>197.5</v>
      </c>
      <c r="M834" s="6">
        <v>45643</v>
      </c>
      <c r="N834" s="6">
        <v>45647</v>
      </c>
      <c r="O834" s="6">
        <v>45428</v>
      </c>
      <c r="P834" s="7" t="s">
        <v>2988</v>
      </c>
      <c r="Q834" s="5">
        <v>61</v>
      </c>
      <c r="R834" s="10">
        <f t="shared" ref="R834:R897" si="67">Q834*I834</f>
        <v>152.5</v>
      </c>
      <c r="S834" s="5">
        <v>92</v>
      </c>
      <c r="T834" s="5" t="s">
        <v>39</v>
      </c>
      <c r="U834" s="11">
        <f t="shared" si="64"/>
        <v>47.5</v>
      </c>
    </row>
    <row r="835" spans="1:21" ht="16" x14ac:dyDescent="0.4">
      <c r="A835" s="2" t="s">
        <v>2989</v>
      </c>
      <c r="B835" s="3" t="s">
        <v>1269</v>
      </c>
      <c r="C835" s="28" t="s">
        <v>48</v>
      </c>
      <c r="D835" s="2" t="s">
        <v>2990</v>
      </c>
      <c r="E835" s="4" t="s">
        <v>1065</v>
      </c>
      <c r="F835" s="5">
        <v>32</v>
      </c>
      <c r="G835" s="5">
        <v>49</v>
      </c>
      <c r="H835" s="5">
        <v>73</v>
      </c>
      <c r="I835" s="10">
        <v>2.5</v>
      </c>
      <c r="J835" s="11">
        <f t="shared" ref="J835:J898" si="68">I835*F835</f>
        <v>80</v>
      </c>
      <c r="K835" s="12" t="str">
        <f t="shared" si="65"/>
        <v>Low Stock_Reorder Needed</v>
      </c>
      <c r="L835" s="12">
        <f t="shared" si="66"/>
        <v>182.5</v>
      </c>
      <c r="M835" s="6">
        <v>45479</v>
      </c>
      <c r="N835" s="6">
        <v>45404</v>
      </c>
      <c r="O835" s="6">
        <v>45439</v>
      </c>
      <c r="P835" s="7" t="s">
        <v>2991</v>
      </c>
      <c r="Q835" s="5">
        <v>80</v>
      </c>
      <c r="R835" s="10">
        <f t="shared" si="67"/>
        <v>200</v>
      </c>
      <c r="S835" s="5">
        <v>36</v>
      </c>
      <c r="T835" s="5" t="s">
        <v>27</v>
      </c>
      <c r="U835" s="11">
        <f t="shared" ref="U835:U898" si="69">R835-J835</f>
        <v>120</v>
      </c>
    </row>
    <row r="836" spans="1:21" ht="16" x14ac:dyDescent="0.4">
      <c r="A836" s="2" t="s">
        <v>2992</v>
      </c>
      <c r="B836" s="3" t="s">
        <v>513</v>
      </c>
      <c r="C836" s="28" t="s">
        <v>48</v>
      </c>
      <c r="D836" s="2" t="s">
        <v>2993</v>
      </c>
      <c r="E836" s="4" t="s">
        <v>811</v>
      </c>
      <c r="F836" s="5">
        <v>88</v>
      </c>
      <c r="G836" s="5">
        <v>56</v>
      </c>
      <c r="H836" s="5">
        <v>72</v>
      </c>
      <c r="I836" s="10">
        <v>2</v>
      </c>
      <c r="J836" s="11">
        <f t="shared" si="68"/>
        <v>176</v>
      </c>
      <c r="K836" s="12" t="str">
        <f t="shared" si="65"/>
        <v>Stock_Sufficient</v>
      </c>
      <c r="L836" s="12">
        <f t="shared" si="66"/>
        <v>144</v>
      </c>
      <c r="M836" s="6">
        <v>45669</v>
      </c>
      <c r="N836" s="6">
        <v>45394</v>
      </c>
      <c r="O836" s="6">
        <v>45471</v>
      </c>
      <c r="P836" s="7" t="s">
        <v>2994</v>
      </c>
      <c r="Q836" s="5">
        <v>25</v>
      </c>
      <c r="R836" s="10">
        <f t="shared" si="67"/>
        <v>50</v>
      </c>
      <c r="S836" s="5">
        <v>36</v>
      </c>
      <c r="T836" s="5" t="s">
        <v>45</v>
      </c>
      <c r="U836" s="11">
        <f t="shared" si="69"/>
        <v>-126</v>
      </c>
    </row>
    <row r="837" spans="1:21" ht="16" x14ac:dyDescent="0.4">
      <c r="A837" s="2" t="s">
        <v>2995</v>
      </c>
      <c r="B837" s="3" t="s">
        <v>1219</v>
      </c>
      <c r="C837" s="28" t="s">
        <v>65</v>
      </c>
      <c r="D837" s="2" t="s">
        <v>2996</v>
      </c>
      <c r="E837" s="4" t="s">
        <v>2997</v>
      </c>
      <c r="F837" s="5">
        <v>80</v>
      </c>
      <c r="G837" s="5">
        <v>69</v>
      </c>
      <c r="H837" s="5">
        <v>71</v>
      </c>
      <c r="I837" s="10">
        <v>1.75</v>
      </c>
      <c r="J837" s="11">
        <f t="shared" si="68"/>
        <v>140</v>
      </c>
      <c r="K837" s="12" t="str">
        <f t="shared" si="65"/>
        <v>Stock_Sufficient</v>
      </c>
      <c r="L837" s="12">
        <f t="shared" si="66"/>
        <v>124.25</v>
      </c>
      <c r="M837" s="6">
        <v>45531</v>
      </c>
      <c r="N837" s="6">
        <v>45415</v>
      </c>
      <c r="O837" s="6">
        <v>45399</v>
      </c>
      <c r="P837" s="7" t="s">
        <v>2998</v>
      </c>
      <c r="Q837" s="5">
        <v>41</v>
      </c>
      <c r="R837" s="10">
        <f t="shared" si="67"/>
        <v>71.75</v>
      </c>
      <c r="S837" s="5">
        <v>43</v>
      </c>
      <c r="T837" s="5" t="s">
        <v>39</v>
      </c>
      <c r="U837" s="11">
        <f t="shared" si="69"/>
        <v>-68.25</v>
      </c>
    </row>
    <row r="838" spans="1:21" ht="16" x14ac:dyDescent="0.4">
      <c r="A838" s="2" t="s">
        <v>2999</v>
      </c>
      <c r="B838" s="3" t="s">
        <v>275</v>
      </c>
      <c r="C838" s="28" t="s">
        <v>48</v>
      </c>
      <c r="D838" s="2" t="s">
        <v>3000</v>
      </c>
      <c r="E838" s="4" t="s">
        <v>1569</v>
      </c>
      <c r="F838" s="5">
        <v>36</v>
      </c>
      <c r="G838" s="5">
        <v>59</v>
      </c>
      <c r="H838" s="5">
        <v>90</v>
      </c>
      <c r="I838" s="10">
        <v>3</v>
      </c>
      <c r="J838" s="11">
        <f t="shared" si="68"/>
        <v>108</v>
      </c>
      <c r="K838" s="12" t="str">
        <f t="shared" si="65"/>
        <v>Low Stock_Reorder Needed</v>
      </c>
      <c r="L838" s="12">
        <f t="shared" si="66"/>
        <v>270</v>
      </c>
      <c r="M838" s="6">
        <v>45481</v>
      </c>
      <c r="N838" s="6">
        <v>45635</v>
      </c>
      <c r="O838" s="6">
        <v>45607</v>
      </c>
      <c r="P838" s="7" t="s">
        <v>3001</v>
      </c>
      <c r="Q838" s="5">
        <v>25</v>
      </c>
      <c r="R838" s="10">
        <f t="shared" si="67"/>
        <v>75</v>
      </c>
      <c r="S838" s="5">
        <v>60</v>
      </c>
      <c r="T838" s="5" t="s">
        <v>27</v>
      </c>
      <c r="U838" s="11">
        <f t="shared" si="69"/>
        <v>-33</v>
      </c>
    </row>
    <row r="839" spans="1:21" ht="16" x14ac:dyDescent="0.4">
      <c r="A839" s="2" t="s">
        <v>3002</v>
      </c>
      <c r="B839" s="3" t="s">
        <v>109</v>
      </c>
      <c r="C839" s="28" t="s">
        <v>23</v>
      </c>
      <c r="D839" s="2" t="s">
        <v>3003</v>
      </c>
      <c r="E839" s="4" t="s">
        <v>314</v>
      </c>
      <c r="F839" s="5">
        <v>11</v>
      </c>
      <c r="G839" s="5">
        <v>77</v>
      </c>
      <c r="H839" s="5">
        <v>7</v>
      </c>
      <c r="I839" s="10">
        <v>1.5</v>
      </c>
      <c r="J839" s="11">
        <f t="shared" si="68"/>
        <v>16.5</v>
      </c>
      <c r="K839" s="12" t="str">
        <f t="shared" si="65"/>
        <v>Low Stock_Reorder Needed</v>
      </c>
      <c r="L839" s="12">
        <f t="shared" si="66"/>
        <v>10.5</v>
      </c>
      <c r="M839" s="6">
        <v>45591</v>
      </c>
      <c r="N839" s="6">
        <v>45601</v>
      </c>
      <c r="O839" s="6">
        <v>45483</v>
      </c>
      <c r="P839" s="7" t="s">
        <v>3004</v>
      </c>
      <c r="Q839" s="5">
        <v>77</v>
      </c>
      <c r="R839" s="10">
        <f t="shared" si="67"/>
        <v>115.5</v>
      </c>
      <c r="S839" s="5">
        <v>46</v>
      </c>
      <c r="T839" s="5" t="s">
        <v>39</v>
      </c>
      <c r="U839" s="11">
        <f t="shared" si="69"/>
        <v>99</v>
      </c>
    </row>
    <row r="840" spans="1:21" ht="16" x14ac:dyDescent="0.4">
      <c r="A840" s="2" t="s">
        <v>3005</v>
      </c>
      <c r="B840" s="3" t="s">
        <v>555</v>
      </c>
      <c r="C840" s="28" t="s">
        <v>48</v>
      </c>
      <c r="D840" s="2" t="s">
        <v>3006</v>
      </c>
      <c r="E840" s="4" t="s">
        <v>1199</v>
      </c>
      <c r="F840" s="5">
        <v>40</v>
      </c>
      <c r="G840" s="5">
        <v>83</v>
      </c>
      <c r="H840" s="5">
        <v>50</v>
      </c>
      <c r="I840" s="10">
        <v>4</v>
      </c>
      <c r="J840" s="11">
        <f t="shared" si="68"/>
        <v>160</v>
      </c>
      <c r="K840" s="12" t="str">
        <f t="shared" si="65"/>
        <v>Low Stock_Reorder Needed</v>
      </c>
      <c r="L840" s="12">
        <f t="shared" si="66"/>
        <v>200</v>
      </c>
      <c r="M840" s="6">
        <v>45448</v>
      </c>
      <c r="N840" s="6">
        <v>45538</v>
      </c>
      <c r="O840" s="6">
        <v>45459</v>
      </c>
      <c r="P840" s="7" t="s">
        <v>3007</v>
      </c>
      <c r="Q840" s="5">
        <v>92</v>
      </c>
      <c r="R840" s="10">
        <f t="shared" si="67"/>
        <v>368</v>
      </c>
      <c r="S840" s="5">
        <v>50</v>
      </c>
      <c r="T840" s="5" t="s">
        <v>45</v>
      </c>
      <c r="U840" s="11">
        <f t="shared" si="69"/>
        <v>208</v>
      </c>
    </row>
    <row r="841" spans="1:21" ht="16" x14ac:dyDescent="0.4">
      <c r="A841" s="2" t="s">
        <v>3008</v>
      </c>
      <c r="B841" s="3" t="s">
        <v>109</v>
      </c>
      <c r="C841" s="28" t="s">
        <v>23</v>
      </c>
      <c r="D841" s="2" t="s">
        <v>3009</v>
      </c>
      <c r="E841" s="4" t="s">
        <v>2848</v>
      </c>
      <c r="F841" s="5">
        <v>63</v>
      </c>
      <c r="G841" s="5">
        <v>43</v>
      </c>
      <c r="H841" s="5">
        <v>8</v>
      </c>
      <c r="I841" s="10">
        <v>1.5</v>
      </c>
      <c r="J841" s="11">
        <f t="shared" si="68"/>
        <v>94.5</v>
      </c>
      <c r="K841" s="12" t="str">
        <f t="shared" si="65"/>
        <v>Stock_Sufficient</v>
      </c>
      <c r="L841" s="12">
        <f t="shared" si="66"/>
        <v>12</v>
      </c>
      <c r="M841" s="6">
        <v>45524</v>
      </c>
      <c r="N841" s="6">
        <v>45402</v>
      </c>
      <c r="O841" s="6">
        <v>45634</v>
      </c>
      <c r="P841" s="7" t="s">
        <v>3010</v>
      </c>
      <c r="Q841" s="5">
        <v>55</v>
      </c>
      <c r="R841" s="10">
        <f t="shared" si="67"/>
        <v>82.5</v>
      </c>
      <c r="S841" s="5">
        <v>72</v>
      </c>
      <c r="T841" s="5" t="s">
        <v>45</v>
      </c>
      <c r="U841" s="11">
        <f t="shared" si="69"/>
        <v>-12</v>
      </c>
    </row>
    <row r="842" spans="1:21" ht="16" x14ac:dyDescent="0.4">
      <c r="A842" s="2" t="s">
        <v>3011</v>
      </c>
      <c r="B842" s="3" t="s">
        <v>153</v>
      </c>
      <c r="C842" s="28" t="s">
        <v>23</v>
      </c>
      <c r="D842" s="2" t="s">
        <v>3012</v>
      </c>
      <c r="E842" s="4" t="s">
        <v>2373</v>
      </c>
      <c r="F842" s="5">
        <v>90</v>
      </c>
      <c r="G842" s="5">
        <v>75</v>
      </c>
      <c r="H842" s="5">
        <v>43</v>
      </c>
      <c r="I842" s="10">
        <v>1.5</v>
      </c>
      <c r="J842" s="11">
        <f t="shared" si="68"/>
        <v>135</v>
      </c>
      <c r="K842" s="12" t="str">
        <f t="shared" si="65"/>
        <v>Stock_Sufficient</v>
      </c>
      <c r="L842" s="12">
        <f t="shared" si="66"/>
        <v>64.5</v>
      </c>
      <c r="M842" s="6">
        <v>45440</v>
      </c>
      <c r="N842" s="6">
        <v>45553</v>
      </c>
      <c r="O842" s="6">
        <v>45711</v>
      </c>
      <c r="P842" s="7" t="s">
        <v>3013</v>
      </c>
      <c r="Q842" s="5">
        <v>80</v>
      </c>
      <c r="R842" s="10">
        <f t="shared" si="67"/>
        <v>120</v>
      </c>
      <c r="S842" s="5">
        <v>57</v>
      </c>
      <c r="T842" s="5" t="s">
        <v>27</v>
      </c>
      <c r="U842" s="11">
        <f t="shared" si="69"/>
        <v>-15</v>
      </c>
    </row>
    <row r="843" spans="1:21" ht="16" x14ac:dyDescent="0.4">
      <c r="A843" s="2" t="s">
        <v>3014</v>
      </c>
      <c r="B843" s="3" t="s">
        <v>244</v>
      </c>
      <c r="C843" s="28" t="s">
        <v>90</v>
      </c>
      <c r="D843" s="2" t="s">
        <v>3015</v>
      </c>
      <c r="E843" s="4" t="s">
        <v>973</v>
      </c>
      <c r="F843" s="5">
        <v>47</v>
      </c>
      <c r="G843" s="5">
        <v>26</v>
      </c>
      <c r="H843" s="5">
        <v>40</v>
      </c>
      <c r="I843" s="10">
        <v>3.25</v>
      </c>
      <c r="J843" s="11">
        <f t="shared" si="68"/>
        <v>152.75</v>
      </c>
      <c r="K843" s="12" t="str">
        <f t="shared" si="65"/>
        <v>Stock_Sufficient</v>
      </c>
      <c r="L843" s="12">
        <f t="shared" si="66"/>
        <v>130</v>
      </c>
      <c r="M843" s="6">
        <v>45639</v>
      </c>
      <c r="N843" s="6">
        <v>45669</v>
      </c>
      <c r="O843" s="6">
        <v>45622</v>
      </c>
      <c r="P843" s="7" t="s">
        <v>3016</v>
      </c>
      <c r="Q843" s="5">
        <v>30</v>
      </c>
      <c r="R843" s="10">
        <f t="shared" si="67"/>
        <v>97.5</v>
      </c>
      <c r="S843" s="5">
        <v>72</v>
      </c>
      <c r="T843" s="5" t="s">
        <v>45</v>
      </c>
      <c r="U843" s="11">
        <f t="shared" si="69"/>
        <v>-55.25</v>
      </c>
    </row>
    <row r="844" spans="1:21" ht="16" x14ac:dyDescent="0.4">
      <c r="A844" s="2" t="s">
        <v>3017</v>
      </c>
      <c r="B844" s="3" t="s">
        <v>984</v>
      </c>
      <c r="C844" s="28" t="s">
        <v>90</v>
      </c>
      <c r="D844" s="2" t="s">
        <v>3018</v>
      </c>
      <c r="E844" s="4" t="s">
        <v>1232</v>
      </c>
      <c r="F844" s="5">
        <v>29</v>
      </c>
      <c r="G844" s="5">
        <v>2</v>
      </c>
      <c r="H844" s="5">
        <v>84</v>
      </c>
      <c r="I844" s="10">
        <v>4</v>
      </c>
      <c r="J844" s="11">
        <f t="shared" si="68"/>
        <v>116</v>
      </c>
      <c r="K844" s="12" t="str">
        <f t="shared" si="65"/>
        <v>Stock_Sufficient</v>
      </c>
      <c r="L844" s="12">
        <f t="shared" si="66"/>
        <v>336</v>
      </c>
      <c r="M844" s="6">
        <v>45372</v>
      </c>
      <c r="N844" s="6">
        <v>45401</v>
      </c>
      <c r="O844" s="6">
        <v>45560</v>
      </c>
      <c r="P844" s="7" t="s">
        <v>3019</v>
      </c>
      <c r="Q844" s="5">
        <v>80</v>
      </c>
      <c r="R844" s="10">
        <f t="shared" si="67"/>
        <v>320</v>
      </c>
      <c r="S844" s="5">
        <v>85</v>
      </c>
      <c r="T844" s="5" t="s">
        <v>39</v>
      </c>
      <c r="U844" s="11">
        <f t="shared" si="69"/>
        <v>204</v>
      </c>
    </row>
    <row r="845" spans="1:21" ht="16" x14ac:dyDescent="0.4">
      <c r="A845" s="2" t="s">
        <v>3020</v>
      </c>
      <c r="B845" s="3" t="s">
        <v>555</v>
      </c>
      <c r="C845" s="28" t="s">
        <v>48</v>
      </c>
      <c r="D845" s="2" t="s">
        <v>3021</v>
      </c>
      <c r="E845" s="4" t="s">
        <v>2138</v>
      </c>
      <c r="F845" s="5">
        <v>94</v>
      </c>
      <c r="G845" s="5">
        <v>69</v>
      </c>
      <c r="H845" s="5">
        <v>68</v>
      </c>
      <c r="I845" s="10">
        <v>4</v>
      </c>
      <c r="J845" s="11">
        <f t="shared" si="68"/>
        <v>376</v>
      </c>
      <c r="K845" s="12" t="str">
        <f t="shared" si="65"/>
        <v>Stock_Sufficient</v>
      </c>
      <c r="L845" s="12">
        <f t="shared" si="66"/>
        <v>272</v>
      </c>
      <c r="M845" s="6">
        <v>45481</v>
      </c>
      <c r="N845" s="6">
        <v>45673</v>
      </c>
      <c r="O845" s="6">
        <v>45701</v>
      </c>
      <c r="P845" s="7" t="s">
        <v>3022</v>
      </c>
      <c r="Q845" s="5">
        <v>24</v>
      </c>
      <c r="R845" s="10">
        <f t="shared" si="67"/>
        <v>96</v>
      </c>
      <c r="S845" s="5">
        <v>20</v>
      </c>
      <c r="T845" s="5" t="s">
        <v>27</v>
      </c>
      <c r="U845" s="11">
        <f t="shared" si="69"/>
        <v>-280</v>
      </c>
    </row>
    <row r="846" spans="1:21" ht="16" x14ac:dyDescent="0.4">
      <c r="A846" s="2" t="s">
        <v>3023</v>
      </c>
      <c r="B846" s="3" t="s">
        <v>225</v>
      </c>
      <c r="C846" s="28" t="s">
        <v>48</v>
      </c>
      <c r="D846" s="2" t="s">
        <v>3024</v>
      </c>
      <c r="E846" s="4" t="s">
        <v>383</v>
      </c>
      <c r="F846" s="5">
        <v>32</v>
      </c>
      <c r="G846" s="5">
        <v>63</v>
      </c>
      <c r="H846" s="5">
        <v>92</v>
      </c>
      <c r="I846" s="10">
        <v>4.9000000000000004</v>
      </c>
      <c r="J846" s="11">
        <f t="shared" si="68"/>
        <v>156.80000000000001</v>
      </c>
      <c r="K846" s="12" t="str">
        <f t="shared" si="65"/>
        <v>Low Stock_Reorder Needed</v>
      </c>
      <c r="L846" s="12">
        <f t="shared" si="66"/>
        <v>450.8</v>
      </c>
      <c r="M846" s="6">
        <v>45613</v>
      </c>
      <c r="N846" s="6">
        <v>45498</v>
      </c>
      <c r="O846" s="6">
        <v>45605</v>
      </c>
      <c r="P846" s="7" t="s">
        <v>3025</v>
      </c>
      <c r="Q846" s="5">
        <v>84</v>
      </c>
      <c r="R846" s="10">
        <f t="shared" si="67"/>
        <v>411.6</v>
      </c>
      <c r="S846" s="5">
        <v>34</v>
      </c>
      <c r="T846" s="5" t="s">
        <v>27</v>
      </c>
      <c r="U846" s="11">
        <f t="shared" si="69"/>
        <v>254.8</v>
      </c>
    </row>
    <row r="847" spans="1:21" ht="16" x14ac:dyDescent="0.4">
      <c r="A847" s="2" t="s">
        <v>3026</v>
      </c>
      <c r="B847" s="3" t="s">
        <v>47</v>
      </c>
      <c r="C847" s="28" t="s">
        <v>48</v>
      </c>
      <c r="D847" s="2" t="s">
        <v>3027</v>
      </c>
      <c r="E847" s="4" t="s">
        <v>1284</v>
      </c>
      <c r="F847" s="5">
        <v>40</v>
      </c>
      <c r="G847" s="5">
        <v>3</v>
      </c>
      <c r="H847" s="5">
        <v>5</v>
      </c>
      <c r="I847" s="10">
        <v>4</v>
      </c>
      <c r="J847" s="11">
        <f t="shared" si="68"/>
        <v>160</v>
      </c>
      <c r="K847" s="12" t="str">
        <f t="shared" si="65"/>
        <v>Stock_Sufficient</v>
      </c>
      <c r="L847" s="12">
        <f t="shared" si="66"/>
        <v>20</v>
      </c>
      <c r="M847" s="6">
        <v>45355</v>
      </c>
      <c r="N847" s="6">
        <v>45458</v>
      </c>
      <c r="O847" s="6">
        <v>45467</v>
      </c>
      <c r="P847" s="7" t="s">
        <v>3028</v>
      </c>
      <c r="Q847" s="5">
        <v>45</v>
      </c>
      <c r="R847" s="10">
        <f t="shared" si="67"/>
        <v>180</v>
      </c>
      <c r="S847" s="5">
        <v>69</v>
      </c>
      <c r="T847" s="5" t="s">
        <v>27</v>
      </c>
      <c r="U847" s="11">
        <f t="shared" si="69"/>
        <v>20</v>
      </c>
    </row>
    <row r="848" spans="1:21" ht="16" x14ac:dyDescent="0.4">
      <c r="A848" s="2" t="s">
        <v>3029</v>
      </c>
      <c r="B848" s="3" t="s">
        <v>64</v>
      </c>
      <c r="C848" s="28" t="s">
        <v>65</v>
      </c>
      <c r="D848" s="2" t="s">
        <v>3030</v>
      </c>
      <c r="E848" s="4" t="s">
        <v>1462</v>
      </c>
      <c r="F848" s="5">
        <v>50</v>
      </c>
      <c r="G848" s="5">
        <v>66</v>
      </c>
      <c r="H848" s="5">
        <v>1</v>
      </c>
      <c r="I848" s="10">
        <v>2.5</v>
      </c>
      <c r="J848" s="11">
        <f t="shared" si="68"/>
        <v>125</v>
      </c>
      <c r="K848" s="12" t="str">
        <f t="shared" si="65"/>
        <v>Low Stock_Reorder Needed</v>
      </c>
      <c r="L848" s="12">
        <f t="shared" si="66"/>
        <v>2.5</v>
      </c>
      <c r="M848" s="6">
        <v>45587</v>
      </c>
      <c r="N848" s="6">
        <v>45633</v>
      </c>
      <c r="O848" s="6">
        <v>45692</v>
      </c>
      <c r="P848" s="7" t="s">
        <v>3031</v>
      </c>
      <c r="Q848" s="5">
        <v>76</v>
      </c>
      <c r="R848" s="10">
        <f t="shared" si="67"/>
        <v>190</v>
      </c>
      <c r="S848" s="5">
        <v>73</v>
      </c>
      <c r="T848" s="5" t="s">
        <v>45</v>
      </c>
      <c r="U848" s="11">
        <f t="shared" si="69"/>
        <v>65</v>
      </c>
    </row>
    <row r="849" spans="1:21" ht="16" x14ac:dyDescent="0.4">
      <c r="A849" s="2" t="s">
        <v>3032</v>
      </c>
      <c r="B849" s="3" t="s">
        <v>533</v>
      </c>
      <c r="C849" s="28" t="s">
        <v>133</v>
      </c>
      <c r="D849" s="2" t="s">
        <v>3033</v>
      </c>
      <c r="E849" s="4" t="s">
        <v>1674</v>
      </c>
      <c r="F849" s="5">
        <v>72</v>
      </c>
      <c r="G849" s="5">
        <v>29</v>
      </c>
      <c r="H849" s="5">
        <v>10</v>
      </c>
      <c r="I849" s="10">
        <v>8</v>
      </c>
      <c r="J849" s="11">
        <f t="shared" si="68"/>
        <v>576</v>
      </c>
      <c r="K849" s="12" t="str">
        <f t="shared" si="65"/>
        <v>Stock_Sufficient</v>
      </c>
      <c r="L849" s="12">
        <f t="shared" si="66"/>
        <v>80</v>
      </c>
      <c r="M849" s="6">
        <v>45357</v>
      </c>
      <c r="N849" s="6">
        <v>45389</v>
      </c>
      <c r="O849" s="6">
        <v>45375</v>
      </c>
      <c r="P849" s="7" t="s">
        <v>3034</v>
      </c>
      <c r="Q849" s="5">
        <v>54</v>
      </c>
      <c r="R849" s="10">
        <f t="shared" si="67"/>
        <v>432</v>
      </c>
      <c r="S849" s="5">
        <v>38</v>
      </c>
      <c r="T849" s="5" t="s">
        <v>27</v>
      </c>
      <c r="U849" s="11">
        <f t="shared" si="69"/>
        <v>-144</v>
      </c>
    </row>
    <row r="850" spans="1:21" ht="16" x14ac:dyDescent="0.4">
      <c r="A850" s="2" t="s">
        <v>3035</v>
      </c>
      <c r="B850" s="3" t="s">
        <v>546</v>
      </c>
      <c r="C850" s="28" t="s">
        <v>48</v>
      </c>
      <c r="D850" s="2" t="s">
        <v>3036</v>
      </c>
      <c r="E850" s="4" t="s">
        <v>395</v>
      </c>
      <c r="F850" s="5">
        <v>22</v>
      </c>
      <c r="G850" s="5">
        <v>35</v>
      </c>
      <c r="H850" s="5">
        <v>55</v>
      </c>
      <c r="I850" s="10">
        <v>6</v>
      </c>
      <c r="J850" s="11">
        <f t="shared" si="68"/>
        <v>132</v>
      </c>
      <c r="K850" s="12" t="str">
        <f t="shared" si="65"/>
        <v>Low Stock_Reorder Needed</v>
      </c>
      <c r="L850" s="12">
        <f t="shared" si="66"/>
        <v>330</v>
      </c>
      <c r="M850" s="6">
        <v>45534</v>
      </c>
      <c r="N850" s="6">
        <v>45531</v>
      </c>
      <c r="O850" s="6">
        <v>45591</v>
      </c>
      <c r="P850" s="7" t="s">
        <v>3037</v>
      </c>
      <c r="Q850" s="5">
        <v>41</v>
      </c>
      <c r="R850" s="10">
        <f t="shared" si="67"/>
        <v>246</v>
      </c>
      <c r="S850" s="5">
        <v>27</v>
      </c>
      <c r="T850" s="5" t="s">
        <v>45</v>
      </c>
      <c r="U850" s="11">
        <f t="shared" si="69"/>
        <v>114</v>
      </c>
    </row>
    <row r="851" spans="1:21" ht="16" x14ac:dyDescent="0.4">
      <c r="A851" s="2" t="s">
        <v>3038</v>
      </c>
      <c r="B851" s="3" t="s">
        <v>446</v>
      </c>
      <c r="C851" s="28" t="s">
        <v>90</v>
      </c>
      <c r="D851" s="2" t="s">
        <v>3039</v>
      </c>
      <c r="E851" s="4" t="s">
        <v>1451</v>
      </c>
      <c r="F851" s="5">
        <v>23</v>
      </c>
      <c r="G851" s="5">
        <v>76</v>
      </c>
      <c r="H851" s="5">
        <v>70</v>
      </c>
      <c r="I851" s="10">
        <v>5</v>
      </c>
      <c r="J851" s="11">
        <f t="shared" si="68"/>
        <v>115</v>
      </c>
      <c r="K851" s="12" t="str">
        <f t="shared" si="65"/>
        <v>Low Stock_Reorder Needed</v>
      </c>
      <c r="L851" s="12">
        <f t="shared" si="66"/>
        <v>350</v>
      </c>
      <c r="M851" s="6">
        <v>45664</v>
      </c>
      <c r="N851" s="6">
        <v>45554</v>
      </c>
      <c r="O851" s="6">
        <v>45536</v>
      </c>
      <c r="P851" s="7" t="s">
        <v>3040</v>
      </c>
      <c r="Q851" s="5">
        <v>97</v>
      </c>
      <c r="R851" s="10">
        <f t="shared" si="67"/>
        <v>485</v>
      </c>
      <c r="S851" s="5">
        <v>38</v>
      </c>
      <c r="T851" s="5" t="s">
        <v>39</v>
      </c>
      <c r="U851" s="11">
        <f t="shared" si="69"/>
        <v>370</v>
      </c>
    </row>
    <row r="852" spans="1:21" ht="16" x14ac:dyDescent="0.4">
      <c r="A852" s="2" t="s">
        <v>3041</v>
      </c>
      <c r="B852" s="3" t="s">
        <v>1167</v>
      </c>
      <c r="C852" s="28" t="s">
        <v>133</v>
      </c>
      <c r="D852" s="2" t="s">
        <v>3042</v>
      </c>
      <c r="E852" s="4" t="s">
        <v>1336</v>
      </c>
      <c r="F852" s="5">
        <v>35</v>
      </c>
      <c r="G852" s="5">
        <v>72</v>
      </c>
      <c r="H852" s="5">
        <v>70</v>
      </c>
      <c r="I852" s="10">
        <v>20</v>
      </c>
      <c r="J852" s="11">
        <f t="shared" si="68"/>
        <v>700</v>
      </c>
      <c r="K852" s="12" t="str">
        <f t="shared" si="65"/>
        <v>Low Stock_Reorder Needed</v>
      </c>
      <c r="L852" s="12">
        <f t="shared" si="66"/>
        <v>1400</v>
      </c>
      <c r="M852" s="6">
        <v>45399</v>
      </c>
      <c r="N852" s="6">
        <v>45386</v>
      </c>
      <c r="O852" s="6">
        <v>45698</v>
      </c>
      <c r="P852" s="7" t="s">
        <v>3043</v>
      </c>
      <c r="Q852" s="5">
        <v>74</v>
      </c>
      <c r="R852" s="10">
        <f t="shared" si="67"/>
        <v>1480</v>
      </c>
      <c r="S852" s="5">
        <v>15</v>
      </c>
      <c r="T852" s="5" t="s">
        <v>39</v>
      </c>
      <c r="U852" s="11">
        <f t="shared" si="69"/>
        <v>780</v>
      </c>
    </row>
    <row r="853" spans="1:21" ht="16" x14ac:dyDescent="0.4">
      <c r="A853" s="2" t="s">
        <v>3044</v>
      </c>
      <c r="B853" s="3" t="s">
        <v>177</v>
      </c>
      <c r="C853" s="28" t="s">
        <v>48</v>
      </c>
      <c r="D853" s="2" t="s">
        <v>3045</v>
      </c>
      <c r="E853" s="4" t="s">
        <v>1701</v>
      </c>
      <c r="F853" s="5">
        <v>12</v>
      </c>
      <c r="G853" s="5">
        <v>93</v>
      </c>
      <c r="H853" s="5">
        <v>29</v>
      </c>
      <c r="I853" s="10">
        <v>1.75</v>
      </c>
      <c r="J853" s="11">
        <f t="shared" si="68"/>
        <v>21</v>
      </c>
      <c r="K853" s="12" t="str">
        <f t="shared" si="65"/>
        <v>Low Stock_Reorder Needed</v>
      </c>
      <c r="L853" s="12">
        <f t="shared" si="66"/>
        <v>50.75</v>
      </c>
      <c r="M853" s="6">
        <v>45708</v>
      </c>
      <c r="N853" s="6">
        <v>45632</v>
      </c>
      <c r="O853" s="6">
        <v>45519</v>
      </c>
      <c r="P853" s="7" t="s">
        <v>3046</v>
      </c>
      <c r="Q853" s="5">
        <v>45</v>
      </c>
      <c r="R853" s="10">
        <f t="shared" si="67"/>
        <v>78.75</v>
      </c>
      <c r="S853" s="5">
        <v>12</v>
      </c>
      <c r="T853" s="5" t="s">
        <v>39</v>
      </c>
      <c r="U853" s="11">
        <f t="shared" si="69"/>
        <v>57.75</v>
      </c>
    </row>
    <row r="854" spans="1:21" ht="16" x14ac:dyDescent="0.4">
      <c r="A854" s="2" t="s">
        <v>3047</v>
      </c>
      <c r="B854" s="3" t="s">
        <v>720</v>
      </c>
      <c r="C854" s="28" t="s">
        <v>65</v>
      </c>
      <c r="D854" s="2" t="s">
        <v>3048</v>
      </c>
      <c r="E854" s="4" t="s">
        <v>1079</v>
      </c>
      <c r="F854" s="5">
        <v>86</v>
      </c>
      <c r="G854" s="5">
        <v>23</v>
      </c>
      <c r="H854" s="5">
        <v>1</v>
      </c>
      <c r="I854" s="10">
        <v>9</v>
      </c>
      <c r="J854" s="11">
        <f t="shared" si="68"/>
        <v>774</v>
      </c>
      <c r="K854" s="12" t="str">
        <f t="shared" si="65"/>
        <v>Stock_Sufficient</v>
      </c>
      <c r="L854" s="12">
        <f t="shared" si="66"/>
        <v>9</v>
      </c>
      <c r="M854" s="6">
        <v>45463</v>
      </c>
      <c r="N854" s="6">
        <v>45431</v>
      </c>
      <c r="O854" s="6">
        <v>45374</v>
      </c>
      <c r="P854" s="7" t="s">
        <v>3049</v>
      </c>
      <c r="Q854" s="5">
        <v>100</v>
      </c>
      <c r="R854" s="10">
        <f t="shared" si="67"/>
        <v>900</v>
      </c>
      <c r="S854" s="5">
        <v>86</v>
      </c>
      <c r="T854" s="5" t="s">
        <v>39</v>
      </c>
      <c r="U854" s="11">
        <f t="shared" si="69"/>
        <v>126</v>
      </c>
    </row>
    <row r="855" spans="1:21" ht="16" x14ac:dyDescent="0.4">
      <c r="A855" s="2" t="s">
        <v>3050</v>
      </c>
      <c r="B855" s="3" t="s">
        <v>1043</v>
      </c>
      <c r="C855" s="28" t="s">
        <v>133</v>
      </c>
      <c r="D855" s="2" t="s">
        <v>3051</v>
      </c>
      <c r="E855" s="4" t="s">
        <v>490</v>
      </c>
      <c r="F855" s="5">
        <v>91</v>
      </c>
      <c r="G855" s="5">
        <v>96</v>
      </c>
      <c r="H855" s="5">
        <v>90</v>
      </c>
      <c r="I855" s="10">
        <v>7.5</v>
      </c>
      <c r="J855" s="11">
        <f t="shared" si="68"/>
        <v>682.5</v>
      </c>
      <c r="K855" s="12" t="str">
        <f t="shared" si="65"/>
        <v>Low Stock_Reorder Needed</v>
      </c>
      <c r="L855" s="12">
        <f t="shared" si="66"/>
        <v>675</v>
      </c>
      <c r="M855" s="6">
        <v>45702</v>
      </c>
      <c r="N855" s="6">
        <v>45515</v>
      </c>
      <c r="O855" s="6">
        <v>45650</v>
      </c>
      <c r="P855" s="7" t="s">
        <v>3052</v>
      </c>
      <c r="Q855" s="5">
        <v>90</v>
      </c>
      <c r="R855" s="10">
        <f t="shared" si="67"/>
        <v>675</v>
      </c>
      <c r="S855" s="5">
        <v>75</v>
      </c>
      <c r="T855" s="5" t="s">
        <v>39</v>
      </c>
      <c r="U855" s="11">
        <f t="shared" si="69"/>
        <v>-7.5</v>
      </c>
    </row>
    <row r="856" spans="1:21" ht="16" x14ac:dyDescent="0.4">
      <c r="A856" s="2" t="s">
        <v>3053</v>
      </c>
      <c r="B856" s="3" t="s">
        <v>1193</v>
      </c>
      <c r="C856" s="28" t="s">
        <v>65</v>
      </c>
      <c r="D856" s="2" t="s">
        <v>3054</v>
      </c>
      <c r="E856" s="4" t="s">
        <v>1986</v>
      </c>
      <c r="F856" s="5">
        <v>23</v>
      </c>
      <c r="G856" s="5">
        <v>99</v>
      </c>
      <c r="H856" s="5">
        <v>97</v>
      </c>
      <c r="I856" s="10">
        <v>2</v>
      </c>
      <c r="J856" s="11">
        <f t="shared" si="68"/>
        <v>46</v>
      </c>
      <c r="K856" s="12" t="str">
        <f t="shared" si="65"/>
        <v>Low Stock_Reorder Needed</v>
      </c>
      <c r="L856" s="12">
        <f t="shared" si="66"/>
        <v>194</v>
      </c>
      <c r="M856" s="6">
        <v>45452</v>
      </c>
      <c r="N856" s="6">
        <v>45388</v>
      </c>
      <c r="O856" s="6">
        <v>45392</v>
      </c>
      <c r="P856" s="7" t="s">
        <v>3055</v>
      </c>
      <c r="Q856" s="5">
        <v>68</v>
      </c>
      <c r="R856" s="10">
        <f t="shared" si="67"/>
        <v>136</v>
      </c>
      <c r="S856" s="5">
        <v>76</v>
      </c>
      <c r="T856" s="5" t="s">
        <v>27</v>
      </c>
      <c r="U856" s="11">
        <f t="shared" si="69"/>
        <v>90</v>
      </c>
    </row>
    <row r="857" spans="1:21" ht="16" x14ac:dyDescent="0.4">
      <c r="A857" s="2" t="s">
        <v>3056</v>
      </c>
      <c r="B857" s="3" t="s">
        <v>202</v>
      </c>
      <c r="C857" s="28" t="s">
        <v>48</v>
      </c>
      <c r="D857" s="2" t="s">
        <v>3057</v>
      </c>
      <c r="E857" s="4" t="s">
        <v>379</v>
      </c>
      <c r="F857" s="5">
        <v>98</v>
      </c>
      <c r="G857" s="5">
        <v>40</v>
      </c>
      <c r="H857" s="5">
        <v>100</v>
      </c>
      <c r="I857" s="10">
        <v>2</v>
      </c>
      <c r="J857" s="11">
        <f t="shared" si="68"/>
        <v>196</v>
      </c>
      <c r="K857" s="12" t="str">
        <f t="shared" si="65"/>
        <v>Stock_Sufficient</v>
      </c>
      <c r="L857" s="12">
        <f t="shared" si="66"/>
        <v>200</v>
      </c>
      <c r="M857" s="6">
        <v>45691</v>
      </c>
      <c r="N857" s="6">
        <v>45595</v>
      </c>
      <c r="O857" s="6">
        <v>45645</v>
      </c>
      <c r="P857" s="7" t="s">
        <v>3058</v>
      </c>
      <c r="Q857" s="5">
        <v>46</v>
      </c>
      <c r="R857" s="10">
        <f t="shared" si="67"/>
        <v>92</v>
      </c>
      <c r="S857" s="5">
        <v>9</v>
      </c>
      <c r="T857" s="5" t="s">
        <v>45</v>
      </c>
      <c r="U857" s="11">
        <f t="shared" si="69"/>
        <v>-104</v>
      </c>
    </row>
    <row r="858" spans="1:21" ht="16" x14ac:dyDescent="0.4">
      <c r="A858" s="2" t="s">
        <v>3059</v>
      </c>
      <c r="B858" s="3" t="s">
        <v>2258</v>
      </c>
      <c r="C858" s="28" t="s">
        <v>48</v>
      </c>
      <c r="D858" s="2" t="s">
        <v>3060</v>
      </c>
      <c r="E858" s="4" t="s">
        <v>96</v>
      </c>
      <c r="F858" s="5">
        <v>29</v>
      </c>
      <c r="G858" s="5">
        <v>66</v>
      </c>
      <c r="H858" s="5">
        <v>21</v>
      </c>
      <c r="I858" s="10">
        <v>8</v>
      </c>
      <c r="J858" s="11">
        <f t="shared" si="68"/>
        <v>232</v>
      </c>
      <c r="K858" s="12" t="str">
        <f t="shared" si="65"/>
        <v>Low Stock_Reorder Needed</v>
      </c>
      <c r="L858" s="12">
        <f t="shared" si="66"/>
        <v>168</v>
      </c>
      <c r="M858" s="6">
        <v>45594</v>
      </c>
      <c r="N858" s="6">
        <v>45484</v>
      </c>
      <c r="O858" s="6">
        <v>45603</v>
      </c>
      <c r="P858" s="7" t="s">
        <v>3061</v>
      </c>
      <c r="Q858" s="5">
        <v>74</v>
      </c>
      <c r="R858" s="10">
        <f t="shared" si="67"/>
        <v>592</v>
      </c>
      <c r="S858" s="5">
        <v>93</v>
      </c>
      <c r="T858" s="5" t="s">
        <v>27</v>
      </c>
      <c r="U858" s="11">
        <f t="shared" si="69"/>
        <v>360</v>
      </c>
    </row>
    <row r="859" spans="1:21" ht="16" x14ac:dyDescent="0.4">
      <c r="A859" s="2" t="s">
        <v>3062</v>
      </c>
      <c r="B859" s="3" t="s">
        <v>529</v>
      </c>
      <c r="C859" s="28" t="s">
        <v>48</v>
      </c>
      <c r="D859" s="2" t="s">
        <v>3063</v>
      </c>
      <c r="E859" s="4" t="s">
        <v>3064</v>
      </c>
      <c r="F859" s="5">
        <v>32</v>
      </c>
      <c r="G859" s="5">
        <v>27</v>
      </c>
      <c r="H859" s="5">
        <v>26</v>
      </c>
      <c r="I859" s="10">
        <v>5</v>
      </c>
      <c r="J859" s="11">
        <f t="shared" si="68"/>
        <v>160</v>
      </c>
      <c r="K859" s="12" t="str">
        <f t="shared" si="65"/>
        <v>Stock_Sufficient</v>
      </c>
      <c r="L859" s="12">
        <f t="shared" si="66"/>
        <v>130</v>
      </c>
      <c r="M859" s="6">
        <v>45442</v>
      </c>
      <c r="N859" s="6">
        <v>45616</v>
      </c>
      <c r="O859" s="6">
        <v>45671</v>
      </c>
      <c r="P859" s="7" t="s">
        <v>3065</v>
      </c>
      <c r="Q859" s="5">
        <v>38</v>
      </c>
      <c r="R859" s="10">
        <f t="shared" si="67"/>
        <v>190</v>
      </c>
      <c r="S859" s="5">
        <v>79</v>
      </c>
      <c r="T859" s="5" t="s">
        <v>39</v>
      </c>
      <c r="U859" s="11">
        <f t="shared" si="69"/>
        <v>30</v>
      </c>
    </row>
    <row r="860" spans="1:21" ht="16" x14ac:dyDescent="0.4">
      <c r="A860" s="2" t="s">
        <v>3066</v>
      </c>
      <c r="B860" s="3" t="s">
        <v>172</v>
      </c>
      <c r="C860" s="28" t="s">
        <v>48</v>
      </c>
      <c r="D860" s="2" t="s">
        <v>3067</v>
      </c>
      <c r="E860" s="4" t="s">
        <v>996</v>
      </c>
      <c r="F860" s="5">
        <v>84</v>
      </c>
      <c r="G860" s="5">
        <v>74</v>
      </c>
      <c r="H860" s="5">
        <v>48</v>
      </c>
      <c r="I860" s="10">
        <v>4.5</v>
      </c>
      <c r="J860" s="11">
        <f t="shared" si="68"/>
        <v>378</v>
      </c>
      <c r="K860" s="12" t="str">
        <f t="shared" si="65"/>
        <v>Stock_Sufficient</v>
      </c>
      <c r="L860" s="12">
        <f t="shared" si="66"/>
        <v>216</v>
      </c>
      <c r="M860" s="6">
        <v>45650</v>
      </c>
      <c r="N860" s="6">
        <v>45582</v>
      </c>
      <c r="O860" s="6">
        <v>45436</v>
      </c>
      <c r="P860" s="7" t="s">
        <v>3068</v>
      </c>
      <c r="Q860" s="5">
        <v>64</v>
      </c>
      <c r="R860" s="10">
        <f t="shared" si="67"/>
        <v>288</v>
      </c>
      <c r="S860" s="5">
        <v>32</v>
      </c>
      <c r="T860" s="5" t="s">
        <v>39</v>
      </c>
      <c r="U860" s="11">
        <f t="shared" si="69"/>
        <v>-90</v>
      </c>
    </row>
    <row r="861" spans="1:21" ht="16" x14ac:dyDescent="0.4">
      <c r="A861" s="2" t="s">
        <v>3069</v>
      </c>
      <c r="B861" s="3" t="s">
        <v>1219</v>
      </c>
      <c r="C861" s="28" t="s">
        <v>65</v>
      </c>
      <c r="D861" s="2" t="s">
        <v>3070</v>
      </c>
      <c r="E861" s="4" t="s">
        <v>619</v>
      </c>
      <c r="F861" s="5">
        <v>86</v>
      </c>
      <c r="G861" s="5">
        <v>20</v>
      </c>
      <c r="H861" s="5">
        <v>67</v>
      </c>
      <c r="I861" s="10">
        <v>1.75</v>
      </c>
      <c r="J861" s="11">
        <f t="shared" si="68"/>
        <v>150.5</v>
      </c>
      <c r="K861" s="12" t="str">
        <f t="shared" si="65"/>
        <v>Stock_Sufficient</v>
      </c>
      <c r="L861" s="12">
        <f t="shared" si="66"/>
        <v>117.25</v>
      </c>
      <c r="M861" s="6">
        <v>45700</v>
      </c>
      <c r="N861" s="6">
        <v>45480</v>
      </c>
      <c r="O861" s="6">
        <v>45507</v>
      </c>
      <c r="P861" s="7" t="s">
        <v>3071</v>
      </c>
      <c r="Q861" s="5">
        <v>83</v>
      </c>
      <c r="R861" s="10">
        <f t="shared" si="67"/>
        <v>145.25</v>
      </c>
      <c r="S861" s="5">
        <v>82</v>
      </c>
      <c r="T861" s="5" t="s">
        <v>27</v>
      </c>
      <c r="U861" s="11">
        <f t="shared" si="69"/>
        <v>-5.25</v>
      </c>
    </row>
    <row r="862" spans="1:21" ht="16" x14ac:dyDescent="0.4">
      <c r="A862" s="2" t="s">
        <v>3072</v>
      </c>
      <c r="B862" s="3" t="s">
        <v>35</v>
      </c>
      <c r="C862" s="28" t="s">
        <v>23</v>
      </c>
      <c r="D862" s="2" t="s">
        <v>3073</v>
      </c>
      <c r="E862" s="4" t="s">
        <v>2867</v>
      </c>
      <c r="F862" s="5">
        <v>11</v>
      </c>
      <c r="G862" s="5">
        <v>58</v>
      </c>
      <c r="H862" s="5">
        <v>26</v>
      </c>
      <c r="I862" s="10">
        <v>6.2</v>
      </c>
      <c r="J862" s="11">
        <f t="shared" si="68"/>
        <v>68.2</v>
      </c>
      <c r="K862" s="12" t="str">
        <f t="shared" si="65"/>
        <v>Low Stock_Reorder Needed</v>
      </c>
      <c r="L862" s="12">
        <f t="shared" si="66"/>
        <v>161.20000000000002</v>
      </c>
      <c r="M862" s="6">
        <v>45449</v>
      </c>
      <c r="N862" s="6">
        <v>45629</v>
      </c>
      <c r="O862" s="6">
        <v>45481</v>
      </c>
      <c r="P862" s="7" t="s">
        <v>3074</v>
      </c>
      <c r="Q862" s="5">
        <v>49</v>
      </c>
      <c r="R862" s="10">
        <f t="shared" si="67"/>
        <v>303.8</v>
      </c>
      <c r="S862" s="5">
        <v>34</v>
      </c>
      <c r="T862" s="5" t="s">
        <v>45</v>
      </c>
      <c r="U862" s="11">
        <f t="shared" si="69"/>
        <v>235.60000000000002</v>
      </c>
    </row>
    <row r="863" spans="1:21" ht="16" x14ac:dyDescent="0.4">
      <c r="A863" s="2" t="s">
        <v>3075</v>
      </c>
      <c r="B863" s="3" t="s">
        <v>772</v>
      </c>
      <c r="C863" s="28" t="s">
        <v>23</v>
      </c>
      <c r="D863" s="2" t="s">
        <v>3076</v>
      </c>
      <c r="E863" s="4" t="s">
        <v>908</v>
      </c>
      <c r="F863" s="5">
        <v>60</v>
      </c>
      <c r="G863" s="5">
        <v>69</v>
      </c>
      <c r="H863" s="5">
        <v>64</v>
      </c>
      <c r="I863" s="10">
        <v>2.75</v>
      </c>
      <c r="J863" s="11">
        <f t="shared" si="68"/>
        <v>165</v>
      </c>
      <c r="K863" s="12" t="str">
        <f t="shared" si="65"/>
        <v>Low Stock_Reorder Needed</v>
      </c>
      <c r="L863" s="12">
        <f t="shared" si="66"/>
        <v>176</v>
      </c>
      <c r="M863" s="6">
        <v>45711</v>
      </c>
      <c r="N863" s="6">
        <v>45360</v>
      </c>
      <c r="O863" s="6">
        <v>45659</v>
      </c>
      <c r="P863" s="7" t="s">
        <v>3077</v>
      </c>
      <c r="Q863" s="5">
        <v>51</v>
      </c>
      <c r="R863" s="10">
        <f t="shared" si="67"/>
        <v>140.25</v>
      </c>
      <c r="S863" s="5">
        <v>6</v>
      </c>
      <c r="T863" s="5" t="s">
        <v>45</v>
      </c>
      <c r="U863" s="11">
        <f t="shared" si="69"/>
        <v>-24.75</v>
      </c>
    </row>
    <row r="864" spans="1:21" ht="16" x14ac:dyDescent="0.4">
      <c r="A864" s="2" t="s">
        <v>3078</v>
      </c>
      <c r="B864" s="3" t="s">
        <v>1552</v>
      </c>
      <c r="C864" s="28" t="s">
        <v>90</v>
      </c>
      <c r="D864" s="2" t="s">
        <v>3079</v>
      </c>
      <c r="E864" s="4" t="s">
        <v>1284</v>
      </c>
      <c r="F864" s="5">
        <v>58</v>
      </c>
      <c r="G864" s="5">
        <v>48</v>
      </c>
      <c r="H864" s="5">
        <v>9</v>
      </c>
      <c r="I864" s="10">
        <v>3.5</v>
      </c>
      <c r="J864" s="11">
        <f t="shared" si="68"/>
        <v>203</v>
      </c>
      <c r="K864" s="12" t="str">
        <f t="shared" si="65"/>
        <v>Stock_Sufficient</v>
      </c>
      <c r="L864" s="12">
        <f t="shared" si="66"/>
        <v>31.5</v>
      </c>
      <c r="M864" s="6">
        <v>45633</v>
      </c>
      <c r="N864" s="6">
        <v>45507</v>
      </c>
      <c r="O864" s="6">
        <v>45370</v>
      </c>
      <c r="P864" s="7" t="s">
        <v>3080</v>
      </c>
      <c r="Q864" s="5">
        <v>98</v>
      </c>
      <c r="R864" s="10">
        <f t="shared" si="67"/>
        <v>343</v>
      </c>
      <c r="S864" s="5">
        <v>69</v>
      </c>
      <c r="T864" s="5" t="s">
        <v>45</v>
      </c>
      <c r="U864" s="11">
        <f t="shared" si="69"/>
        <v>140</v>
      </c>
    </row>
    <row r="865" spans="1:21" ht="16" x14ac:dyDescent="0.4">
      <c r="A865" s="2" t="s">
        <v>3081</v>
      </c>
      <c r="B865" s="3" t="s">
        <v>329</v>
      </c>
      <c r="C865" s="28" t="s">
        <v>65</v>
      </c>
      <c r="D865" s="2" t="s">
        <v>3082</v>
      </c>
      <c r="E865" s="4" t="s">
        <v>580</v>
      </c>
      <c r="F865" s="5">
        <v>64</v>
      </c>
      <c r="G865" s="5">
        <v>95</v>
      </c>
      <c r="H865" s="5">
        <v>62</v>
      </c>
      <c r="I865" s="10">
        <v>6</v>
      </c>
      <c r="J865" s="11">
        <f t="shared" si="68"/>
        <v>384</v>
      </c>
      <c r="K865" s="12" t="str">
        <f t="shared" si="65"/>
        <v>Low Stock_Reorder Needed</v>
      </c>
      <c r="L865" s="12">
        <f t="shared" si="66"/>
        <v>372</v>
      </c>
      <c r="M865" s="6">
        <v>45436</v>
      </c>
      <c r="N865" s="6">
        <v>45526</v>
      </c>
      <c r="O865" s="6">
        <v>45429</v>
      </c>
      <c r="P865" s="7" t="s">
        <v>3083</v>
      </c>
      <c r="Q865" s="5">
        <v>55</v>
      </c>
      <c r="R865" s="10">
        <f t="shared" si="67"/>
        <v>330</v>
      </c>
      <c r="S865" s="5">
        <v>1</v>
      </c>
      <c r="T865" s="5" t="s">
        <v>27</v>
      </c>
      <c r="U865" s="11">
        <f t="shared" si="69"/>
        <v>-54</v>
      </c>
    </row>
    <row r="866" spans="1:21" ht="16" x14ac:dyDescent="0.4">
      <c r="A866" s="2" t="s">
        <v>3084</v>
      </c>
      <c r="B866" s="3" t="s">
        <v>600</v>
      </c>
      <c r="C866" s="28" t="s">
        <v>59</v>
      </c>
      <c r="D866" s="2" t="s">
        <v>3085</v>
      </c>
      <c r="E866" s="4" t="s">
        <v>952</v>
      </c>
      <c r="F866" s="5">
        <v>19</v>
      </c>
      <c r="G866" s="5">
        <v>80</v>
      </c>
      <c r="H866" s="5">
        <v>87</v>
      </c>
      <c r="I866" s="10">
        <v>2.2999999999999998</v>
      </c>
      <c r="J866" s="11">
        <f t="shared" si="68"/>
        <v>43.699999999999996</v>
      </c>
      <c r="K866" s="12" t="str">
        <f t="shared" si="65"/>
        <v>Low Stock_Reorder Needed</v>
      </c>
      <c r="L866" s="12">
        <f t="shared" si="66"/>
        <v>200.1</v>
      </c>
      <c r="M866" s="6">
        <v>45576</v>
      </c>
      <c r="N866" s="6">
        <v>45588</v>
      </c>
      <c r="O866" s="6">
        <v>45656</v>
      </c>
      <c r="P866" s="7" t="s">
        <v>3086</v>
      </c>
      <c r="Q866" s="5">
        <v>33</v>
      </c>
      <c r="R866" s="10">
        <f t="shared" si="67"/>
        <v>75.899999999999991</v>
      </c>
      <c r="S866" s="5">
        <v>38</v>
      </c>
      <c r="T866" s="5" t="s">
        <v>39</v>
      </c>
      <c r="U866" s="11">
        <f t="shared" si="69"/>
        <v>32.199999999999996</v>
      </c>
    </row>
    <row r="867" spans="1:21" ht="16" x14ac:dyDescent="0.4">
      <c r="A867" s="2" t="s">
        <v>3087</v>
      </c>
      <c r="B867" s="3" t="s">
        <v>2258</v>
      </c>
      <c r="C867" s="28" t="s">
        <v>48</v>
      </c>
      <c r="D867" s="2" t="s">
        <v>3088</v>
      </c>
      <c r="E867" s="4" t="s">
        <v>140</v>
      </c>
      <c r="F867" s="5">
        <v>43</v>
      </c>
      <c r="G867" s="5">
        <v>41</v>
      </c>
      <c r="H867" s="5">
        <v>100</v>
      </c>
      <c r="I867" s="10">
        <v>8</v>
      </c>
      <c r="J867" s="11">
        <f t="shared" si="68"/>
        <v>344</v>
      </c>
      <c r="K867" s="12" t="str">
        <f t="shared" si="65"/>
        <v>Stock_Sufficient</v>
      </c>
      <c r="L867" s="12">
        <f t="shared" si="66"/>
        <v>800</v>
      </c>
      <c r="M867" s="6">
        <v>45459</v>
      </c>
      <c r="N867" s="6">
        <v>45390</v>
      </c>
      <c r="O867" s="6">
        <v>45444</v>
      </c>
      <c r="P867" s="7" t="s">
        <v>3089</v>
      </c>
      <c r="Q867" s="5">
        <v>27</v>
      </c>
      <c r="R867" s="10">
        <f t="shared" si="67"/>
        <v>216</v>
      </c>
      <c r="S867" s="5">
        <v>78</v>
      </c>
      <c r="T867" s="5" t="s">
        <v>45</v>
      </c>
      <c r="U867" s="11">
        <f t="shared" si="69"/>
        <v>-128</v>
      </c>
    </row>
    <row r="868" spans="1:21" ht="16" x14ac:dyDescent="0.4">
      <c r="A868" s="2" t="s">
        <v>3090</v>
      </c>
      <c r="B868" s="3" t="s">
        <v>436</v>
      </c>
      <c r="C868" s="28" t="s">
        <v>59</v>
      </c>
      <c r="D868" s="2" t="s">
        <v>3091</v>
      </c>
      <c r="E868" s="4" t="s">
        <v>395</v>
      </c>
      <c r="F868" s="5">
        <v>38</v>
      </c>
      <c r="G868" s="5">
        <v>62</v>
      </c>
      <c r="H868" s="5">
        <v>47</v>
      </c>
      <c r="I868" s="10">
        <v>4</v>
      </c>
      <c r="J868" s="11">
        <f t="shared" si="68"/>
        <v>152</v>
      </c>
      <c r="K868" s="12" t="str">
        <f t="shared" si="65"/>
        <v>Low Stock_Reorder Needed</v>
      </c>
      <c r="L868" s="12">
        <f t="shared" si="66"/>
        <v>188</v>
      </c>
      <c r="M868" s="6">
        <v>45628</v>
      </c>
      <c r="N868" s="6">
        <v>45638</v>
      </c>
      <c r="O868" s="6">
        <v>45609</v>
      </c>
      <c r="P868" s="7" t="s">
        <v>3092</v>
      </c>
      <c r="Q868" s="5">
        <v>41</v>
      </c>
      <c r="R868" s="10">
        <f t="shared" si="67"/>
        <v>164</v>
      </c>
      <c r="S868" s="5">
        <v>34</v>
      </c>
      <c r="T868" s="5" t="s">
        <v>27</v>
      </c>
      <c r="U868" s="11">
        <f t="shared" si="69"/>
        <v>12</v>
      </c>
    </row>
    <row r="869" spans="1:21" ht="16" x14ac:dyDescent="0.4">
      <c r="A869" s="2" t="s">
        <v>3093</v>
      </c>
      <c r="B869" s="3" t="s">
        <v>630</v>
      </c>
      <c r="C869" s="28" t="s">
        <v>65</v>
      </c>
      <c r="D869" s="2" t="s">
        <v>3094</v>
      </c>
      <c r="E869" s="4" t="s">
        <v>1517</v>
      </c>
      <c r="F869" s="5">
        <v>70</v>
      </c>
      <c r="G869" s="5">
        <v>66</v>
      </c>
      <c r="H869" s="5">
        <v>74</v>
      </c>
      <c r="I869" s="10">
        <v>2.5</v>
      </c>
      <c r="J869" s="11">
        <f t="shared" si="68"/>
        <v>175</v>
      </c>
      <c r="K869" s="12" t="str">
        <f t="shared" si="65"/>
        <v>Stock_Sufficient</v>
      </c>
      <c r="L869" s="12">
        <f t="shared" si="66"/>
        <v>185</v>
      </c>
      <c r="M869" s="6">
        <v>45607</v>
      </c>
      <c r="N869" s="6">
        <v>45484</v>
      </c>
      <c r="O869" s="6">
        <v>45379</v>
      </c>
      <c r="P869" s="7" t="s">
        <v>3095</v>
      </c>
      <c r="Q869" s="5">
        <v>47</v>
      </c>
      <c r="R869" s="10">
        <f t="shared" si="67"/>
        <v>117.5</v>
      </c>
      <c r="S869" s="5">
        <v>77</v>
      </c>
      <c r="T869" s="5" t="s">
        <v>45</v>
      </c>
      <c r="U869" s="11">
        <f t="shared" si="69"/>
        <v>-57.5</v>
      </c>
    </row>
    <row r="870" spans="1:21" ht="16" x14ac:dyDescent="0.4">
      <c r="A870" s="2" t="s">
        <v>3096</v>
      </c>
      <c r="B870" s="3" t="s">
        <v>752</v>
      </c>
      <c r="C870" s="28" t="s">
        <v>48</v>
      </c>
      <c r="D870" s="2" t="s">
        <v>3097</v>
      </c>
      <c r="E870" s="4" t="s">
        <v>803</v>
      </c>
      <c r="F870" s="5">
        <v>18</v>
      </c>
      <c r="G870" s="5">
        <v>3</v>
      </c>
      <c r="H870" s="5">
        <v>39</v>
      </c>
      <c r="I870" s="10">
        <v>5</v>
      </c>
      <c r="J870" s="11">
        <f t="shared" si="68"/>
        <v>90</v>
      </c>
      <c r="K870" s="12" t="str">
        <f t="shared" si="65"/>
        <v>Stock_Sufficient</v>
      </c>
      <c r="L870" s="12">
        <f t="shared" si="66"/>
        <v>195</v>
      </c>
      <c r="M870" s="6">
        <v>45583</v>
      </c>
      <c r="N870" s="6">
        <v>45704</v>
      </c>
      <c r="O870" s="6">
        <v>45620</v>
      </c>
      <c r="P870" s="7" t="s">
        <v>3098</v>
      </c>
      <c r="Q870" s="5">
        <v>58</v>
      </c>
      <c r="R870" s="10">
        <f t="shared" si="67"/>
        <v>290</v>
      </c>
      <c r="S870" s="5">
        <v>61</v>
      </c>
      <c r="T870" s="5" t="s">
        <v>39</v>
      </c>
      <c r="U870" s="11">
        <f t="shared" si="69"/>
        <v>200</v>
      </c>
    </row>
    <row r="871" spans="1:21" ht="16" x14ac:dyDescent="0.4">
      <c r="A871" s="2" t="s">
        <v>3099</v>
      </c>
      <c r="B871" s="3" t="s">
        <v>1146</v>
      </c>
      <c r="C871" s="28" t="s">
        <v>23</v>
      </c>
      <c r="D871" s="2" t="s">
        <v>3100</v>
      </c>
      <c r="E871" s="4" t="s">
        <v>81</v>
      </c>
      <c r="F871" s="5">
        <v>46</v>
      </c>
      <c r="G871" s="5">
        <v>81</v>
      </c>
      <c r="H871" s="5">
        <v>47</v>
      </c>
      <c r="I871" s="10">
        <v>2.5</v>
      </c>
      <c r="J871" s="11">
        <f t="shared" si="68"/>
        <v>115</v>
      </c>
      <c r="K871" s="12" t="str">
        <f t="shared" si="65"/>
        <v>Low Stock_Reorder Needed</v>
      </c>
      <c r="L871" s="12">
        <f t="shared" si="66"/>
        <v>117.5</v>
      </c>
      <c r="M871" s="6">
        <v>45540</v>
      </c>
      <c r="N871" s="6">
        <v>45546</v>
      </c>
      <c r="O871" s="6">
        <v>45673</v>
      </c>
      <c r="P871" s="7" t="s">
        <v>3101</v>
      </c>
      <c r="Q871" s="5">
        <v>48</v>
      </c>
      <c r="R871" s="10">
        <f t="shared" si="67"/>
        <v>120</v>
      </c>
      <c r="S871" s="5">
        <v>48</v>
      </c>
      <c r="T871" s="5" t="s">
        <v>45</v>
      </c>
      <c r="U871" s="11">
        <f t="shared" si="69"/>
        <v>5</v>
      </c>
    </row>
    <row r="872" spans="1:21" ht="16" x14ac:dyDescent="0.4">
      <c r="A872" s="2" t="s">
        <v>3102</v>
      </c>
      <c r="B872" s="3" t="s">
        <v>29</v>
      </c>
      <c r="C872" s="28" t="s">
        <v>30</v>
      </c>
      <c r="D872" s="2" t="s">
        <v>3103</v>
      </c>
      <c r="E872" s="4" t="s">
        <v>3104</v>
      </c>
      <c r="F872" s="5">
        <v>78</v>
      </c>
      <c r="G872" s="5">
        <v>34</v>
      </c>
      <c r="H872" s="5">
        <v>39</v>
      </c>
      <c r="I872" s="10">
        <v>20.5</v>
      </c>
      <c r="J872" s="11">
        <f t="shared" si="68"/>
        <v>1599</v>
      </c>
      <c r="K872" s="12" t="str">
        <f t="shared" si="65"/>
        <v>Stock_Sufficient</v>
      </c>
      <c r="L872" s="12">
        <f t="shared" si="66"/>
        <v>799.5</v>
      </c>
      <c r="M872" s="6">
        <v>45609</v>
      </c>
      <c r="N872" s="6">
        <v>45530</v>
      </c>
      <c r="O872" s="6">
        <v>45527</v>
      </c>
      <c r="P872" s="7" t="s">
        <v>3105</v>
      </c>
      <c r="Q872" s="5">
        <v>62</v>
      </c>
      <c r="R872" s="10">
        <f t="shared" si="67"/>
        <v>1271</v>
      </c>
      <c r="S872" s="5">
        <v>2</v>
      </c>
      <c r="T872" s="5" t="s">
        <v>45</v>
      </c>
      <c r="U872" s="11">
        <f t="shared" si="69"/>
        <v>-328</v>
      </c>
    </row>
    <row r="873" spans="1:21" ht="16" x14ac:dyDescent="0.4">
      <c r="A873" s="2" t="s">
        <v>3106</v>
      </c>
      <c r="B873" s="3" t="s">
        <v>600</v>
      </c>
      <c r="C873" s="28" t="s">
        <v>59</v>
      </c>
      <c r="D873" s="2" t="s">
        <v>3107</v>
      </c>
      <c r="E873" s="4" t="s">
        <v>395</v>
      </c>
      <c r="F873" s="5">
        <v>53</v>
      </c>
      <c r="G873" s="5">
        <v>20</v>
      </c>
      <c r="H873" s="5">
        <v>75</v>
      </c>
      <c r="I873" s="10">
        <v>2.2999999999999998</v>
      </c>
      <c r="J873" s="11">
        <f t="shared" si="68"/>
        <v>121.89999999999999</v>
      </c>
      <c r="K873" s="12" t="str">
        <f t="shared" si="65"/>
        <v>Stock_Sufficient</v>
      </c>
      <c r="L873" s="12">
        <f t="shared" si="66"/>
        <v>172.5</v>
      </c>
      <c r="M873" s="6">
        <v>45455</v>
      </c>
      <c r="N873" s="6">
        <v>45566</v>
      </c>
      <c r="O873" s="6">
        <v>45661</v>
      </c>
      <c r="P873" s="7" t="s">
        <v>3108</v>
      </c>
      <c r="Q873" s="5">
        <v>83</v>
      </c>
      <c r="R873" s="10">
        <f t="shared" si="67"/>
        <v>190.89999999999998</v>
      </c>
      <c r="S873" s="5">
        <v>77</v>
      </c>
      <c r="T873" s="5" t="s">
        <v>39</v>
      </c>
      <c r="U873" s="11">
        <f t="shared" si="69"/>
        <v>68.999999999999986</v>
      </c>
    </row>
    <row r="874" spans="1:21" ht="16" x14ac:dyDescent="0.4">
      <c r="A874" s="2" t="s">
        <v>3109</v>
      </c>
      <c r="B874" s="3" t="s">
        <v>197</v>
      </c>
      <c r="C874" s="28" t="s">
        <v>133</v>
      </c>
      <c r="D874" s="2" t="s">
        <v>3110</v>
      </c>
      <c r="E874" s="4" t="s">
        <v>656</v>
      </c>
      <c r="F874" s="5">
        <v>67</v>
      </c>
      <c r="G874" s="5">
        <v>71</v>
      </c>
      <c r="H874" s="5">
        <v>4</v>
      </c>
      <c r="I874" s="10">
        <v>9</v>
      </c>
      <c r="J874" s="11">
        <f t="shared" si="68"/>
        <v>603</v>
      </c>
      <c r="K874" s="12" t="str">
        <f t="shared" si="65"/>
        <v>Low Stock_Reorder Needed</v>
      </c>
      <c r="L874" s="12">
        <f t="shared" si="66"/>
        <v>36</v>
      </c>
      <c r="M874" s="6">
        <v>45645</v>
      </c>
      <c r="N874" s="6">
        <v>45396</v>
      </c>
      <c r="O874" s="6">
        <v>45481</v>
      </c>
      <c r="P874" s="7" t="s">
        <v>3111</v>
      </c>
      <c r="Q874" s="5">
        <v>76</v>
      </c>
      <c r="R874" s="10">
        <f t="shared" si="67"/>
        <v>684</v>
      </c>
      <c r="S874" s="5">
        <v>34</v>
      </c>
      <c r="T874" s="5" t="s">
        <v>39</v>
      </c>
      <c r="U874" s="11">
        <f t="shared" si="69"/>
        <v>81</v>
      </c>
    </row>
    <row r="875" spans="1:21" ht="16" x14ac:dyDescent="0.4">
      <c r="A875" s="2" t="s">
        <v>3112</v>
      </c>
      <c r="B875" s="3" t="s">
        <v>2289</v>
      </c>
      <c r="C875" s="28" t="s">
        <v>65</v>
      </c>
      <c r="D875" s="2" t="s">
        <v>3113</v>
      </c>
      <c r="E875" s="4" t="s">
        <v>2475</v>
      </c>
      <c r="F875" s="5">
        <v>36</v>
      </c>
      <c r="G875" s="5">
        <v>30</v>
      </c>
      <c r="H875" s="5">
        <v>44</v>
      </c>
      <c r="I875" s="10">
        <v>0.2</v>
      </c>
      <c r="J875" s="11">
        <f t="shared" si="68"/>
        <v>7.2</v>
      </c>
      <c r="K875" s="12" t="str">
        <f t="shared" si="65"/>
        <v>Stock_Sufficient</v>
      </c>
      <c r="L875" s="12">
        <f t="shared" si="66"/>
        <v>8.8000000000000007</v>
      </c>
      <c r="M875" s="6">
        <v>45393</v>
      </c>
      <c r="N875" s="6">
        <v>45354</v>
      </c>
      <c r="O875" s="6">
        <v>45438</v>
      </c>
      <c r="P875" s="7" t="s">
        <v>3114</v>
      </c>
      <c r="Q875" s="5">
        <v>68</v>
      </c>
      <c r="R875" s="10">
        <f t="shared" si="67"/>
        <v>13.600000000000001</v>
      </c>
      <c r="S875" s="5">
        <v>88</v>
      </c>
      <c r="T875" s="5" t="s">
        <v>39</v>
      </c>
      <c r="U875" s="11">
        <f t="shared" si="69"/>
        <v>6.4000000000000012</v>
      </c>
    </row>
    <row r="876" spans="1:21" ht="16" x14ac:dyDescent="0.4">
      <c r="A876" s="2" t="s">
        <v>3115</v>
      </c>
      <c r="B876" s="3" t="s">
        <v>772</v>
      </c>
      <c r="C876" s="28" t="s">
        <v>23</v>
      </c>
      <c r="D876" s="2" t="s">
        <v>3116</v>
      </c>
      <c r="E876" s="4" t="s">
        <v>3064</v>
      </c>
      <c r="F876" s="5">
        <v>39</v>
      </c>
      <c r="G876" s="5">
        <v>53</v>
      </c>
      <c r="H876" s="5">
        <v>64</v>
      </c>
      <c r="I876" s="10">
        <v>2.75</v>
      </c>
      <c r="J876" s="11">
        <f t="shared" si="68"/>
        <v>107.25</v>
      </c>
      <c r="K876" s="12" t="str">
        <f t="shared" si="65"/>
        <v>Low Stock_Reorder Needed</v>
      </c>
      <c r="L876" s="12">
        <f t="shared" si="66"/>
        <v>176</v>
      </c>
      <c r="M876" s="6">
        <v>45465</v>
      </c>
      <c r="N876" s="6">
        <v>45475</v>
      </c>
      <c r="O876" s="6">
        <v>45653</v>
      </c>
      <c r="P876" s="7" t="s">
        <v>3117</v>
      </c>
      <c r="Q876" s="5">
        <v>92</v>
      </c>
      <c r="R876" s="10">
        <f t="shared" si="67"/>
        <v>253</v>
      </c>
      <c r="S876" s="5">
        <v>8</v>
      </c>
      <c r="T876" s="5" t="s">
        <v>45</v>
      </c>
      <c r="U876" s="11">
        <f t="shared" si="69"/>
        <v>145.75</v>
      </c>
    </row>
    <row r="877" spans="1:21" ht="16" x14ac:dyDescent="0.4">
      <c r="A877" s="2" t="s">
        <v>3118</v>
      </c>
      <c r="B877" s="3" t="s">
        <v>1532</v>
      </c>
      <c r="C877" s="28" t="s">
        <v>48</v>
      </c>
      <c r="D877" s="2" t="s">
        <v>3119</v>
      </c>
      <c r="E877" s="4" t="s">
        <v>2475</v>
      </c>
      <c r="F877" s="5">
        <v>95</v>
      </c>
      <c r="G877" s="5">
        <v>87</v>
      </c>
      <c r="H877" s="5">
        <v>13</v>
      </c>
      <c r="I877" s="10">
        <v>2</v>
      </c>
      <c r="J877" s="11">
        <f t="shared" si="68"/>
        <v>190</v>
      </c>
      <c r="K877" s="12" t="str">
        <f t="shared" si="65"/>
        <v>Stock_Sufficient</v>
      </c>
      <c r="L877" s="12">
        <f t="shared" si="66"/>
        <v>26</v>
      </c>
      <c r="M877" s="6">
        <v>45577</v>
      </c>
      <c r="N877" s="6">
        <v>45353</v>
      </c>
      <c r="O877" s="6">
        <v>45508</v>
      </c>
      <c r="P877" s="7" t="s">
        <v>3120</v>
      </c>
      <c r="Q877" s="5">
        <v>61</v>
      </c>
      <c r="R877" s="10">
        <f t="shared" si="67"/>
        <v>122</v>
      </c>
      <c r="S877" s="5">
        <v>4</v>
      </c>
      <c r="T877" s="5" t="s">
        <v>39</v>
      </c>
      <c r="U877" s="11">
        <f t="shared" si="69"/>
        <v>-68</v>
      </c>
    </row>
    <row r="878" spans="1:21" ht="16" x14ac:dyDescent="0.4">
      <c r="A878" s="2" t="s">
        <v>3121</v>
      </c>
      <c r="B878" s="3" t="s">
        <v>502</v>
      </c>
      <c r="C878" s="28" t="s">
        <v>23</v>
      </c>
      <c r="D878" s="2" t="s">
        <v>3122</v>
      </c>
      <c r="E878" s="4" t="s">
        <v>453</v>
      </c>
      <c r="F878" s="5">
        <v>12</v>
      </c>
      <c r="G878" s="5">
        <v>56</v>
      </c>
      <c r="H878" s="5">
        <v>92</v>
      </c>
      <c r="I878" s="10">
        <v>9.5</v>
      </c>
      <c r="J878" s="11">
        <f t="shared" si="68"/>
        <v>114</v>
      </c>
      <c r="K878" s="12" t="str">
        <f t="shared" si="65"/>
        <v>Low Stock_Reorder Needed</v>
      </c>
      <c r="L878" s="12">
        <f t="shared" si="66"/>
        <v>874</v>
      </c>
      <c r="M878" s="6">
        <v>45420</v>
      </c>
      <c r="N878" s="6">
        <v>45641</v>
      </c>
      <c r="O878" s="6">
        <v>45425</v>
      </c>
      <c r="P878" s="7" t="s">
        <v>3123</v>
      </c>
      <c r="Q878" s="5">
        <v>56</v>
      </c>
      <c r="R878" s="10">
        <f t="shared" si="67"/>
        <v>532</v>
      </c>
      <c r="S878" s="5">
        <v>6</v>
      </c>
      <c r="T878" s="5" t="s">
        <v>45</v>
      </c>
      <c r="U878" s="11">
        <f t="shared" si="69"/>
        <v>418</v>
      </c>
    </row>
    <row r="879" spans="1:21" ht="16" x14ac:dyDescent="0.4">
      <c r="A879" s="2" t="s">
        <v>3124</v>
      </c>
      <c r="B879" s="3" t="s">
        <v>1469</v>
      </c>
      <c r="C879" s="28" t="s">
        <v>23</v>
      </c>
      <c r="D879" s="2" t="s">
        <v>3125</v>
      </c>
      <c r="E879" s="4" t="s">
        <v>1012</v>
      </c>
      <c r="F879" s="5">
        <v>98</v>
      </c>
      <c r="G879" s="5">
        <v>30</v>
      </c>
      <c r="H879" s="5">
        <v>39</v>
      </c>
      <c r="I879" s="10">
        <v>10</v>
      </c>
      <c r="J879" s="11">
        <f t="shared" si="68"/>
        <v>980</v>
      </c>
      <c r="K879" s="12" t="str">
        <f t="shared" si="65"/>
        <v>Stock_Sufficient</v>
      </c>
      <c r="L879" s="12">
        <f t="shared" si="66"/>
        <v>390</v>
      </c>
      <c r="M879" s="6">
        <v>45621</v>
      </c>
      <c r="N879" s="6">
        <v>45396</v>
      </c>
      <c r="O879" s="6">
        <v>45514</v>
      </c>
      <c r="P879" s="7" t="s">
        <v>3126</v>
      </c>
      <c r="Q879" s="5">
        <v>31</v>
      </c>
      <c r="R879" s="10">
        <f t="shared" si="67"/>
        <v>310</v>
      </c>
      <c r="S879" s="5">
        <v>26</v>
      </c>
      <c r="T879" s="5" t="s">
        <v>45</v>
      </c>
      <c r="U879" s="11">
        <f t="shared" si="69"/>
        <v>-670</v>
      </c>
    </row>
    <row r="880" spans="1:21" ht="16" x14ac:dyDescent="0.4">
      <c r="A880" s="2" t="s">
        <v>3127</v>
      </c>
      <c r="B880" s="3" t="s">
        <v>468</v>
      </c>
      <c r="C880" s="28" t="s">
        <v>23</v>
      </c>
      <c r="D880" s="2" t="s">
        <v>3128</v>
      </c>
      <c r="E880" s="4" t="s">
        <v>1295</v>
      </c>
      <c r="F880" s="5">
        <v>50</v>
      </c>
      <c r="G880" s="5">
        <v>14</v>
      </c>
      <c r="H880" s="5">
        <v>99</v>
      </c>
      <c r="I880" s="10">
        <v>4.75</v>
      </c>
      <c r="J880" s="11">
        <f t="shared" si="68"/>
        <v>237.5</v>
      </c>
      <c r="K880" s="12" t="str">
        <f t="shared" si="65"/>
        <v>Stock_Sufficient</v>
      </c>
      <c r="L880" s="12">
        <f t="shared" si="66"/>
        <v>470.25</v>
      </c>
      <c r="M880" s="6">
        <v>45666</v>
      </c>
      <c r="N880" s="6">
        <v>45379</v>
      </c>
      <c r="O880" s="6">
        <v>45397</v>
      </c>
      <c r="P880" s="7" t="s">
        <v>3129</v>
      </c>
      <c r="Q880" s="5">
        <v>52</v>
      </c>
      <c r="R880" s="10">
        <f t="shared" si="67"/>
        <v>247</v>
      </c>
      <c r="S880" s="5">
        <v>75</v>
      </c>
      <c r="T880" s="5" t="s">
        <v>45</v>
      </c>
      <c r="U880" s="11">
        <f t="shared" si="69"/>
        <v>9.5</v>
      </c>
    </row>
    <row r="881" spans="1:21" ht="16" x14ac:dyDescent="0.4">
      <c r="A881" s="2" t="s">
        <v>3130</v>
      </c>
      <c r="B881" s="3" t="s">
        <v>215</v>
      </c>
      <c r="C881" s="28" t="s">
        <v>48</v>
      </c>
      <c r="D881" s="2" t="s">
        <v>3131</v>
      </c>
      <c r="E881" s="4" t="s">
        <v>448</v>
      </c>
      <c r="F881" s="5">
        <v>98</v>
      </c>
      <c r="G881" s="5">
        <v>14</v>
      </c>
      <c r="H881" s="5">
        <v>11</v>
      </c>
      <c r="I881" s="10">
        <v>2.5</v>
      </c>
      <c r="J881" s="11">
        <f t="shared" si="68"/>
        <v>245</v>
      </c>
      <c r="K881" s="12" t="str">
        <f t="shared" si="65"/>
        <v>Stock_Sufficient</v>
      </c>
      <c r="L881" s="12">
        <f t="shared" si="66"/>
        <v>27.5</v>
      </c>
      <c r="M881" s="6">
        <v>45399</v>
      </c>
      <c r="N881" s="6">
        <v>45627</v>
      </c>
      <c r="O881" s="6">
        <v>45371</v>
      </c>
      <c r="P881" s="7" t="s">
        <v>3132</v>
      </c>
      <c r="Q881" s="5">
        <v>48</v>
      </c>
      <c r="R881" s="10">
        <f t="shared" si="67"/>
        <v>120</v>
      </c>
      <c r="S881" s="5">
        <v>38</v>
      </c>
      <c r="T881" s="5" t="s">
        <v>27</v>
      </c>
      <c r="U881" s="11">
        <f t="shared" si="69"/>
        <v>-125</v>
      </c>
    </row>
    <row r="882" spans="1:21" ht="16" x14ac:dyDescent="0.4">
      <c r="A882" s="2" t="s">
        <v>3133</v>
      </c>
      <c r="B882" s="3" t="s">
        <v>58</v>
      </c>
      <c r="C882" s="28" t="s">
        <v>59</v>
      </c>
      <c r="D882" s="2" t="s">
        <v>3134</v>
      </c>
      <c r="E882" s="4" t="s">
        <v>535</v>
      </c>
      <c r="F882" s="5">
        <v>28</v>
      </c>
      <c r="G882" s="5">
        <v>32</v>
      </c>
      <c r="H882" s="5">
        <v>71</v>
      </c>
      <c r="I882" s="10">
        <v>2.5</v>
      </c>
      <c r="J882" s="11">
        <f t="shared" si="68"/>
        <v>70</v>
      </c>
      <c r="K882" s="12" t="str">
        <f t="shared" si="65"/>
        <v>Low Stock_Reorder Needed</v>
      </c>
      <c r="L882" s="12">
        <f t="shared" si="66"/>
        <v>177.5</v>
      </c>
      <c r="M882" s="6">
        <v>45648</v>
      </c>
      <c r="N882" s="6">
        <v>45414</v>
      </c>
      <c r="O882" s="6">
        <v>45632</v>
      </c>
      <c r="P882" s="7" t="s">
        <v>3135</v>
      </c>
      <c r="Q882" s="5">
        <v>32</v>
      </c>
      <c r="R882" s="10">
        <f t="shared" si="67"/>
        <v>80</v>
      </c>
      <c r="S882" s="5">
        <v>49</v>
      </c>
      <c r="T882" s="5" t="s">
        <v>27</v>
      </c>
      <c r="U882" s="11">
        <f t="shared" si="69"/>
        <v>10</v>
      </c>
    </row>
    <row r="883" spans="1:21" ht="16" x14ac:dyDescent="0.4">
      <c r="A883" s="2" t="s">
        <v>3136</v>
      </c>
      <c r="B883" s="3" t="s">
        <v>177</v>
      </c>
      <c r="C883" s="28" t="s">
        <v>48</v>
      </c>
      <c r="D883" s="2" t="s">
        <v>3137</v>
      </c>
      <c r="E883" s="4" t="s">
        <v>635</v>
      </c>
      <c r="F883" s="5">
        <v>67</v>
      </c>
      <c r="G883" s="5">
        <v>14</v>
      </c>
      <c r="H883" s="5">
        <v>25</v>
      </c>
      <c r="I883" s="10">
        <v>1.8</v>
      </c>
      <c r="J883" s="11">
        <f t="shared" si="68"/>
        <v>120.60000000000001</v>
      </c>
      <c r="K883" s="12" t="str">
        <f t="shared" si="65"/>
        <v>Stock_Sufficient</v>
      </c>
      <c r="L883" s="12">
        <f t="shared" si="66"/>
        <v>45</v>
      </c>
      <c r="M883" s="6">
        <v>45414</v>
      </c>
      <c r="N883" s="6">
        <v>45524</v>
      </c>
      <c r="O883" s="6">
        <v>45581</v>
      </c>
      <c r="P883" s="7" t="s">
        <v>3138</v>
      </c>
      <c r="Q883" s="5">
        <v>81</v>
      </c>
      <c r="R883" s="10">
        <f t="shared" si="67"/>
        <v>145.80000000000001</v>
      </c>
      <c r="S883" s="5">
        <v>77</v>
      </c>
      <c r="T883" s="5" t="s">
        <v>45</v>
      </c>
      <c r="U883" s="11">
        <f t="shared" si="69"/>
        <v>25.200000000000003</v>
      </c>
    </row>
    <row r="884" spans="1:21" ht="16" x14ac:dyDescent="0.4">
      <c r="A884" s="2" t="s">
        <v>3139</v>
      </c>
      <c r="B884" s="3" t="s">
        <v>202</v>
      </c>
      <c r="C884" s="28" t="s">
        <v>48</v>
      </c>
      <c r="D884" s="2" t="s">
        <v>3140</v>
      </c>
      <c r="E884" s="4" t="s">
        <v>1606</v>
      </c>
      <c r="F884" s="5">
        <v>20</v>
      </c>
      <c r="G884" s="5">
        <v>93</v>
      </c>
      <c r="H884" s="5">
        <v>37</v>
      </c>
      <c r="I884" s="10">
        <v>2</v>
      </c>
      <c r="J884" s="11">
        <f t="shared" si="68"/>
        <v>40</v>
      </c>
      <c r="K884" s="12" t="str">
        <f t="shared" si="65"/>
        <v>Low Stock_Reorder Needed</v>
      </c>
      <c r="L884" s="12">
        <f t="shared" si="66"/>
        <v>74</v>
      </c>
      <c r="M884" s="6">
        <v>45585</v>
      </c>
      <c r="N884" s="6">
        <v>45358</v>
      </c>
      <c r="O884" s="6">
        <v>45651</v>
      </c>
      <c r="P884" s="7" t="s">
        <v>3141</v>
      </c>
      <c r="Q884" s="5">
        <v>23</v>
      </c>
      <c r="R884" s="10">
        <f t="shared" si="67"/>
        <v>46</v>
      </c>
      <c r="S884" s="5">
        <v>2</v>
      </c>
      <c r="T884" s="5" t="s">
        <v>27</v>
      </c>
      <c r="U884" s="11">
        <f t="shared" si="69"/>
        <v>6</v>
      </c>
    </row>
    <row r="885" spans="1:21" ht="16" x14ac:dyDescent="0.4">
      <c r="A885" s="2" t="s">
        <v>3142</v>
      </c>
      <c r="B885" s="3" t="s">
        <v>132</v>
      </c>
      <c r="C885" s="28" t="s">
        <v>133</v>
      </c>
      <c r="D885" s="2" t="s">
        <v>3143</v>
      </c>
      <c r="E885" s="4" t="s">
        <v>461</v>
      </c>
      <c r="F885" s="5">
        <v>67</v>
      </c>
      <c r="G885" s="5">
        <v>83</v>
      </c>
      <c r="H885" s="5">
        <v>90</v>
      </c>
      <c r="I885" s="10">
        <v>11.6</v>
      </c>
      <c r="J885" s="11">
        <f t="shared" si="68"/>
        <v>777.19999999999993</v>
      </c>
      <c r="K885" s="12" t="str">
        <f t="shared" si="65"/>
        <v>Low Stock_Reorder Needed</v>
      </c>
      <c r="L885" s="12">
        <f t="shared" si="66"/>
        <v>1044</v>
      </c>
      <c r="M885" s="6">
        <v>45592</v>
      </c>
      <c r="N885" s="6">
        <v>45565</v>
      </c>
      <c r="O885" s="6">
        <v>45533</v>
      </c>
      <c r="P885" s="7" t="s">
        <v>3144</v>
      </c>
      <c r="Q885" s="5">
        <v>66</v>
      </c>
      <c r="R885" s="10">
        <f t="shared" si="67"/>
        <v>765.6</v>
      </c>
      <c r="S885" s="5">
        <v>77</v>
      </c>
      <c r="T885" s="5" t="s">
        <v>45</v>
      </c>
      <c r="U885" s="11">
        <f t="shared" si="69"/>
        <v>-11.599999999999909</v>
      </c>
    </row>
    <row r="886" spans="1:21" ht="16" x14ac:dyDescent="0.4">
      <c r="A886" s="2" t="s">
        <v>3145</v>
      </c>
      <c r="B886" s="3" t="s">
        <v>158</v>
      </c>
      <c r="C886" s="28" t="s">
        <v>65</v>
      </c>
      <c r="D886" s="2" t="s">
        <v>3146</v>
      </c>
      <c r="E886" s="4" t="s">
        <v>1029</v>
      </c>
      <c r="F886" s="5">
        <v>94</v>
      </c>
      <c r="G886" s="5">
        <v>60</v>
      </c>
      <c r="H886" s="5">
        <v>78</v>
      </c>
      <c r="I886" s="10">
        <v>0.8</v>
      </c>
      <c r="J886" s="11">
        <f t="shared" si="68"/>
        <v>75.2</v>
      </c>
      <c r="K886" s="12" t="str">
        <f t="shared" si="65"/>
        <v>Stock_Sufficient</v>
      </c>
      <c r="L886" s="12">
        <f t="shared" si="66"/>
        <v>62.400000000000006</v>
      </c>
      <c r="M886" s="6">
        <v>45634</v>
      </c>
      <c r="N886" s="6">
        <v>45358</v>
      </c>
      <c r="O886" s="6">
        <v>45555</v>
      </c>
      <c r="P886" s="7" t="s">
        <v>3147</v>
      </c>
      <c r="Q886" s="5">
        <v>100</v>
      </c>
      <c r="R886" s="10">
        <f t="shared" si="67"/>
        <v>80</v>
      </c>
      <c r="S886" s="5">
        <v>42</v>
      </c>
      <c r="T886" s="5" t="s">
        <v>45</v>
      </c>
      <c r="U886" s="11">
        <f t="shared" si="69"/>
        <v>4.7999999999999972</v>
      </c>
    </row>
    <row r="887" spans="1:21" ht="16" x14ac:dyDescent="0.4">
      <c r="A887" s="2" t="s">
        <v>3148</v>
      </c>
      <c r="B887" s="3" t="s">
        <v>317</v>
      </c>
      <c r="C887" s="28" t="s">
        <v>30</v>
      </c>
      <c r="D887" s="2" t="s">
        <v>3149</v>
      </c>
      <c r="E887" s="4" t="s">
        <v>3150</v>
      </c>
      <c r="F887" s="5">
        <v>45</v>
      </c>
      <c r="G887" s="5">
        <v>58</v>
      </c>
      <c r="H887" s="5">
        <v>84</v>
      </c>
      <c r="I887" s="10">
        <v>5</v>
      </c>
      <c r="J887" s="11">
        <f t="shared" si="68"/>
        <v>225</v>
      </c>
      <c r="K887" s="12" t="str">
        <f t="shared" si="65"/>
        <v>Low Stock_Reorder Needed</v>
      </c>
      <c r="L887" s="12">
        <f t="shared" si="66"/>
        <v>420</v>
      </c>
      <c r="M887" s="6">
        <v>45663</v>
      </c>
      <c r="N887" s="6">
        <v>45372</v>
      </c>
      <c r="O887" s="6">
        <v>45381</v>
      </c>
      <c r="P887" s="7" t="s">
        <v>3151</v>
      </c>
      <c r="Q887" s="5">
        <v>90</v>
      </c>
      <c r="R887" s="10">
        <f t="shared" si="67"/>
        <v>450</v>
      </c>
      <c r="S887" s="5">
        <v>67</v>
      </c>
      <c r="T887" s="5" t="s">
        <v>45</v>
      </c>
      <c r="U887" s="11">
        <f t="shared" si="69"/>
        <v>225</v>
      </c>
    </row>
    <row r="888" spans="1:21" ht="16" x14ac:dyDescent="0.4">
      <c r="A888" s="2" t="s">
        <v>3152</v>
      </c>
      <c r="B888" s="3" t="s">
        <v>801</v>
      </c>
      <c r="C888" s="28" t="s">
        <v>133</v>
      </c>
      <c r="D888" s="2" t="s">
        <v>3153</v>
      </c>
      <c r="E888" s="4" t="s">
        <v>379</v>
      </c>
      <c r="F888" s="5">
        <v>86</v>
      </c>
      <c r="G888" s="5">
        <v>55</v>
      </c>
      <c r="H888" s="5">
        <v>96</v>
      </c>
      <c r="I888" s="10">
        <v>10</v>
      </c>
      <c r="J888" s="11">
        <f t="shared" si="68"/>
        <v>860</v>
      </c>
      <c r="K888" s="12" t="str">
        <f t="shared" si="65"/>
        <v>Stock_Sufficient</v>
      </c>
      <c r="L888" s="12">
        <f t="shared" si="66"/>
        <v>960</v>
      </c>
      <c r="M888" s="6">
        <v>45645</v>
      </c>
      <c r="N888" s="6">
        <v>45482</v>
      </c>
      <c r="O888" s="6">
        <v>45564</v>
      </c>
      <c r="P888" s="7" t="s">
        <v>3154</v>
      </c>
      <c r="Q888" s="5">
        <v>37</v>
      </c>
      <c r="R888" s="10">
        <f t="shared" si="67"/>
        <v>370</v>
      </c>
      <c r="S888" s="5">
        <v>53</v>
      </c>
      <c r="T888" s="5" t="s">
        <v>39</v>
      </c>
      <c r="U888" s="11">
        <f t="shared" si="69"/>
        <v>-490</v>
      </c>
    </row>
    <row r="889" spans="1:21" ht="16" x14ac:dyDescent="0.4">
      <c r="A889" s="2" t="s">
        <v>3155</v>
      </c>
      <c r="B889" s="3" t="s">
        <v>1469</v>
      </c>
      <c r="C889" s="28" t="s">
        <v>23</v>
      </c>
      <c r="D889" s="2" t="s">
        <v>3156</v>
      </c>
      <c r="E889" s="4" t="s">
        <v>241</v>
      </c>
      <c r="F889" s="5">
        <v>72</v>
      </c>
      <c r="G889" s="5">
        <v>82</v>
      </c>
      <c r="H889" s="5">
        <v>52</v>
      </c>
      <c r="I889" s="10">
        <v>9.75</v>
      </c>
      <c r="J889" s="11">
        <f t="shared" si="68"/>
        <v>702</v>
      </c>
      <c r="K889" s="12" t="str">
        <f t="shared" si="65"/>
        <v>Low Stock_Reorder Needed</v>
      </c>
      <c r="L889" s="12">
        <f t="shared" si="66"/>
        <v>507</v>
      </c>
      <c r="M889" s="6">
        <v>45507</v>
      </c>
      <c r="N889" s="6">
        <v>45482</v>
      </c>
      <c r="O889" s="6">
        <v>45563</v>
      </c>
      <c r="P889" s="7" t="s">
        <v>3157</v>
      </c>
      <c r="Q889" s="5">
        <v>51</v>
      </c>
      <c r="R889" s="10">
        <f t="shared" si="67"/>
        <v>497.25</v>
      </c>
      <c r="S889" s="5">
        <v>95</v>
      </c>
      <c r="T889" s="5" t="s">
        <v>39</v>
      </c>
      <c r="U889" s="11">
        <f t="shared" si="69"/>
        <v>-204.75</v>
      </c>
    </row>
    <row r="890" spans="1:21" ht="16" x14ac:dyDescent="0.4">
      <c r="A890" s="2" t="s">
        <v>3158</v>
      </c>
      <c r="B890" s="3" t="s">
        <v>138</v>
      </c>
      <c r="C890" s="28" t="s">
        <v>48</v>
      </c>
      <c r="D890" s="2" t="s">
        <v>3159</v>
      </c>
      <c r="E890" s="4" t="s">
        <v>807</v>
      </c>
      <c r="F890" s="5">
        <v>31</v>
      </c>
      <c r="G890" s="5">
        <v>61</v>
      </c>
      <c r="H890" s="5">
        <v>28</v>
      </c>
      <c r="I890" s="10">
        <v>2.1</v>
      </c>
      <c r="J890" s="11">
        <f t="shared" si="68"/>
        <v>65.100000000000009</v>
      </c>
      <c r="K890" s="12" t="str">
        <f t="shared" si="65"/>
        <v>Low Stock_Reorder Needed</v>
      </c>
      <c r="L890" s="12">
        <f t="shared" si="66"/>
        <v>58.800000000000004</v>
      </c>
      <c r="M890" s="6">
        <v>45361</v>
      </c>
      <c r="N890" s="6">
        <v>45482</v>
      </c>
      <c r="O890" s="6">
        <v>45521</v>
      </c>
      <c r="P890" s="7" t="s">
        <v>3160</v>
      </c>
      <c r="Q890" s="5">
        <v>55</v>
      </c>
      <c r="R890" s="10">
        <f t="shared" si="67"/>
        <v>115.5</v>
      </c>
      <c r="S890" s="5">
        <v>70</v>
      </c>
      <c r="T890" s="5" t="s">
        <v>45</v>
      </c>
      <c r="U890" s="11">
        <f t="shared" si="69"/>
        <v>50.399999999999991</v>
      </c>
    </row>
    <row r="891" spans="1:21" ht="16" x14ac:dyDescent="0.4">
      <c r="A891" s="2" t="s">
        <v>3161</v>
      </c>
      <c r="B891" s="3" t="s">
        <v>398</v>
      </c>
      <c r="C891" s="28" t="s">
        <v>90</v>
      </c>
      <c r="D891" s="2" t="s">
        <v>3162</v>
      </c>
      <c r="E891" s="4" t="s">
        <v>3163</v>
      </c>
      <c r="F891" s="5">
        <v>12</v>
      </c>
      <c r="G891" s="5">
        <v>7</v>
      </c>
      <c r="H891" s="5">
        <v>23</v>
      </c>
      <c r="I891" s="10">
        <v>6</v>
      </c>
      <c r="J891" s="11">
        <f t="shared" si="68"/>
        <v>72</v>
      </c>
      <c r="K891" s="12" t="str">
        <f t="shared" si="65"/>
        <v>Stock_Sufficient</v>
      </c>
      <c r="L891" s="12">
        <f t="shared" si="66"/>
        <v>138</v>
      </c>
      <c r="M891" s="6">
        <v>45694</v>
      </c>
      <c r="N891" s="6">
        <v>45705</v>
      </c>
      <c r="O891" s="6">
        <v>45466</v>
      </c>
      <c r="P891" s="7" t="s">
        <v>3164</v>
      </c>
      <c r="Q891" s="5">
        <v>72</v>
      </c>
      <c r="R891" s="10">
        <f t="shared" si="67"/>
        <v>432</v>
      </c>
      <c r="S891" s="5">
        <v>16</v>
      </c>
      <c r="T891" s="5" t="s">
        <v>27</v>
      </c>
      <c r="U891" s="11">
        <f t="shared" si="69"/>
        <v>360</v>
      </c>
    </row>
    <row r="892" spans="1:21" ht="16" x14ac:dyDescent="0.4">
      <c r="A892" s="2" t="s">
        <v>3165</v>
      </c>
      <c r="B892" s="3" t="s">
        <v>613</v>
      </c>
      <c r="C892" s="28" t="s">
        <v>65</v>
      </c>
      <c r="D892" s="2" t="s">
        <v>3166</v>
      </c>
      <c r="E892" s="4" t="s">
        <v>1720</v>
      </c>
      <c r="F892" s="5">
        <v>71</v>
      </c>
      <c r="G892" s="5">
        <v>93</v>
      </c>
      <c r="H892" s="5">
        <v>75</v>
      </c>
      <c r="I892" s="10">
        <v>7</v>
      </c>
      <c r="J892" s="11">
        <f t="shared" si="68"/>
        <v>497</v>
      </c>
      <c r="K892" s="12" t="str">
        <f t="shared" si="65"/>
        <v>Low Stock_Reorder Needed</v>
      </c>
      <c r="L892" s="12">
        <f t="shared" si="66"/>
        <v>525</v>
      </c>
      <c r="M892" s="6">
        <v>45574</v>
      </c>
      <c r="N892" s="6">
        <v>45523</v>
      </c>
      <c r="O892" s="6">
        <v>45691</v>
      </c>
      <c r="P892" s="7" t="s">
        <v>3167</v>
      </c>
      <c r="Q892" s="5">
        <v>77</v>
      </c>
      <c r="R892" s="10">
        <f t="shared" si="67"/>
        <v>539</v>
      </c>
      <c r="S892" s="5">
        <v>58</v>
      </c>
      <c r="T892" s="5" t="s">
        <v>27</v>
      </c>
      <c r="U892" s="11">
        <f t="shared" si="69"/>
        <v>42</v>
      </c>
    </row>
    <row r="893" spans="1:21" ht="16" x14ac:dyDescent="0.4">
      <c r="A893" s="2" t="s">
        <v>3168</v>
      </c>
      <c r="B893" s="3" t="s">
        <v>801</v>
      </c>
      <c r="C893" s="28" t="s">
        <v>133</v>
      </c>
      <c r="D893" s="2" t="s">
        <v>3169</v>
      </c>
      <c r="E893" s="4" t="s">
        <v>1151</v>
      </c>
      <c r="F893" s="5">
        <v>64</v>
      </c>
      <c r="G893" s="5">
        <v>1</v>
      </c>
      <c r="H893" s="5">
        <v>92</v>
      </c>
      <c r="I893" s="10">
        <v>10</v>
      </c>
      <c r="J893" s="11">
        <f t="shared" si="68"/>
        <v>640</v>
      </c>
      <c r="K893" s="12" t="str">
        <f t="shared" si="65"/>
        <v>Stock_Sufficient</v>
      </c>
      <c r="L893" s="12">
        <f t="shared" si="66"/>
        <v>920</v>
      </c>
      <c r="M893" s="6">
        <v>45387</v>
      </c>
      <c r="N893" s="6">
        <v>45405</v>
      </c>
      <c r="O893" s="6">
        <v>45681</v>
      </c>
      <c r="P893" s="7" t="s">
        <v>3170</v>
      </c>
      <c r="Q893" s="5">
        <v>49</v>
      </c>
      <c r="R893" s="10">
        <f t="shared" si="67"/>
        <v>490</v>
      </c>
      <c r="S893" s="5">
        <v>15</v>
      </c>
      <c r="T893" s="5" t="s">
        <v>45</v>
      </c>
      <c r="U893" s="11">
        <f t="shared" si="69"/>
        <v>-150</v>
      </c>
    </row>
    <row r="894" spans="1:21" ht="16" x14ac:dyDescent="0.4">
      <c r="A894" s="2" t="s">
        <v>3171</v>
      </c>
      <c r="B894" s="3" t="s">
        <v>1539</v>
      </c>
      <c r="C894" s="28" t="s">
        <v>59</v>
      </c>
      <c r="D894" s="2" t="s">
        <v>3172</v>
      </c>
      <c r="E894" s="4" t="s">
        <v>254</v>
      </c>
      <c r="F894" s="5">
        <v>89</v>
      </c>
      <c r="G894" s="5">
        <v>79</v>
      </c>
      <c r="H894" s="5">
        <v>66</v>
      </c>
      <c r="I894" s="10">
        <v>5</v>
      </c>
      <c r="J894" s="11">
        <f t="shared" si="68"/>
        <v>445</v>
      </c>
      <c r="K894" s="12" t="str">
        <f t="shared" si="65"/>
        <v>Stock_Sufficient</v>
      </c>
      <c r="L894" s="12">
        <f t="shared" si="66"/>
        <v>330</v>
      </c>
      <c r="M894" s="6">
        <v>45504</v>
      </c>
      <c r="N894" s="6">
        <v>45646</v>
      </c>
      <c r="O894" s="6">
        <v>45582</v>
      </c>
      <c r="P894" s="7" t="s">
        <v>3173</v>
      </c>
      <c r="Q894" s="5">
        <v>91</v>
      </c>
      <c r="R894" s="10">
        <f t="shared" si="67"/>
        <v>455</v>
      </c>
      <c r="S894" s="5">
        <v>31</v>
      </c>
      <c r="T894" s="5" t="s">
        <v>27</v>
      </c>
      <c r="U894" s="11">
        <f t="shared" si="69"/>
        <v>10</v>
      </c>
    </row>
    <row r="895" spans="1:21" ht="16" x14ac:dyDescent="0.4">
      <c r="A895" s="2" t="s">
        <v>3174</v>
      </c>
      <c r="B895" s="3" t="s">
        <v>738</v>
      </c>
      <c r="C895" s="28" t="s">
        <v>59</v>
      </c>
      <c r="D895" s="2" t="s">
        <v>3175</v>
      </c>
      <c r="E895" s="4" t="s">
        <v>2596</v>
      </c>
      <c r="F895" s="5">
        <v>50</v>
      </c>
      <c r="G895" s="5">
        <v>36</v>
      </c>
      <c r="H895" s="5">
        <v>96</v>
      </c>
      <c r="I895" s="10">
        <v>6.5</v>
      </c>
      <c r="J895" s="11">
        <f t="shared" si="68"/>
        <v>325</v>
      </c>
      <c r="K895" s="12" t="str">
        <f t="shared" si="65"/>
        <v>Stock_Sufficient</v>
      </c>
      <c r="L895" s="12">
        <f t="shared" si="66"/>
        <v>624</v>
      </c>
      <c r="M895" s="6">
        <v>45638</v>
      </c>
      <c r="N895" s="6">
        <v>45516</v>
      </c>
      <c r="O895" s="6">
        <v>45474</v>
      </c>
      <c r="P895" s="7" t="s">
        <v>3176</v>
      </c>
      <c r="Q895" s="5">
        <v>53</v>
      </c>
      <c r="R895" s="10">
        <f t="shared" si="67"/>
        <v>344.5</v>
      </c>
      <c r="S895" s="5">
        <v>73</v>
      </c>
      <c r="T895" s="5" t="s">
        <v>39</v>
      </c>
      <c r="U895" s="11">
        <f t="shared" si="69"/>
        <v>19.5</v>
      </c>
    </row>
    <row r="896" spans="1:21" ht="16" x14ac:dyDescent="0.4">
      <c r="A896" s="2" t="s">
        <v>3177</v>
      </c>
      <c r="B896" s="3" t="s">
        <v>225</v>
      </c>
      <c r="C896" s="28" t="s">
        <v>48</v>
      </c>
      <c r="D896" s="2" t="s">
        <v>3178</v>
      </c>
      <c r="E896" s="4" t="s">
        <v>1606</v>
      </c>
      <c r="F896" s="5">
        <v>53</v>
      </c>
      <c r="G896" s="5">
        <v>98</v>
      </c>
      <c r="H896" s="5">
        <v>23</v>
      </c>
      <c r="I896" s="10">
        <v>5</v>
      </c>
      <c r="J896" s="11">
        <f t="shared" si="68"/>
        <v>265</v>
      </c>
      <c r="K896" s="12" t="str">
        <f t="shared" si="65"/>
        <v>Low Stock_Reorder Needed</v>
      </c>
      <c r="L896" s="12">
        <f t="shared" si="66"/>
        <v>115</v>
      </c>
      <c r="M896" s="6">
        <v>45712</v>
      </c>
      <c r="N896" s="6">
        <v>45477</v>
      </c>
      <c r="O896" s="6">
        <v>45564</v>
      </c>
      <c r="P896" s="7" t="s">
        <v>3179</v>
      </c>
      <c r="Q896" s="5">
        <v>41</v>
      </c>
      <c r="R896" s="10">
        <f t="shared" si="67"/>
        <v>205</v>
      </c>
      <c r="S896" s="5">
        <v>84</v>
      </c>
      <c r="T896" s="5" t="s">
        <v>39</v>
      </c>
      <c r="U896" s="11">
        <f t="shared" si="69"/>
        <v>-60</v>
      </c>
    </row>
    <row r="897" spans="1:21" ht="16" x14ac:dyDescent="0.4">
      <c r="A897" s="2" t="s">
        <v>3180</v>
      </c>
      <c r="B897" s="3" t="s">
        <v>197</v>
      </c>
      <c r="C897" s="28" t="s">
        <v>133</v>
      </c>
      <c r="D897" s="2" t="s">
        <v>3181</v>
      </c>
      <c r="E897" s="4" t="s">
        <v>2655</v>
      </c>
      <c r="F897" s="5">
        <v>19</v>
      </c>
      <c r="G897" s="5">
        <v>99</v>
      </c>
      <c r="H897" s="5">
        <v>78</v>
      </c>
      <c r="I897" s="10">
        <v>9</v>
      </c>
      <c r="J897" s="11">
        <f t="shared" si="68"/>
        <v>171</v>
      </c>
      <c r="K897" s="12" t="str">
        <f t="shared" si="65"/>
        <v>Low Stock_Reorder Needed</v>
      </c>
      <c r="L897" s="12">
        <f t="shared" si="66"/>
        <v>702</v>
      </c>
      <c r="M897" s="6">
        <v>45617</v>
      </c>
      <c r="N897" s="6">
        <v>45705</v>
      </c>
      <c r="O897" s="6">
        <v>45656</v>
      </c>
      <c r="P897" s="7" t="s">
        <v>3182</v>
      </c>
      <c r="Q897" s="5">
        <v>29</v>
      </c>
      <c r="R897" s="10">
        <f t="shared" si="67"/>
        <v>261</v>
      </c>
      <c r="S897" s="5">
        <v>54</v>
      </c>
      <c r="T897" s="5" t="s">
        <v>27</v>
      </c>
      <c r="U897" s="11">
        <f t="shared" si="69"/>
        <v>90</v>
      </c>
    </row>
    <row r="898" spans="1:21" ht="16" x14ac:dyDescent="0.4">
      <c r="A898" s="2" t="s">
        <v>3183</v>
      </c>
      <c r="B898" s="3" t="s">
        <v>350</v>
      </c>
      <c r="C898" s="28" t="s">
        <v>48</v>
      </c>
      <c r="D898" s="2" t="s">
        <v>3184</v>
      </c>
      <c r="E898" s="4" t="s">
        <v>1596</v>
      </c>
      <c r="F898" s="5">
        <v>89</v>
      </c>
      <c r="G898" s="5">
        <v>40</v>
      </c>
      <c r="H898" s="5">
        <v>64</v>
      </c>
      <c r="I898" s="10">
        <v>4</v>
      </c>
      <c r="J898" s="11">
        <f t="shared" si="68"/>
        <v>356</v>
      </c>
      <c r="K898" s="12" t="str">
        <f t="shared" ref="K898:K961" si="70">IF(F898&lt;=G898,"Low Stock_Reorder Needed","Stock_Sufficient")</f>
        <v>Stock_Sufficient</v>
      </c>
      <c r="L898" s="12">
        <f t="shared" ref="L898:L961" si="71">H898*I898</f>
        <v>256</v>
      </c>
      <c r="M898" s="6">
        <v>45581</v>
      </c>
      <c r="N898" s="6">
        <v>45700</v>
      </c>
      <c r="O898" s="6">
        <v>45554</v>
      </c>
      <c r="P898" s="7" t="s">
        <v>3185</v>
      </c>
      <c r="Q898" s="5">
        <v>93</v>
      </c>
      <c r="R898" s="10">
        <f t="shared" ref="R898:R961" si="72">Q898*I898</f>
        <v>372</v>
      </c>
      <c r="S898" s="5">
        <v>48</v>
      </c>
      <c r="T898" s="5" t="s">
        <v>45</v>
      </c>
      <c r="U898" s="11">
        <f t="shared" si="69"/>
        <v>16</v>
      </c>
    </row>
    <row r="899" spans="1:21" ht="16" x14ac:dyDescent="0.4">
      <c r="A899" s="2" t="s">
        <v>3186</v>
      </c>
      <c r="B899" s="3" t="s">
        <v>533</v>
      </c>
      <c r="C899" s="28" t="s">
        <v>133</v>
      </c>
      <c r="D899" s="2" t="s">
        <v>3187</v>
      </c>
      <c r="E899" s="4" t="s">
        <v>272</v>
      </c>
      <c r="F899" s="5">
        <v>96</v>
      </c>
      <c r="G899" s="5">
        <v>12</v>
      </c>
      <c r="H899" s="5">
        <v>8</v>
      </c>
      <c r="I899" s="10">
        <v>8</v>
      </c>
      <c r="J899" s="11">
        <f t="shared" ref="J899:J962" si="73">I899*F899</f>
        <v>768</v>
      </c>
      <c r="K899" s="12" t="str">
        <f t="shared" si="70"/>
        <v>Stock_Sufficient</v>
      </c>
      <c r="L899" s="12">
        <f t="shared" si="71"/>
        <v>64</v>
      </c>
      <c r="M899" s="6">
        <v>45423</v>
      </c>
      <c r="N899" s="6">
        <v>45436</v>
      </c>
      <c r="O899" s="6">
        <v>45524</v>
      </c>
      <c r="P899" s="7" t="s">
        <v>3188</v>
      </c>
      <c r="Q899" s="5">
        <v>97</v>
      </c>
      <c r="R899" s="10">
        <f t="shared" si="72"/>
        <v>776</v>
      </c>
      <c r="S899" s="5">
        <v>92</v>
      </c>
      <c r="T899" s="5" t="s">
        <v>45</v>
      </c>
      <c r="U899" s="11">
        <f t="shared" ref="U899:U962" si="74">R899-J899</f>
        <v>8</v>
      </c>
    </row>
    <row r="900" spans="1:21" ht="16" x14ac:dyDescent="0.4">
      <c r="A900" s="2" t="s">
        <v>3189</v>
      </c>
      <c r="B900" s="3" t="s">
        <v>148</v>
      </c>
      <c r="C900" s="28" t="s">
        <v>65</v>
      </c>
      <c r="D900" s="2" t="s">
        <v>3190</v>
      </c>
      <c r="E900" s="4" t="s">
        <v>3191</v>
      </c>
      <c r="F900" s="5">
        <v>52</v>
      </c>
      <c r="G900" s="5">
        <v>56</v>
      </c>
      <c r="H900" s="5">
        <v>34</v>
      </c>
      <c r="I900" s="10">
        <v>12</v>
      </c>
      <c r="J900" s="11">
        <f t="shared" si="73"/>
        <v>624</v>
      </c>
      <c r="K900" s="12" t="str">
        <f t="shared" si="70"/>
        <v>Low Stock_Reorder Needed</v>
      </c>
      <c r="L900" s="12">
        <f t="shared" si="71"/>
        <v>408</v>
      </c>
      <c r="M900" s="6">
        <v>45562</v>
      </c>
      <c r="N900" s="6">
        <v>45569</v>
      </c>
      <c r="O900" s="6">
        <v>45501</v>
      </c>
      <c r="P900" s="7" t="s">
        <v>3192</v>
      </c>
      <c r="Q900" s="5">
        <v>31</v>
      </c>
      <c r="R900" s="10">
        <f t="shared" si="72"/>
        <v>372</v>
      </c>
      <c r="S900" s="5">
        <v>69</v>
      </c>
      <c r="T900" s="5" t="s">
        <v>39</v>
      </c>
      <c r="U900" s="11">
        <f t="shared" si="74"/>
        <v>-252</v>
      </c>
    </row>
    <row r="901" spans="1:21" ht="16" x14ac:dyDescent="0.4">
      <c r="A901" s="2" t="s">
        <v>3193</v>
      </c>
      <c r="B901" s="3" t="s">
        <v>738</v>
      </c>
      <c r="C901" s="28" t="s">
        <v>59</v>
      </c>
      <c r="D901" s="2" t="s">
        <v>3194</v>
      </c>
      <c r="E901" s="4" t="s">
        <v>1687</v>
      </c>
      <c r="F901" s="5">
        <v>97</v>
      </c>
      <c r="G901" s="5">
        <v>20</v>
      </c>
      <c r="H901" s="5">
        <v>8</v>
      </c>
      <c r="I901" s="10">
        <v>6.5</v>
      </c>
      <c r="J901" s="11">
        <f t="shared" si="73"/>
        <v>630.5</v>
      </c>
      <c r="K901" s="12" t="str">
        <f t="shared" si="70"/>
        <v>Stock_Sufficient</v>
      </c>
      <c r="L901" s="12">
        <f t="shared" si="71"/>
        <v>52</v>
      </c>
      <c r="M901" s="6">
        <v>45459</v>
      </c>
      <c r="N901" s="6">
        <v>45602</v>
      </c>
      <c r="O901" s="6">
        <v>45605</v>
      </c>
      <c r="P901" s="7" t="s">
        <v>3195</v>
      </c>
      <c r="Q901" s="5">
        <v>51</v>
      </c>
      <c r="R901" s="10">
        <f t="shared" si="72"/>
        <v>331.5</v>
      </c>
      <c r="S901" s="5">
        <v>51</v>
      </c>
      <c r="T901" s="5" t="s">
        <v>45</v>
      </c>
      <c r="U901" s="11">
        <f t="shared" si="74"/>
        <v>-299</v>
      </c>
    </row>
    <row r="902" spans="1:21" ht="16" x14ac:dyDescent="0.4">
      <c r="A902" s="2" t="s">
        <v>3196</v>
      </c>
      <c r="B902" s="3" t="s">
        <v>1167</v>
      </c>
      <c r="C902" s="28" t="s">
        <v>133</v>
      </c>
      <c r="D902" s="2" t="s">
        <v>3197</v>
      </c>
      <c r="E902" s="4" t="s">
        <v>1440</v>
      </c>
      <c r="F902" s="5">
        <v>88</v>
      </c>
      <c r="G902" s="5">
        <v>42</v>
      </c>
      <c r="H902" s="5">
        <v>68</v>
      </c>
      <c r="I902" s="10">
        <v>20</v>
      </c>
      <c r="J902" s="11">
        <f t="shared" si="73"/>
        <v>1760</v>
      </c>
      <c r="K902" s="12" t="str">
        <f t="shared" si="70"/>
        <v>Stock_Sufficient</v>
      </c>
      <c r="L902" s="12">
        <f t="shared" si="71"/>
        <v>1360</v>
      </c>
      <c r="M902" s="6">
        <v>45466</v>
      </c>
      <c r="N902" s="6">
        <v>45625</v>
      </c>
      <c r="O902" s="6">
        <v>45391</v>
      </c>
      <c r="P902" s="7" t="s">
        <v>3198</v>
      </c>
      <c r="Q902" s="5">
        <v>92</v>
      </c>
      <c r="R902" s="10">
        <f t="shared" si="72"/>
        <v>1840</v>
      </c>
      <c r="S902" s="5">
        <v>29</v>
      </c>
      <c r="T902" s="5" t="s">
        <v>45</v>
      </c>
      <c r="U902" s="11">
        <f t="shared" si="74"/>
        <v>80</v>
      </c>
    </row>
    <row r="903" spans="1:21" ht="16" x14ac:dyDescent="0.4">
      <c r="A903" s="2" t="s">
        <v>3199</v>
      </c>
      <c r="B903" s="3" t="s">
        <v>468</v>
      </c>
      <c r="C903" s="28" t="s">
        <v>23</v>
      </c>
      <c r="D903" s="2" t="s">
        <v>3200</v>
      </c>
      <c r="E903" s="4" t="s">
        <v>2521</v>
      </c>
      <c r="F903" s="5">
        <v>33</v>
      </c>
      <c r="G903" s="5">
        <v>44</v>
      </c>
      <c r="H903" s="5">
        <v>89</v>
      </c>
      <c r="I903" s="10">
        <v>4.75</v>
      </c>
      <c r="J903" s="11">
        <f t="shared" si="73"/>
        <v>156.75</v>
      </c>
      <c r="K903" s="12" t="str">
        <f t="shared" si="70"/>
        <v>Low Stock_Reorder Needed</v>
      </c>
      <c r="L903" s="12">
        <f t="shared" si="71"/>
        <v>422.75</v>
      </c>
      <c r="M903" s="6">
        <v>45366</v>
      </c>
      <c r="N903" s="6">
        <v>45540</v>
      </c>
      <c r="O903" s="6">
        <v>45399</v>
      </c>
      <c r="P903" s="7" t="s">
        <v>3201</v>
      </c>
      <c r="Q903" s="5">
        <v>93</v>
      </c>
      <c r="R903" s="10">
        <f t="shared" si="72"/>
        <v>441.75</v>
      </c>
      <c r="S903" s="5">
        <v>19</v>
      </c>
      <c r="T903" s="5" t="s">
        <v>27</v>
      </c>
      <c r="U903" s="11">
        <f t="shared" si="74"/>
        <v>285</v>
      </c>
    </row>
    <row r="904" spans="1:21" ht="16" x14ac:dyDescent="0.4">
      <c r="A904" s="2" t="s">
        <v>3202</v>
      </c>
      <c r="B904" s="3" t="s">
        <v>468</v>
      </c>
      <c r="C904" s="28" t="s">
        <v>23</v>
      </c>
      <c r="D904" s="2" t="s">
        <v>3203</v>
      </c>
      <c r="E904" s="4" t="s">
        <v>272</v>
      </c>
      <c r="F904" s="5">
        <v>98</v>
      </c>
      <c r="G904" s="5">
        <v>20</v>
      </c>
      <c r="H904" s="5">
        <v>81</v>
      </c>
      <c r="I904" s="10">
        <v>4.75</v>
      </c>
      <c r="J904" s="11">
        <f t="shared" si="73"/>
        <v>465.5</v>
      </c>
      <c r="K904" s="12" t="str">
        <f t="shared" si="70"/>
        <v>Stock_Sufficient</v>
      </c>
      <c r="L904" s="12">
        <f t="shared" si="71"/>
        <v>384.75</v>
      </c>
      <c r="M904" s="6">
        <v>45518</v>
      </c>
      <c r="N904" s="6">
        <v>45483</v>
      </c>
      <c r="O904" s="6">
        <v>45656</v>
      </c>
      <c r="P904" s="7" t="s">
        <v>3204</v>
      </c>
      <c r="Q904" s="5">
        <v>51</v>
      </c>
      <c r="R904" s="10">
        <f t="shared" si="72"/>
        <v>242.25</v>
      </c>
      <c r="S904" s="5">
        <v>23</v>
      </c>
      <c r="T904" s="5" t="s">
        <v>39</v>
      </c>
      <c r="U904" s="11">
        <f t="shared" si="74"/>
        <v>-223.25</v>
      </c>
    </row>
    <row r="905" spans="1:21" ht="16" x14ac:dyDescent="0.4">
      <c r="A905" s="2" t="s">
        <v>3205</v>
      </c>
      <c r="B905" s="3" t="s">
        <v>555</v>
      </c>
      <c r="C905" s="28" t="s">
        <v>48</v>
      </c>
      <c r="D905" s="2" t="s">
        <v>3206</v>
      </c>
      <c r="E905" s="4" t="s">
        <v>418</v>
      </c>
      <c r="F905" s="5">
        <v>45</v>
      </c>
      <c r="G905" s="5">
        <v>79</v>
      </c>
      <c r="H905" s="5">
        <v>95</v>
      </c>
      <c r="I905" s="10">
        <v>4</v>
      </c>
      <c r="J905" s="11">
        <f t="shared" si="73"/>
        <v>180</v>
      </c>
      <c r="K905" s="12" t="str">
        <f t="shared" si="70"/>
        <v>Low Stock_Reorder Needed</v>
      </c>
      <c r="L905" s="12">
        <f t="shared" si="71"/>
        <v>380</v>
      </c>
      <c r="M905" s="6">
        <v>45632</v>
      </c>
      <c r="N905" s="6">
        <v>45469</v>
      </c>
      <c r="O905" s="6">
        <v>45611</v>
      </c>
      <c r="P905" s="7" t="s">
        <v>3207</v>
      </c>
      <c r="Q905" s="5">
        <v>84</v>
      </c>
      <c r="R905" s="10">
        <f t="shared" si="72"/>
        <v>336</v>
      </c>
      <c r="S905" s="5">
        <v>62</v>
      </c>
      <c r="T905" s="5" t="s">
        <v>39</v>
      </c>
      <c r="U905" s="11">
        <f t="shared" si="74"/>
        <v>156</v>
      </c>
    </row>
    <row r="906" spans="1:21" ht="16" x14ac:dyDescent="0.4">
      <c r="A906" s="2" t="s">
        <v>3208</v>
      </c>
      <c r="B906" s="3" t="s">
        <v>590</v>
      </c>
      <c r="C906" s="28" t="s">
        <v>23</v>
      </c>
      <c r="D906" s="2" t="s">
        <v>3209</v>
      </c>
      <c r="E906" s="4" t="s">
        <v>2269</v>
      </c>
      <c r="F906" s="5">
        <v>80</v>
      </c>
      <c r="G906" s="5">
        <v>86</v>
      </c>
      <c r="H906" s="5">
        <v>50</v>
      </c>
      <c r="I906" s="10">
        <v>1.8</v>
      </c>
      <c r="J906" s="11">
        <f t="shared" si="73"/>
        <v>144</v>
      </c>
      <c r="K906" s="12" t="str">
        <f t="shared" si="70"/>
        <v>Low Stock_Reorder Needed</v>
      </c>
      <c r="L906" s="12">
        <f t="shared" si="71"/>
        <v>90</v>
      </c>
      <c r="M906" s="6">
        <v>45417</v>
      </c>
      <c r="N906" s="6">
        <v>45495</v>
      </c>
      <c r="O906" s="6">
        <v>45712</v>
      </c>
      <c r="P906" s="7" t="s">
        <v>3210</v>
      </c>
      <c r="Q906" s="5">
        <v>46</v>
      </c>
      <c r="R906" s="10">
        <f t="shared" si="72"/>
        <v>82.8</v>
      </c>
      <c r="S906" s="5">
        <v>69</v>
      </c>
      <c r="T906" s="5" t="s">
        <v>27</v>
      </c>
      <c r="U906" s="11">
        <f t="shared" si="74"/>
        <v>-61.2</v>
      </c>
    </row>
    <row r="907" spans="1:21" ht="16" x14ac:dyDescent="0.4">
      <c r="A907" s="2" t="s">
        <v>3211</v>
      </c>
      <c r="B907" s="3" t="s">
        <v>1167</v>
      </c>
      <c r="C907" s="28" t="s">
        <v>133</v>
      </c>
      <c r="D907" s="2" t="s">
        <v>3212</v>
      </c>
      <c r="E907" s="4" t="s">
        <v>694</v>
      </c>
      <c r="F907" s="5">
        <v>68</v>
      </c>
      <c r="G907" s="5">
        <v>43</v>
      </c>
      <c r="H907" s="5">
        <v>96</v>
      </c>
      <c r="I907" s="10">
        <v>20</v>
      </c>
      <c r="J907" s="11">
        <f t="shared" si="73"/>
        <v>1360</v>
      </c>
      <c r="K907" s="12" t="str">
        <f t="shared" si="70"/>
        <v>Stock_Sufficient</v>
      </c>
      <c r="L907" s="12">
        <f t="shared" si="71"/>
        <v>1920</v>
      </c>
      <c r="M907" s="6">
        <v>45613</v>
      </c>
      <c r="N907" s="6">
        <v>45410</v>
      </c>
      <c r="O907" s="6">
        <v>45580</v>
      </c>
      <c r="P907" s="7" t="s">
        <v>3213</v>
      </c>
      <c r="Q907" s="5">
        <v>75</v>
      </c>
      <c r="R907" s="10">
        <f t="shared" si="72"/>
        <v>1500</v>
      </c>
      <c r="S907" s="5">
        <v>35</v>
      </c>
      <c r="T907" s="5" t="s">
        <v>39</v>
      </c>
      <c r="U907" s="11">
        <f t="shared" si="74"/>
        <v>140</v>
      </c>
    </row>
    <row r="908" spans="1:21" ht="16" x14ac:dyDescent="0.4">
      <c r="A908" s="2" t="s">
        <v>3214</v>
      </c>
      <c r="B908" s="3" t="s">
        <v>1185</v>
      </c>
      <c r="C908" s="28" t="s">
        <v>48</v>
      </c>
      <c r="D908" s="2" t="s">
        <v>3215</v>
      </c>
      <c r="E908" s="4" t="s">
        <v>1232</v>
      </c>
      <c r="F908" s="5">
        <v>90</v>
      </c>
      <c r="G908" s="5">
        <v>91</v>
      </c>
      <c r="H908" s="5">
        <v>62</v>
      </c>
      <c r="I908" s="10">
        <v>5</v>
      </c>
      <c r="J908" s="11">
        <f t="shared" si="73"/>
        <v>450</v>
      </c>
      <c r="K908" s="12" t="str">
        <f t="shared" si="70"/>
        <v>Low Stock_Reorder Needed</v>
      </c>
      <c r="L908" s="12">
        <f t="shared" si="71"/>
        <v>310</v>
      </c>
      <c r="M908" s="6">
        <v>45620</v>
      </c>
      <c r="N908" s="6">
        <v>45623</v>
      </c>
      <c r="O908" s="6">
        <v>45620</v>
      </c>
      <c r="P908" s="7" t="s">
        <v>3216</v>
      </c>
      <c r="Q908" s="5">
        <v>34</v>
      </c>
      <c r="R908" s="10">
        <f t="shared" si="72"/>
        <v>170</v>
      </c>
      <c r="S908" s="5">
        <v>72</v>
      </c>
      <c r="T908" s="5" t="s">
        <v>45</v>
      </c>
      <c r="U908" s="11">
        <f t="shared" si="74"/>
        <v>-280</v>
      </c>
    </row>
    <row r="909" spans="1:21" ht="16" x14ac:dyDescent="0.4">
      <c r="A909" s="2" t="s">
        <v>3217</v>
      </c>
      <c r="B909" s="3" t="s">
        <v>132</v>
      </c>
      <c r="C909" s="28" t="s">
        <v>133</v>
      </c>
      <c r="D909" s="2" t="s">
        <v>3218</v>
      </c>
      <c r="E909" s="4" t="s">
        <v>1288</v>
      </c>
      <c r="F909" s="5">
        <v>89</v>
      </c>
      <c r="G909" s="5">
        <v>67</v>
      </c>
      <c r="H909" s="5">
        <v>89</v>
      </c>
      <c r="I909" s="10">
        <v>12</v>
      </c>
      <c r="J909" s="11">
        <f t="shared" si="73"/>
        <v>1068</v>
      </c>
      <c r="K909" s="12" t="str">
        <f t="shared" si="70"/>
        <v>Stock_Sufficient</v>
      </c>
      <c r="L909" s="12">
        <f t="shared" si="71"/>
        <v>1068</v>
      </c>
      <c r="M909" s="6">
        <v>45702</v>
      </c>
      <c r="N909" s="6">
        <v>45662</v>
      </c>
      <c r="O909" s="6">
        <v>45606</v>
      </c>
      <c r="P909" s="7" t="s">
        <v>3219</v>
      </c>
      <c r="Q909" s="5">
        <v>96</v>
      </c>
      <c r="R909" s="10">
        <f t="shared" si="72"/>
        <v>1152</v>
      </c>
      <c r="S909" s="5">
        <v>42</v>
      </c>
      <c r="T909" s="5" t="s">
        <v>27</v>
      </c>
      <c r="U909" s="11">
        <f t="shared" si="74"/>
        <v>84</v>
      </c>
    </row>
    <row r="910" spans="1:21" ht="16" x14ac:dyDescent="0.4">
      <c r="A910" s="2" t="s">
        <v>3220</v>
      </c>
      <c r="B910" s="3" t="s">
        <v>177</v>
      </c>
      <c r="C910" s="28" t="s">
        <v>48</v>
      </c>
      <c r="D910" s="2" t="s">
        <v>3221</v>
      </c>
      <c r="E910" s="4" t="s">
        <v>1790</v>
      </c>
      <c r="F910" s="5">
        <v>38</v>
      </c>
      <c r="G910" s="5">
        <v>94</v>
      </c>
      <c r="H910" s="5">
        <v>87</v>
      </c>
      <c r="I910" s="10">
        <v>1.8</v>
      </c>
      <c r="J910" s="11">
        <f t="shared" si="73"/>
        <v>68.400000000000006</v>
      </c>
      <c r="K910" s="12" t="str">
        <f t="shared" si="70"/>
        <v>Low Stock_Reorder Needed</v>
      </c>
      <c r="L910" s="12">
        <f t="shared" si="71"/>
        <v>156.6</v>
      </c>
      <c r="M910" s="6">
        <v>45439</v>
      </c>
      <c r="N910" s="6">
        <v>45415</v>
      </c>
      <c r="O910" s="6">
        <v>45525</v>
      </c>
      <c r="P910" s="7" t="s">
        <v>3222</v>
      </c>
      <c r="Q910" s="5">
        <v>89</v>
      </c>
      <c r="R910" s="10">
        <f t="shared" si="72"/>
        <v>160.20000000000002</v>
      </c>
      <c r="S910" s="5">
        <v>100</v>
      </c>
      <c r="T910" s="5" t="s">
        <v>27</v>
      </c>
      <c r="U910" s="11">
        <f t="shared" si="74"/>
        <v>91.800000000000011</v>
      </c>
    </row>
    <row r="911" spans="1:21" ht="16" x14ac:dyDescent="0.4">
      <c r="A911" s="2" t="s">
        <v>3223</v>
      </c>
      <c r="B911" s="3" t="s">
        <v>138</v>
      </c>
      <c r="C911" s="28" t="s">
        <v>48</v>
      </c>
      <c r="D911" s="2" t="s">
        <v>3224</v>
      </c>
      <c r="E911" s="4" t="s">
        <v>3225</v>
      </c>
      <c r="F911" s="5">
        <v>99</v>
      </c>
      <c r="G911" s="5">
        <v>37</v>
      </c>
      <c r="H911" s="5">
        <v>74</v>
      </c>
      <c r="I911" s="10">
        <v>2.1</v>
      </c>
      <c r="J911" s="11">
        <f t="shared" si="73"/>
        <v>207.9</v>
      </c>
      <c r="K911" s="12" t="str">
        <f t="shared" si="70"/>
        <v>Stock_Sufficient</v>
      </c>
      <c r="L911" s="12">
        <f t="shared" si="71"/>
        <v>155.4</v>
      </c>
      <c r="M911" s="6">
        <v>45498</v>
      </c>
      <c r="N911" s="6">
        <v>45647</v>
      </c>
      <c r="O911" s="6">
        <v>45353</v>
      </c>
      <c r="P911" s="7" t="s">
        <v>3226</v>
      </c>
      <c r="Q911" s="5">
        <v>46</v>
      </c>
      <c r="R911" s="10">
        <f t="shared" si="72"/>
        <v>96.600000000000009</v>
      </c>
      <c r="S911" s="5">
        <v>46</v>
      </c>
      <c r="T911" s="5" t="s">
        <v>45</v>
      </c>
      <c r="U911" s="11">
        <f t="shared" si="74"/>
        <v>-111.3</v>
      </c>
    </row>
    <row r="912" spans="1:21" ht="16" x14ac:dyDescent="0.4">
      <c r="A912" s="2" t="s">
        <v>3227</v>
      </c>
      <c r="B912" s="3" t="s">
        <v>688</v>
      </c>
      <c r="C912" s="28" t="s">
        <v>23</v>
      </c>
      <c r="D912" s="2" t="s">
        <v>3228</v>
      </c>
      <c r="E912" s="4" t="s">
        <v>894</v>
      </c>
      <c r="F912" s="5">
        <v>66</v>
      </c>
      <c r="G912" s="5">
        <v>19</v>
      </c>
      <c r="H912" s="5">
        <v>20</v>
      </c>
      <c r="I912" s="10">
        <v>2.4</v>
      </c>
      <c r="J912" s="11">
        <f t="shared" si="73"/>
        <v>158.4</v>
      </c>
      <c r="K912" s="12" t="str">
        <f t="shared" si="70"/>
        <v>Stock_Sufficient</v>
      </c>
      <c r="L912" s="12">
        <f t="shared" si="71"/>
        <v>48</v>
      </c>
      <c r="M912" s="6">
        <v>45553</v>
      </c>
      <c r="N912" s="6">
        <v>45542</v>
      </c>
      <c r="O912" s="6">
        <v>45444</v>
      </c>
      <c r="P912" s="7" t="s">
        <v>3229</v>
      </c>
      <c r="Q912" s="5">
        <v>30</v>
      </c>
      <c r="R912" s="10">
        <f t="shared" si="72"/>
        <v>72</v>
      </c>
      <c r="S912" s="5">
        <v>49</v>
      </c>
      <c r="T912" s="5" t="s">
        <v>45</v>
      </c>
      <c r="U912" s="11">
        <f t="shared" si="74"/>
        <v>-86.4</v>
      </c>
    </row>
    <row r="913" spans="1:21" ht="16" x14ac:dyDescent="0.4">
      <c r="A913" s="2" t="s">
        <v>3230</v>
      </c>
      <c r="B913" s="3" t="s">
        <v>546</v>
      </c>
      <c r="C913" s="28" t="s">
        <v>48</v>
      </c>
      <c r="D913" s="2" t="s">
        <v>3231</v>
      </c>
      <c r="E913" s="4" t="s">
        <v>2121</v>
      </c>
      <c r="F913" s="5">
        <v>66</v>
      </c>
      <c r="G913" s="5">
        <v>28</v>
      </c>
      <c r="H913" s="5">
        <v>7</v>
      </c>
      <c r="I913" s="10">
        <v>6</v>
      </c>
      <c r="J913" s="11">
        <f t="shared" si="73"/>
        <v>396</v>
      </c>
      <c r="K913" s="12" t="str">
        <f t="shared" si="70"/>
        <v>Stock_Sufficient</v>
      </c>
      <c r="L913" s="12">
        <f t="shared" si="71"/>
        <v>42</v>
      </c>
      <c r="M913" s="6">
        <v>45409</v>
      </c>
      <c r="N913" s="6">
        <v>45591</v>
      </c>
      <c r="O913" s="6">
        <v>45518</v>
      </c>
      <c r="P913" s="7" t="s">
        <v>3232</v>
      </c>
      <c r="Q913" s="5">
        <v>85</v>
      </c>
      <c r="R913" s="10">
        <f t="shared" si="72"/>
        <v>510</v>
      </c>
      <c r="S913" s="5">
        <v>6</v>
      </c>
      <c r="T913" s="5" t="s">
        <v>39</v>
      </c>
      <c r="U913" s="11">
        <f t="shared" si="74"/>
        <v>114</v>
      </c>
    </row>
    <row r="914" spans="1:21" ht="16" x14ac:dyDescent="0.4">
      <c r="A914" s="2" t="s">
        <v>3233</v>
      </c>
      <c r="B914" s="3" t="s">
        <v>109</v>
      </c>
      <c r="C914" s="28" t="s">
        <v>23</v>
      </c>
      <c r="D914" s="2" t="s">
        <v>3234</v>
      </c>
      <c r="E914" s="4" t="s">
        <v>1000</v>
      </c>
      <c r="F914" s="5">
        <v>64</v>
      </c>
      <c r="G914" s="5">
        <v>11</v>
      </c>
      <c r="H914" s="5">
        <v>97</v>
      </c>
      <c r="I914" s="10">
        <v>1.5</v>
      </c>
      <c r="J914" s="11">
        <f t="shared" si="73"/>
        <v>96</v>
      </c>
      <c r="K914" s="12" t="str">
        <f t="shared" si="70"/>
        <v>Stock_Sufficient</v>
      </c>
      <c r="L914" s="12">
        <f t="shared" si="71"/>
        <v>145.5</v>
      </c>
      <c r="M914" s="6">
        <v>45652</v>
      </c>
      <c r="N914" s="6">
        <v>45644</v>
      </c>
      <c r="O914" s="6">
        <v>45478</v>
      </c>
      <c r="P914" s="7" t="s">
        <v>3235</v>
      </c>
      <c r="Q914" s="5">
        <v>33</v>
      </c>
      <c r="R914" s="10">
        <f t="shared" si="72"/>
        <v>49.5</v>
      </c>
      <c r="S914" s="5">
        <v>83</v>
      </c>
      <c r="T914" s="5" t="s">
        <v>27</v>
      </c>
      <c r="U914" s="11">
        <f t="shared" si="74"/>
        <v>-46.5</v>
      </c>
    </row>
    <row r="915" spans="1:21" ht="16" x14ac:dyDescent="0.4">
      <c r="A915" s="2" t="s">
        <v>3236</v>
      </c>
      <c r="B915" s="3" t="s">
        <v>35</v>
      </c>
      <c r="C915" s="28" t="s">
        <v>23</v>
      </c>
      <c r="D915" s="2" t="s">
        <v>3237</v>
      </c>
      <c r="E915" s="4" t="s">
        <v>2465</v>
      </c>
      <c r="F915" s="5">
        <v>18</v>
      </c>
      <c r="G915" s="5">
        <v>78</v>
      </c>
      <c r="H915" s="5">
        <v>43</v>
      </c>
      <c r="I915" s="10">
        <v>6</v>
      </c>
      <c r="J915" s="11">
        <f t="shared" si="73"/>
        <v>108</v>
      </c>
      <c r="K915" s="12" t="str">
        <f t="shared" si="70"/>
        <v>Low Stock_Reorder Needed</v>
      </c>
      <c r="L915" s="12">
        <f t="shared" si="71"/>
        <v>258</v>
      </c>
      <c r="M915" s="6">
        <v>45661</v>
      </c>
      <c r="N915" s="6">
        <v>45478</v>
      </c>
      <c r="O915" s="6">
        <v>45364</v>
      </c>
      <c r="P915" s="7" t="s">
        <v>3238</v>
      </c>
      <c r="Q915" s="5">
        <v>85</v>
      </c>
      <c r="R915" s="10">
        <f t="shared" si="72"/>
        <v>510</v>
      </c>
      <c r="S915" s="5">
        <v>97</v>
      </c>
      <c r="T915" s="5" t="s">
        <v>45</v>
      </c>
      <c r="U915" s="11">
        <f t="shared" si="74"/>
        <v>402</v>
      </c>
    </row>
    <row r="916" spans="1:21" ht="16" x14ac:dyDescent="0.4">
      <c r="A916" s="2" t="s">
        <v>3239</v>
      </c>
      <c r="B916" s="3" t="s">
        <v>772</v>
      </c>
      <c r="C916" s="28" t="s">
        <v>23</v>
      </c>
      <c r="D916" s="2" t="s">
        <v>3240</v>
      </c>
      <c r="E916" s="4" t="s">
        <v>1316</v>
      </c>
      <c r="F916" s="5">
        <v>86</v>
      </c>
      <c r="G916" s="5">
        <v>100</v>
      </c>
      <c r="H916" s="5">
        <v>78</v>
      </c>
      <c r="I916" s="10">
        <v>2.75</v>
      </c>
      <c r="J916" s="11">
        <f t="shared" si="73"/>
        <v>236.5</v>
      </c>
      <c r="K916" s="12" t="str">
        <f t="shared" si="70"/>
        <v>Low Stock_Reorder Needed</v>
      </c>
      <c r="L916" s="12">
        <f t="shared" si="71"/>
        <v>214.5</v>
      </c>
      <c r="M916" s="6">
        <v>45388</v>
      </c>
      <c r="N916" s="6">
        <v>45440</v>
      </c>
      <c r="O916" s="6">
        <v>45693</v>
      </c>
      <c r="P916" s="7" t="s">
        <v>3241</v>
      </c>
      <c r="Q916" s="5">
        <v>52</v>
      </c>
      <c r="R916" s="10">
        <f t="shared" si="72"/>
        <v>143</v>
      </c>
      <c r="S916" s="5">
        <v>91</v>
      </c>
      <c r="T916" s="5" t="s">
        <v>39</v>
      </c>
      <c r="U916" s="11">
        <f t="shared" si="74"/>
        <v>-93.5</v>
      </c>
    </row>
    <row r="917" spans="1:21" ht="16" x14ac:dyDescent="0.4">
      <c r="A917" s="2" t="s">
        <v>3242</v>
      </c>
      <c r="B917" s="3" t="s">
        <v>317</v>
      </c>
      <c r="C917" s="28" t="s">
        <v>30</v>
      </c>
      <c r="D917" s="2" t="s">
        <v>3243</v>
      </c>
      <c r="E917" s="4" t="s">
        <v>217</v>
      </c>
      <c r="F917" s="5">
        <v>35</v>
      </c>
      <c r="G917" s="5">
        <v>88</v>
      </c>
      <c r="H917" s="5">
        <v>87</v>
      </c>
      <c r="I917" s="10">
        <v>4.7</v>
      </c>
      <c r="J917" s="11">
        <f t="shared" si="73"/>
        <v>164.5</v>
      </c>
      <c r="K917" s="12" t="str">
        <f t="shared" si="70"/>
        <v>Low Stock_Reorder Needed</v>
      </c>
      <c r="L917" s="12">
        <f t="shared" si="71"/>
        <v>408.90000000000003</v>
      </c>
      <c r="M917" s="6">
        <v>45387</v>
      </c>
      <c r="N917" s="6">
        <v>45577</v>
      </c>
      <c r="O917" s="6">
        <v>45617</v>
      </c>
      <c r="P917" s="7" t="s">
        <v>3244</v>
      </c>
      <c r="Q917" s="5">
        <v>39</v>
      </c>
      <c r="R917" s="10">
        <f t="shared" si="72"/>
        <v>183.3</v>
      </c>
      <c r="S917" s="5">
        <v>62</v>
      </c>
      <c r="T917" s="5" t="s">
        <v>45</v>
      </c>
      <c r="U917" s="11">
        <f t="shared" si="74"/>
        <v>18.800000000000011</v>
      </c>
    </row>
    <row r="918" spans="1:21" ht="16" x14ac:dyDescent="0.4">
      <c r="A918" s="2" t="s">
        <v>3245</v>
      </c>
      <c r="B918" s="3" t="s">
        <v>138</v>
      </c>
      <c r="C918" s="28" t="s">
        <v>48</v>
      </c>
      <c r="D918" s="2" t="s">
        <v>3246</v>
      </c>
      <c r="E918" s="4" t="s">
        <v>963</v>
      </c>
      <c r="F918" s="5">
        <v>26</v>
      </c>
      <c r="G918" s="5">
        <v>70</v>
      </c>
      <c r="H918" s="5">
        <v>52</v>
      </c>
      <c r="I918" s="10">
        <v>2</v>
      </c>
      <c r="J918" s="11">
        <f t="shared" si="73"/>
        <v>52</v>
      </c>
      <c r="K918" s="12" t="str">
        <f t="shared" si="70"/>
        <v>Low Stock_Reorder Needed</v>
      </c>
      <c r="L918" s="12">
        <f t="shared" si="71"/>
        <v>104</v>
      </c>
      <c r="M918" s="6">
        <v>45542</v>
      </c>
      <c r="N918" s="6">
        <v>45361</v>
      </c>
      <c r="O918" s="6">
        <v>45599</v>
      </c>
      <c r="P918" s="7" t="s">
        <v>3247</v>
      </c>
      <c r="Q918" s="5">
        <v>36</v>
      </c>
      <c r="R918" s="10">
        <f t="shared" si="72"/>
        <v>72</v>
      </c>
      <c r="S918" s="5">
        <v>10</v>
      </c>
      <c r="T918" s="5" t="s">
        <v>27</v>
      </c>
      <c r="U918" s="11">
        <f t="shared" si="74"/>
        <v>20</v>
      </c>
    </row>
    <row r="919" spans="1:21" ht="16" x14ac:dyDescent="0.4">
      <c r="A919" s="2" t="s">
        <v>3248</v>
      </c>
      <c r="B919" s="3" t="s">
        <v>148</v>
      </c>
      <c r="C919" s="28" t="s">
        <v>65</v>
      </c>
      <c r="D919" s="2" t="s">
        <v>3249</v>
      </c>
      <c r="E919" s="4" t="s">
        <v>165</v>
      </c>
      <c r="F919" s="5">
        <v>80</v>
      </c>
      <c r="G919" s="5">
        <v>100</v>
      </c>
      <c r="H919" s="5">
        <v>48</v>
      </c>
      <c r="I919" s="10">
        <v>12</v>
      </c>
      <c r="J919" s="11">
        <f t="shared" si="73"/>
        <v>960</v>
      </c>
      <c r="K919" s="12" t="str">
        <f t="shared" si="70"/>
        <v>Low Stock_Reorder Needed</v>
      </c>
      <c r="L919" s="12">
        <f t="shared" si="71"/>
        <v>576</v>
      </c>
      <c r="M919" s="6">
        <v>45522</v>
      </c>
      <c r="N919" s="6">
        <v>45577</v>
      </c>
      <c r="O919" s="6">
        <v>45388</v>
      </c>
      <c r="P919" s="7" t="s">
        <v>3250</v>
      </c>
      <c r="Q919" s="5">
        <v>100</v>
      </c>
      <c r="R919" s="10">
        <f t="shared" si="72"/>
        <v>1200</v>
      </c>
      <c r="S919" s="5">
        <v>28</v>
      </c>
      <c r="T919" s="5" t="s">
        <v>39</v>
      </c>
      <c r="U919" s="11">
        <f t="shared" si="74"/>
        <v>240</v>
      </c>
    </row>
    <row r="920" spans="1:21" ht="16" x14ac:dyDescent="0.4">
      <c r="A920" s="2" t="s">
        <v>3251</v>
      </c>
      <c r="B920" s="3" t="s">
        <v>215</v>
      </c>
      <c r="C920" s="28" t="s">
        <v>48</v>
      </c>
      <c r="D920" s="2" t="s">
        <v>3252</v>
      </c>
      <c r="E920" s="4" t="s">
        <v>758</v>
      </c>
      <c r="F920" s="5">
        <v>63</v>
      </c>
      <c r="G920" s="5">
        <v>56</v>
      </c>
      <c r="H920" s="5">
        <v>33</v>
      </c>
      <c r="I920" s="10">
        <v>2.5</v>
      </c>
      <c r="J920" s="11">
        <f t="shared" si="73"/>
        <v>157.5</v>
      </c>
      <c r="K920" s="12" t="str">
        <f t="shared" si="70"/>
        <v>Stock_Sufficient</v>
      </c>
      <c r="L920" s="12">
        <f t="shared" si="71"/>
        <v>82.5</v>
      </c>
      <c r="M920" s="6">
        <v>45666</v>
      </c>
      <c r="N920" s="6">
        <v>45450</v>
      </c>
      <c r="O920" s="6">
        <v>45581</v>
      </c>
      <c r="P920" s="7" t="s">
        <v>3253</v>
      </c>
      <c r="Q920" s="5">
        <v>35</v>
      </c>
      <c r="R920" s="10">
        <f t="shared" si="72"/>
        <v>87.5</v>
      </c>
      <c r="S920" s="5">
        <v>16</v>
      </c>
      <c r="T920" s="5" t="s">
        <v>39</v>
      </c>
      <c r="U920" s="11">
        <f t="shared" si="74"/>
        <v>-70</v>
      </c>
    </row>
    <row r="921" spans="1:21" ht="16" x14ac:dyDescent="0.4">
      <c r="A921" s="2" t="s">
        <v>3254</v>
      </c>
      <c r="B921" s="3" t="s">
        <v>1434</v>
      </c>
      <c r="C921" s="28" t="s">
        <v>90</v>
      </c>
      <c r="D921" s="2" t="s">
        <v>3255</v>
      </c>
      <c r="E921" s="4" t="s">
        <v>400</v>
      </c>
      <c r="F921" s="5">
        <v>89</v>
      </c>
      <c r="G921" s="5">
        <v>22</v>
      </c>
      <c r="H921" s="5">
        <v>23</v>
      </c>
      <c r="I921" s="10">
        <v>5.5</v>
      </c>
      <c r="J921" s="11">
        <f t="shared" si="73"/>
        <v>489.5</v>
      </c>
      <c r="K921" s="12" t="str">
        <f t="shared" si="70"/>
        <v>Stock_Sufficient</v>
      </c>
      <c r="L921" s="12">
        <f t="shared" si="71"/>
        <v>126.5</v>
      </c>
      <c r="M921" s="6">
        <v>45424</v>
      </c>
      <c r="N921" s="6">
        <v>45468</v>
      </c>
      <c r="O921" s="6">
        <v>45518</v>
      </c>
      <c r="P921" s="7" t="s">
        <v>3256</v>
      </c>
      <c r="Q921" s="5">
        <v>83</v>
      </c>
      <c r="R921" s="10">
        <f t="shared" si="72"/>
        <v>456.5</v>
      </c>
      <c r="S921" s="5">
        <v>25</v>
      </c>
      <c r="T921" s="5" t="s">
        <v>27</v>
      </c>
      <c r="U921" s="11">
        <f t="shared" si="74"/>
        <v>-33</v>
      </c>
    </row>
    <row r="922" spans="1:21" ht="16" x14ac:dyDescent="0.4">
      <c r="A922" s="2" t="s">
        <v>3257</v>
      </c>
      <c r="B922" s="3" t="s">
        <v>1532</v>
      </c>
      <c r="C922" s="28" t="s">
        <v>48</v>
      </c>
      <c r="D922" s="2" t="s">
        <v>3258</v>
      </c>
      <c r="E922" s="4" t="s">
        <v>2596</v>
      </c>
      <c r="F922" s="5">
        <v>80</v>
      </c>
      <c r="G922" s="5">
        <v>60</v>
      </c>
      <c r="H922" s="5">
        <v>71</v>
      </c>
      <c r="I922" s="10">
        <v>2</v>
      </c>
      <c r="J922" s="11">
        <f t="shared" si="73"/>
        <v>160</v>
      </c>
      <c r="K922" s="12" t="str">
        <f t="shared" si="70"/>
        <v>Stock_Sufficient</v>
      </c>
      <c r="L922" s="12">
        <f t="shared" si="71"/>
        <v>142</v>
      </c>
      <c r="M922" s="6">
        <v>45573</v>
      </c>
      <c r="N922" s="6">
        <v>45458</v>
      </c>
      <c r="O922" s="6">
        <v>45521</v>
      </c>
      <c r="P922" s="7" t="s">
        <v>3259</v>
      </c>
      <c r="Q922" s="5">
        <v>98</v>
      </c>
      <c r="R922" s="10">
        <f t="shared" si="72"/>
        <v>196</v>
      </c>
      <c r="S922" s="5">
        <v>13</v>
      </c>
      <c r="T922" s="5" t="s">
        <v>45</v>
      </c>
      <c r="U922" s="11">
        <f t="shared" si="74"/>
        <v>36</v>
      </c>
    </row>
    <row r="923" spans="1:21" ht="16" x14ac:dyDescent="0.4">
      <c r="A923" s="2" t="s">
        <v>3260</v>
      </c>
      <c r="B923" s="3" t="s">
        <v>711</v>
      </c>
      <c r="C923" s="28" t="s">
        <v>59</v>
      </c>
      <c r="D923" s="2" t="s">
        <v>3261</v>
      </c>
      <c r="E923" s="4" t="s">
        <v>371</v>
      </c>
      <c r="F923" s="5">
        <v>41</v>
      </c>
      <c r="G923" s="5">
        <v>66</v>
      </c>
      <c r="H923" s="5">
        <v>50</v>
      </c>
      <c r="I923" s="10">
        <v>2</v>
      </c>
      <c r="J923" s="11">
        <f t="shared" si="73"/>
        <v>82</v>
      </c>
      <c r="K923" s="12" t="str">
        <f t="shared" si="70"/>
        <v>Low Stock_Reorder Needed</v>
      </c>
      <c r="L923" s="12">
        <f t="shared" si="71"/>
        <v>100</v>
      </c>
      <c r="M923" s="6">
        <v>45706</v>
      </c>
      <c r="N923" s="6">
        <v>45503</v>
      </c>
      <c r="O923" s="6">
        <v>45367</v>
      </c>
      <c r="P923" s="7" t="s">
        <v>3262</v>
      </c>
      <c r="Q923" s="5">
        <v>55</v>
      </c>
      <c r="R923" s="10">
        <f t="shared" si="72"/>
        <v>110</v>
      </c>
      <c r="S923" s="5">
        <v>74</v>
      </c>
      <c r="T923" s="5" t="s">
        <v>39</v>
      </c>
      <c r="U923" s="11">
        <f t="shared" si="74"/>
        <v>28</v>
      </c>
    </row>
    <row r="924" spans="1:21" ht="16" x14ac:dyDescent="0.4">
      <c r="A924" s="2" t="s">
        <v>3263</v>
      </c>
      <c r="B924" s="3" t="s">
        <v>446</v>
      </c>
      <c r="C924" s="28" t="s">
        <v>90</v>
      </c>
      <c r="D924" s="2" t="s">
        <v>3264</v>
      </c>
      <c r="E924" s="4" t="s">
        <v>3265</v>
      </c>
      <c r="F924" s="5">
        <v>53</v>
      </c>
      <c r="G924" s="5">
        <v>19</v>
      </c>
      <c r="H924" s="5">
        <v>94</v>
      </c>
      <c r="I924" s="10">
        <v>5</v>
      </c>
      <c r="J924" s="11">
        <f t="shared" si="73"/>
        <v>265</v>
      </c>
      <c r="K924" s="12" t="str">
        <f t="shared" si="70"/>
        <v>Stock_Sufficient</v>
      </c>
      <c r="L924" s="12">
        <f t="shared" si="71"/>
        <v>470</v>
      </c>
      <c r="M924" s="6">
        <v>45380</v>
      </c>
      <c r="N924" s="6">
        <v>45608</v>
      </c>
      <c r="O924" s="6">
        <v>45583</v>
      </c>
      <c r="P924" s="7" t="s">
        <v>3266</v>
      </c>
      <c r="Q924" s="5">
        <v>82</v>
      </c>
      <c r="R924" s="10">
        <f t="shared" si="72"/>
        <v>410</v>
      </c>
      <c r="S924" s="5">
        <v>56</v>
      </c>
      <c r="T924" s="5" t="s">
        <v>27</v>
      </c>
      <c r="U924" s="11">
        <f t="shared" si="74"/>
        <v>145</v>
      </c>
    </row>
    <row r="925" spans="1:21" ht="16" x14ac:dyDescent="0.4">
      <c r="A925" s="2" t="s">
        <v>3267</v>
      </c>
      <c r="B925" s="3" t="s">
        <v>197</v>
      </c>
      <c r="C925" s="28" t="s">
        <v>133</v>
      </c>
      <c r="D925" s="2" t="s">
        <v>3268</v>
      </c>
      <c r="E925" s="4" t="s">
        <v>129</v>
      </c>
      <c r="F925" s="5">
        <v>61</v>
      </c>
      <c r="G925" s="5">
        <v>91</v>
      </c>
      <c r="H925" s="5">
        <v>40</v>
      </c>
      <c r="I925" s="10">
        <v>9</v>
      </c>
      <c r="J925" s="11">
        <f t="shared" si="73"/>
        <v>549</v>
      </c>
      <c r="K925" s="12" t="str">
        <f t="shared" si="70"/>
        <v>Low Stock_Reorder Needed</v>
      </c>
      <c r="L925" s="12">
        <f t="shared" si="71"/>
        <v>360</v>
      </c>
      <c r="M925" s="6">
        <v>45665</v>
      </c>
      <c r="N925" s="6">
        <v>45531</v>
      </c>
      <c r="O925" s="6">
        <v>45452</v>
      </c>
      <c r="P925" s="7" t="s">
        <v>3269</v>
      </c>
      <c r="Q925" s="5">
        <v>34</v>
      </c>
      <c r="R925" s="10">
        <f t="shared" si="72"/>
        <v>306</v>
      </c>
      <c r="S925" s="5">
        <v>76</v>
      </c>
      <c r="T925" s="5" t="s">
        <v>45</v>
      </c>
      <c r="U925" s="11">
        <f t="shared" si="74"/>
        <v>-243</v>
      </c>
    </row>
    <row r="926" spans="1:21" ht="16" x14ac:dyDescent="0.4">
      <c r="A926" s="2" t="s">
        <v>3270</v>
      </c>
      <c r="B926" s="3" t="s">
        <v>75</v>
      </c>
      <c r="C926" s="28" t="s">
        <v>65</v>
      </c>
      <c r="D926" s="2" t="s">
        <v>3271</v>
      </c>
      <c r="E926" s="4" t="s">
        <v>1871</v>
      </c>
      <c r="F926" s="5">
        <v>70</v>
      </c>
      <c r="G926" s="5">
        <v>92</v>
      </c>
      <c r="H926" s="5">
        <v>74</v>
      </c>
      <c r="I926" s="10">
        <v>1</v>
      </c>
      <c r="J926" s="11">
        <f t="shared" si="73"/>
        <v>70</v>
      </c>
      <c r="K926" s="12" t="str">
        <f t="shared" si="70"/>
        <v>Low Stock_Reorder Needed</v>
      </c>
      <c r="L926" s="12">
        <f t="shared" si="71"/>
        <v>74</v>
      </c>
      <c r="M926" s="6">
        <v>45626</v>
      </c>
      <c r="N926" s="6">
        <v>45521</v>
      </c>
      <c r="O926" s="6">
        <v>45484</v>
      </c>
      <c r="P926" s="7" t="s">
        <v>3272</v>
      </c>
      <c r="Q926" s="5">
        <v>95</v>
      </c>
      <c r="R926" s="10">
        <f t="shared" si="72"/>
        <v>95</v>
      </c>
      <c r="S926" s="5">
        <v>26</v>
      </c>
      <c r="T926" s="5" t="s">
        <v>39</v>
      </c>
      <c r="U926" s="11">
        <f t="shared" si="74"/>
        <v>25</v>
      </c>
    </row>
    <row r="927" spans="1:21" ht="16" x14ac:dyDescent="0.4">
      <c r="A927" s="2" t="s">
        <v>3273</v>
      </c>
      <c r="B927" s="3" t="s">
        <v>225</v>
      </c>
      <c r="C927" s="28" t="s">
        <v>48</v>
      </c>
      <c r="D927" s="2" t="s">
        <v>3274</v>
      </c>
      <c r="E927" s="4" t="s">
        <v>925</v>
      </c>
      <c r="F927" s="5">
        <v>73</v>
      </c>
      <c r="G927" s="5">
        <v>69</v>
      </c>
      <c r="H927" s="5">
        <v>1</v>
      </c>
      <c r="I927" s="10">
        <v>5</v>
      </c>
      <c r="J927" s="11">
        <f t="shared" si="73"/>
        <v>365</v>
      </c>
      <c r="K927" s="12" t="str">
        <f t="shared" si="70"/>
        <v>Stock_Sufficient</v>
      </c>
      <c r="L927" s="12">
        <f t="shared" si="71"/>
        <v>5</v>
      </c>
      <c r="M927" s="6">
        <v>45601</v>
      </c>
      <c r="N927" s="6">
        <v>45426</v>
      </c>
      <c r="O927" s="6">
        <v>45552</v>
      </c>
      <c r="P927" s="7" t="s">
        <v>3275</v>
      </c>
      <c r="Q927" s="5">
        <v>50</v>
      </c>
      <c r="R927" s="10">
        <f t="shared" si="72"/>
        <v>250</v>
      </c>
      <c r="S927" s="5">
        <v>67</v>
      </c>
      <c r="T927" s="5" t="s">
        <v>45</v>
      </c>
      <c r="U927" s="11">
        <f t="shared" si="74"/>
        <v>-115</v>
      </c>
    </row>
    <row r="928" spans="1:21" ht="16" x14ac:dyDescent="0.4">
      <c r="A928" s="2" t="s">
        <v>3276</v>
      </c>
      <c r="B928" s="3" t="s">
        <v>1003</v>
      </c>
      <c r="C928" s="28" t="s">
        <v>48</v>
      </c>
      <c r="D928" s="2" t="s">
        <v>3277</v>
      </c>
      <c r="E928" s="4" t="s">
        <v>129</v>
      </c>
      <c r="F928" s="5">
        <v>60</v>
      </c>
      <c r="G928" s="5">
        <v>15</v>
      </c>
      <c r="H928" s="5">
        <v>89</v>
      </c>
      <c r="I928" s="10">
        <v>4</v>
      </c>
      <c r="J928" s="11">
        <f t="shared" si="73"/>
        <v>240</v>
      </c>
      <c r="K928" s="12" t="str">
        <f t="shared" si="70"/>
        <v>Stock_Sufficient</v>
      </c>
      <c r="L928" s="12">
        <f t="shared" si="71"/>
        <v>356</v>
      </c>
      <c r="M928" s="6">
        <v>45450</v>
      </c>
      <c r="N928" s="6">
        <v>45709</v>
      </c>
      <c r="O928" s="6">
        <v>45393</v>
      </c>
      <c r="P928" s="7" t="s">
        <v>3278</v>
      </c>
      <c r="Q928" s="5">
        <v>21</v>
      </c>
      <c r="R928" s="10">
        <f t="shared" si="72"/>
        <v>84</v>
      </c>
      <c r="S928" s="5">
        <v>29</v>
      </c>
      <c r="T928" s="5" t="s">
        <v>27</v>
      </c>
      <c r="U928" s="11">
        <f t="shared" si="74"/>
        <v>-156</v>
      </c>
    </row>
    <row r="929" spans="1:21" ht="16" x14ac:dyDescent="0.4">
      <c r="A929" s="2" t="s">
        <v>3279</v>
      </c>
      <c r="B929" s="3" t="s">
        <v>546</v>
      </c>
      <c r="C929" s="28" t="s">
        <v>48</v>
      </c>
      <c r="D929" s="2" t="s">
        <v>3280</v>
      </c>
      <c r="E929" s="4" t="s">
        <v>300</v>
      </c>
      <c r="F929" s="5">
        <v>88</v>
      </c>
      <c r="G929" s="5">
        <v>24</v>
      </c>
      <c r="H929" s="5">
        <v>44</v>
      </c>
      <c r="I929" s="10">
        <v>6</v>
      </c>
      <c r="J929" s="11">
        <f t="shared" si="73"/>
        <v>528</v>
      </c>
      <c r="K929" s="12" t="str">
        <f t="shared" si="70"/>
        <v>Stock_Sufficient</v>
      </c>
      <c r="L929" s="12">
        <f t="shared" si="71"/>
        <v>264</v>
      </c>
      <c r="M929" s="6">
        <v>45601</v>
      </c>
      <c r="N929" s="6">
        <v>45604</v>
      </c>
      <c r="O929" s="6">
        <v>45644</v>
      </c>
      <c r="P929" s="7" t="s">
        <v>3281</v>
      </c>
      <c r="Q929" s="5">
        <v>72</v>
      </c>
      <c r="R929" s="10">
        <f t="shared" si="72"/>
        <v>432</v>
      </c>
      <c r="S929" s="5">
        <v>88</v>
      </c>
      <c r="T929" s="5" t="s">
        <v>39</v>
      </c>
      <c r="U929" s="11">
        <f t="shared" si="74"/>
        <v>-96</v>
      </c>
    </row>
    <row r="930" spans="1:21" ht="16" x14ac:dyDescent="0.4">
      <c r="A930" s="2" t="s">
        <v>3282</v>
      </c>
      <c r="B930" s="3" t="s">
        <v>595</v>
      </c>
      <c r="C930" s="28" t="s">
        <v>48</v>
      </c>
      <c r="D930" s="2" t="s">
        <v>3283</v>
      </c>
      <c r="E930" s="4" t="s">
        <v>300</v>
      </c>
      <c r="F930" s="5">
        <v>95</v>
      </c>
      <c r="G930" s="5">
        <v>6</v>
      </c>
      <c r="H930" s="5">
        <v>59</v>
      </c>
      <c r="I930" s="10">
        <v>2.5</v>
      </c>
      <c r="J930" s="11">
        <f t="shared" si="73"/>
        <v>237.5</v>
      </c>
      <c r="K930" s="12" t="str">
        <f t="shared" si="70"/>
        <v>Stock_Sufficient</v>
      </c>
      <c r="L930" s="12">
        <f t="shared" si="71"/>
        <v>147.5</v>
      </c>
      <c r="M930" s="6">
        <v>45657</v>
      </c>
      <c r="N930" s="6">
        <v>45519</v>
      </c>
      <c r="O930" s="6">
        <v>45564</v>
      </c>
      <c r="P930" s="7" t="s">
        <v>3284</v>
      </c>
      <c r="Q930" s="5">
        <v>49</v>
      </c>
      <c r="R930" s="10">
        <f t="shared" si="72"/>
        <v>122.5</v>
      </c>
      <c r="S930" s="5">
        <v>77</v>
      </c>
      <c r="T930" s="5" t="s">
        <v>45</v>
      </c>
      <c r="U930" s="11">
        <f t="shared" si="74"/>
        <v>-115</v>
      </c>
    </row>
    <row r="931" spans="1:21" ht="16" x14ac:dyDescent="0.4">
      <c r="A931" s="2" t="s">
        <v>3285</v>
      </c>
      <c r="B931" s="3" t="s">
        <v>688</v>
      </c>
      <c r="C931" s="28" t="s">
        <v>23</v>
      </c>
      <c r="D931" s="2" t="s">
        <v>3286</v>
      </c>
      <c r="E931" s="4" t="s">
        <v>576</v>
      </c>
      <c r="F931" s="5">
        <v>47</v>
      </c>
      <c r="G931" s="5">
        <v>30</v>
      </c>
      <c r="H931" s="5">
        <v>16</v>
      </c>
      <c r="I931" s="10">
        <v>2.5</v>
      </c>
      <c r="J931" s="11">
        <f t="shared" si="73"/>
        <v>117.5</v>
      </c>
      <c r="K931" s="12" t="str">
        <f t="shared" si="70"/>
        <v>Stock_Sufficient</v>
      </c>
      <c r="L931" s="12">
        <f t="shared" si="71"/>
        <v>40</v>
      </c>
      <c r="M931" s="6">
        <v>45361</v>
      </c>
      <c r="N931" s="6">
        <v>45484</v>
      </c>
      <c r="O931" s="6">
        <v>45435</v>
      </c>
      <c r="P931" s="7" t="s">
        <v>3287</v>
      </c>
      <c r="Q931" s="5">
        <v>22</v>
      </c>
      <c r="R931" s="10">
        <f t="shared" si="72"/>
        <v>55</v>
      </c>
      <c r="S931" s="5">
        <v>81</v>
      </c>
      <c r="T931" s="5" t="s">
        <v>45</v>
      </c>
      <c r="U931" s="11">
        <f t="shared" si="74"/>
        <v>-62.5</v>
      </c>
    </row>
    <row r="932" spans="1:21" ht="16" x14ac:dyDescent="0.4">
      <c r="A932" s="2" t="s">
        <v>3288</v>
      </c>
      <c r="B932" s="3" t="s">
        <v>345</v>
      </c>
      <c r="C932" s="28" t="s">
        <v>65</v>
      </c>
      <c r="D932" s="2" t="s">
        <v>3289</v>
      </c>
      <c r="E932" s="4" t="s">
        <v>610</v>
      </c>
      <c r="F932" s="5">
        <v>24</v>
      </c>
      <c r="G932" s="5">
        <v>1</v>
      </c>
      <c r="H932" s="5">
        <v>65</v>
      </c>
      <c r="I932" s="10">
        <v>7</v>
      </c>
      <c r="J932" s="11">
        <f t="shared" si="73"/>
        <v>168</v>
      </c>
      <c r="K932" s="12" t="str">
        <f t="shared" si="70"/>
        <v>Stock_Sufficient</v>
      </c>
      <c r="L932" s="12">
        <f t="shared" si="71"/>
        <v>455</v>
      </c>
      <c r="M932" s="6">
        <v>45614</v>
      </c>
      <c r="N932" s="6">
        <v>45485</v>
      </c>
      <c r="O932" s="6">
        <v>45351</v>
      </c>
      <c r="P932" s="7" t="s">
        <v>3290</v>
      </c>
      <c r="Q932" s="5">
        <v>58</v>
      </c>
      <c r="R932" s="10">
        <f t="shared" si="72"/>
        <v>406</v>
      </c>
      <c r="S932" s="5">
        <v>61</v>
      </c>
      <c r="T932" s="5" t="s">
        <v>45</v>
      </c>
      <c r="U932" s="11">
        <f t="shared" si="74"/>
        <v>238</v>
      </c>
    </row>
    <row r="933" spans="1:21" ht="16" x14ac:dyDescent="0.4">
      <c r="A933" s="2" t="s">
        <v>3291</v>
      </c>
      <c r="B933" s="3" t="s">
        <v>801</v>
      </c>
      <c r="C933" s="28" t="s">
        <v>133</v>
      </c>
      <c r="D933" s="2" t="s">
        <v>3292</v>
      </c>
      <c r="E933" s="4" t="s">
        <v>933</v>
      </c>
      <c r="F933" s="5">
        <v>93</v>
      </c>
      <c r="G933" s="5">
        <v>51</v>
      </c>
      <c r="H933" s="5">
        <v>70</v>
      </c>
      <c r="I933" s="10">
        <v>10</v>
      </c>
      <c r="J933" s="11">
        <f t="shared" si="73"/>
        <v>930</v>
      </c>
      <c r="K933" s="12" t="str">
        <f t="shared" si="70"/>
        <v>Stock_Sufficient</v>
      </c>
      <c r="L933" s="12">
        <f t="shared" si="71"/>
        <v>700</v>
      </c>
      <c r="M933" s="6">
        <v>45404</v>
      </c>
      <c r="N933" s="6">
        <v>45455</v>
      </c>
      <c r="O933" s="6">
        <v>45539</v>
      </c>
      <c r="P933" s="7" t="s">
        <v>3293</v>
      </c>
      <c r="Q933" s="5">
        <v>81</v>
      </c>
      <c r="R933" s="10">
        <f t="shared" si="72"/>
        <v>810</v>
      </c>
      <c r="S933" s="5">
        <v>18</v>
      </c>
      <c r="T933" s="5" t="s">
        <v>45</v>
      </c>
      <c r="U933" s="11">
        <f t="shared" si="74"/>
        <v>-120</v>
      </c>
    </row>
    <row r="934" spans="1:21" ht="16" x14ac:dyDescent="0.4">
      <c r="A934" s="2" t="s">
        <v>3294</v>
      </c>
      <c r="B934" s="3" t="s">
        <v>865</v>
      </c>
      <c r="C934" s="28" t="s">
        <v>59</v>
      </c>
      <c r="D934" s="2" t="s">
        <v>3295</v>
      </c>
      <c r="E934" s="4" t="s">
        <v>3163</v>
      </c>
      <c r="F934" s="5">
        <v>80</v>
      </c>
      <c r="G934" s="5">
        <v>24</v>
      </c>
      <c r="H934" s="5">
        <v>60</v>
      </c>
      <c r="I934" s="10">
        <v>2.5</v>
      </c>
      <c r="J934" s="11">
        <f t="shared" si="73"/>
        <v>200</v>
      </c>
      <c r="K934" s="12" t="str">
        <f t="shared" si="70"/>
        <v>Stock_Sufficient</v>
      </c>
      <c r="L934" s="12">
        <f t="shared" si="71"/>
        <v>150</v>
      </c>
      <c r="M934" s="6">
        <v>45678</v>
      </c>
      <c r="N934" s="6">
        <v>45609</v>
      </c>
      <c r="O934" s="6">
        <v>45410</v>
      </c>
      <c r="P934" s="7" t="s">
        <v>3296</v>
      </c>
      <c r="Q934" s="5">
        <v>98</v>
      </c>
      <c r="R934" s="10">
        <f t="shared" si="72"/>
        <v>245</v>
      </c>
      <c r="S934" s="5">
        <v>38</v>
      </c>
      <c r="T934" s="5" t="s">
        <v>45</v>
      </c>
      <c r="U934" s="11">
        <f t="shared" si="74"/>
        <v>45</v>
      </c>
    </row>
    <row r="935" spans="1:21" ht="16" x14ac:dyDescent="0.4">
      <c r="A935" s="2" t="s">
        <v>3297</v>
      </c>
      <c r="B935" s="3" t="s">
        <v>1235</v>
      </c>
      <c r="C935" s="28" t="s">
        <v>48</v>
      </c>
      <c r="D935" s="2" t="s">
        <v>3298</v>
      </c>
      <c r="E935" s="4" t="s">
        <v>656</v>
      </c>
      <c r="F935" s="5">
        <v>77</v>
      </c>
      <c r="G935" s="5">
        <v>58</v>
      </c>
      <c r="H935" s="5">
        <v>13</v>
      </c>
      <c r="I935" s="10">
        <v>3.5</v>
      </c>
      <c r="J935" s="11">
        <f t="shared" si="73"/>
        <v>269.5</v>
      </c>
      <c r="K935" s="12" t="str">
        <f t="shared" si="70"/>
        <v>Stock_Sufficient</v>
      </c>
      <c r="L935" s="12">
        <f t="shared" si="71"/>
        <v>45.5</v>
      </c>
      <c r="M935" s="6">
        <v>45465</v>
      </c>
      <c r="N935" s="6">
        <v>45435</v>
      </c>
      <c r="O935" s="6">
        <v>45398</v>
      </c>
      <c r="P935" s="7" t="s">
        <v>3299</v>
      </c>
      <c r="Q935" s="5">
        <v>63</v>
      </c>
      <c r="R935" s="10">
        <f t="shared" si="72"/>
        <v>220.5</v>
      </c>
      <c r="S935" s="5">
        <v>28</v>
      </c>
      <c r="T935" s="5" t="s">
        <v>27</v>
      </c>
      <c r="U935" s="11">
        <f t="shared" si="74"/>
        <v>-49</v>
      </c>
    </row>
    <row r="936" spans="1:21" ht="16" x14ac:dyDescent="0.4">
      <c r="A936" s="2" t="s">
        <v>3300</v>
      </c>
      <c r="B936" s="3" t="s">
        <v>138</v>
      </c>
      <c r="C936" s="28" t="s">
        <v>48</v>
      </c>
      <c r="D936" s="2" t="s">
        <v>3301</v>
      </c>
      <c r="E936" s="4" t="s">
        <v>635</v>
      </c>
      <c r="F936" s="5">
        <v>42</v>
      </c>
      <c r="G936" s="5">
        <v>48</v>
      </c>
      <c r="H936" s="5">
        <v>18</v>
      </c>
      <c r="I936" s="10">
        <v>2</v>
      </c>
      <c r="J936" s="11">
        <f t="shared" si="73"/>
        <v>84</v>
      </c>
      <c r="K936" s="12" t="str">
        <f t="shared" si="70"/>
        <v>Low Stock_Reorder Needed</v>
      </c>
      <c r="L936" s="12">
        <f t="shared" si="71"/>
        <v>36</v>
      </c>
      <c r="M936" s="6">
        <v>45666</v>
      </c>
      <c r="N936" s="6">
        <v>45401</v>
      </c>
      <c r="O936" s="6">
        <v>45405</v>
      </c>
      <c r="P936" s="7" t="s">
        <v>3302</v>
      </c>
      <c r="Q936" s="5">
        <v>39</v>
      </c>
      <c r="R936" s="10">
        <f t="shared" si="72"/>
        <v>78</v>
      </c>
      <c r="S936" s="5">
        <v>57</v>
      </c>
      <c r="T936" s="5" t="s">
        <v>45</v>
      </c>
      <c r="U936" s="11">
        <f t="shared" si="74"/>
        <v>-6</v>
      </c>
    </row>
    <row r="937" spans="1:21" ht="16" x14ac:dyDescent="0.4">
      <c r="A937" s="2" t="s">
        <v>3303</v>
      </c>
      <c r="B937" s="3" t="s">
        <v>729</v>
      </c>
      <c r="C937" s="28" t="s">
        <v>65</v>
      </c>
      <c r="D937" s="2" t="s">
        <v>3304</v>
      </c>
      <c r="E937" s="4" t="s">
        <v>410</v>
      </c>
      <c r="F937" s="5">
        <v>92</v>
      </c>
      <c r="G937" s="5">
        <v>1</v>
      </c>
      <c r="H937" s="5">
        <v>23</v>
      </c>
      <c r="I937" s="10">
        <v>2.5</v>
      </c>
      <c r="J937" s="11">
        <f t="shared" si="73"/>
        <v>230</v>
      </c>
      <c r="K937" s="12" t="str">
        <f t="shared" si="70"/>
        <v>Stock_Sufficient</v>
      </c>
      <c r="L937" s="12">
        <f t="shared" si="71"/>
        <v>57.5</v>
      </c>
      <c r="M937" s="6">
        <v>45531</v>
      </c>
      <c r="N937" s="6">
        <v>45567</v>
      </c>
      <c r="O937" s="6">
        <v>45395</v>
      </c>
      <c r="P937" s="7" t="s">
        <v>3305</v>
      </c>
      <c r="Q937" s="5">
        <v>78</v>
      </c>
      <c r="R937" s="10">
        <f t="shared" si="72"/>
        <v>195</v>
      </c>
      <c r="S937" s="5">
        <v>36</v>
      </c>
      <c r="T937" s="5" t="s">
        <v>27</v>
      </c>
      <c r="U937" s="11">
        <f t="shared" si="74"/>
        <v>-35</v>
      </c>
    </row>
    <row r="938" spans="1:21" ht="16" x14ac:dyDescent="0.4">
      <c r="A938" s="2" t="s">
        <v>3306</v>
      </c>
      <c r="B938" s="3" t="s">
        <v>163</v>
      </c>
      <c r="C938" s="28" t="s">
        <v>48</v>
      </c>
      <c r="D938" s="2" t="s">
        <v>3307</v>
      </c>
      <c r="E938" s="4" t="s">
        <v>1123</v>
      </c>
      <c r="F938" s="5">
        <v>81</v>
      </c>
      <c r="G938" s="5">
        <v>23</v>
      </c>
      <c r="H938" s="5">
        <v>17</v>
      </c>
      <c r="I938" s="10">
        <v>6.25</v>
      </c>
      <c r="J938" s="11">
        <f t="shared" si="73"/>
        <v>506.25</v>
      </c>
      <c r="K938" s="12" t="str">
        <f t="shared" si="70"/>
        <v>Stock_Sufficient</v>
      </c>
      <c r="L938" s="12">
        <f t="shared" si="71"/>
        <v>106.25</v>
      </c>
      <c r="M938" s="6">
        <v>45438</v>
      </c>
      <c r="N938" s="6">
        <v>45420</v>
      </c>
      <c r="O938" s="6">
        <v>45489</v>
      </c>
      <c r="P938" s="7" t="s">
        <v>3308</v>
      </c>
      <c r="Q938" s="5">
        <v>92</v>
      </c>
      <c r="R938" s="10">
        <f t="shared" si="72"/>
        <v>575</v>
      </c>
      <c r="S938" s="5">
        <v>78</v>
      </c>
      <c r="T938" s="5" t="s">
        <v>45</v>
      </c>
      <c r="U938" s="11">
        <f t="shared" si="74"/>
        <v>68.75</v>
      </c>
    </row>
    <row r="939" spans="1:21" ht="16" x14ac:dyDescent="0.4">
      <c r="A939" s="2" t="s">
        <v>3309</v>
      </c>
      <c r="B939" s="3" t="s">
        <v>468</v>
      </c>
      <c r="C939" s="28" t="s">
        <v>23</v>
      </c>
      <c r="D939" s="2" t="s">
        <v>3310</v>
      </c>
      <c r="E939" s="4" t="s">
        <v>3311</v>
      </c>
      <c r="F939" s="5">
        <v>46</v>
      </c>
      <c r="G939" s="5">
        <v>39</v>
      </c>
      <c r="H939" s="5">
        <v>11</v>
      </c>
      <c r="I939" s="10">
        <v>4.75</v>
      </c>
      <c r="J939" s="11">
        <f t="shared" si="73"/>
        <v>218.5</v>
      </c>
      <c r="K939" s="12" t="str">
        <f t="shared" si="70"/>
        <v>Stock_Sufficient</v>
      </c>
      <c r="L939" s="12">
        <f t="shared" si="71"/>
        <v>52.25</v>
      </c>
      <c r="M939" s="6">
        <v>45575</v>
      </c>
      <c r="N939" s="6">
        <v>45520</v>
      </c>
      <c r="O939" s="6">
        <v>45606</v>
      </c>
      <c r="P939" s="7" t="s">
        <v>3312</v>
      </c>
      <c r="Q939" s="5">
        <v>36</v>
      </c>
      <c r="R939" s="10">
        <f t="shared" si="72"/>
        <v>171</v>
      </c>
      <c r="S939" s="5">
        <v>54</v>
      </c>
      <c r="T939" s="5" t="s">
        <v>45</v>
      </c>
      <c r="U939" s="11">
        <f t="shared" si="74"/>
        <v>-47.5</v>
      </c>
    </row>
    <row r="940" spans="1:21" ht="16" x14ac:dyDescent="0.4">
      <c r="A940" s="2" t="s">
        <v>3313</v>
      </c>
      <c r="B940" s="3" t="s">
        <v>1146</v>
      </c>
      <c r="C940" s="28" t="s">
        <v>23</v>
      </c>
      <c r="D940" s="2" t="s">
        <v>3314</v>
      </c>
      <c r="E940" s="4" t="s">
        <v>212</v>
      </c>
      <c r="F940" s="5">
        <v>44</v>
      </c>
      <c r="G940" s="5">
        <v>67</v>
      </c>
      <c r="H940" s="5">
        <v>31</v>
      </c>
      <c r="I940" s="10">
        <v>2.5</v>
      </c>
      <c r="J940" s="11">
        <f t="shared" si="73"/>
        <v>110</v>
      </c>
      <c r="K940" s="12" t="str">
        <f t="shared" si="70"/>
        <v>Low Stock_Reorder Needed</v>
      </c>
      <c r="L940" s="12">
        <f t="shared" si="71"/>
        <v>77.5</v>
      </c>
      <c r="M940" s="6">
        <v>45487</v>
      </c>
      <c r="N940" s="6">
        <v>45369</v>
      </c>
      <c r="O940" s="6">
        <v>45448</v>
      </c>
      <c r="P940" s="7" t="s">
        <v>3315</v>
      </c>
      <c r="Q940" s="5">
        <v>44</v>
      </c>
      <c r="R940" s="10">
        <f t="shared" si="72"/>
        <v>110</v>
      </c>
      <c r="S940" s="5">
        <v>72</v>
      </c>
      <c r="T940" s="5" t="s">
        <v>27</v>
      </c>
      <c r="U940" s="11">
        <f t="shared" si="74"/>
        <v>0</v>
      </c>
    </row>
    <row r="941" spans="1:21" ht="16" x14ac:dyDescent="0.4">
      <c r="A941" s="2" t="s">
        <v>3316</v>
      </c>
      <c r="B941" s="3" t="s">
        <v>244</v>
      </c>
      <c r="C941" s="28" t="s">
        <v>90</v>
      </c>
      <c r="D941" s="2" t="s">
        <v>3317</v>
      </c>
      <c r="E941" s="4" t="s">
        <v>898</v>
      </c>
      <c r="F941" s="5">
        <v>38</v>
      </c>
      <c r="G941" s="5">
        <v>37</v>
      </c>
      <c r="H941" s="5">
        <v>27</v>
      </c>
      <c r="I941" s="10">
        <v>3.5</v>
      </c>
      <c r="J941" s="11">
        <f t="shared" si="73"/>
        <v>133</v>
      </c>
      <c r="K941" s="12" t="str">
        <f t="shared" si="70"/>
        <v>Stock_Sufficient</v>
      </c>
      <c r="L941" s="12">
        <f t="shared" si="71"/>
        <v>94.5</v>
      </c>
      <c r="M941" s="6">
        <v>45457</v>
      </c>
      <c r="N941" s="6">
        <v>45570</v>
      </c>
      <c r="O941" s="6">
        <v>45487</v>
      </c>
      <c r="P941" s="7" t="s">
        <v>3318</v>
      </c>
      <c r="Q941" s="5">
        <v>45</v>
      </c>
      <c r="R941" s="10">
        <f t="shared" si="72"/>
        <v>157.5</v>
      </c>
      <c r="S941" s="5">
        <v>88</v>
      </c>
      <c r="T941" s="5" t="s">
        <v>39</v>
      </c>
      <c r="U941" s="11">
        <f t="shared" si="74"/>
        <v>24.5</v>
      </c>
    </row>
    <row r="942" spans="1:21" ht="16" x14ac:dyDescent="0.4">
      <c r="A942" s="2" t="s">
        <v>3319</v>
      </c>
      <c r="B942" s="3" t="s">
        <v>1193</v>
      </c>
      <c r="C942" s="28" t="s">
        <v>65</v>
      </c>
      <c r="D942" s="2" t="s">
        <v>3320</v>
      </c>
      <c r="E942" s="4" t="s">
        <v>1140</v>
      </c>
      <c r="F942" s="5">
        <v>64</v>
      </c>
      <c r="G942" s="5">
        <v>28</v>
      </c>
      <c r="H942" s="5">
        <v>35</v>
      </c>
      <c r="I942" s="10">
        <v>2</v>
      </c>
      <c r="J942" s="11">
        <f t="shared" si="73"/>
        <v>128</v>
      </c>
      <c r="K942" s="12" t="str">
        <f t="shared" si="70"/>
        <v>Stock_Sufficient</v>
      </c>
      <c r="L942" s="12">
        <f t="shared" si="71"/>
        <v>70</v>
      </c>
      <c r="M942" s="6">
        <v>45601</v>
      </c>
      <c r="N942" s="6">
        <v>45603</v>
      </c>
      <c r="O942" s="6">
        <v>45349</v>
      </c>
      <c r="P942" s="7" t="s">
        <v>3321</v>
      </c>
      <c r="Q942" s="5">
        <v>74</v>
      </c>
      <c r="R942" s="10">
        <f t="shared" si="72"/>
        <v>148</v>
      </c>
      <c r="S942" s="5">
        <v>50</v>
      </c>
      <c r="T942" s="5" t="s">
        <v>45</v>
      </c>
      <c r="U942" s="11">
        <f t="shared" si="74"/>
        <v>20</v>
      </c>
    </row>
    <row r="943" spans="1:21" ht="16" x14ac:dyDescent="0.4">
      <c r="A943" s="2" t="s">
        <v>3322</v>
      </c>
      <c r="B943" s="3" t="s">
        <v>41</v>
      </c>
      <c r="C943" s="28" t="s">
        <v>23</v>
      </c>
      <c r="D943" s="2" t="s">
        <v>3323</v>
      </c>
      <c r="E943" s="4" t="s">
        <v>1444</v>
      </c>
      <c r="F943" s="5">
        <v>39</v>
      </c>
      <c r="G943" s="5">
        <v>2</v>
      </c>
      <c r="H943" s="5">
        <v>71</v>
      </c>
      <c r="I943" s="10">
        <v>1.45</v>
      </c>
      <c r="J943" s="11">
        <f t="shared" si="73"/>
        <v>56.55</v>
      </c>
      <c r="K943" s="12" t="str">
        <f t="shared" si="70"/>
        <v>Stock_Sufficient</v>
      </c>
      <c r="L943" s="12">
        <f t="shared" si="71"/>
        <v>102.95</v>
      </c>
      <c r="M943" s="6">
        <v>45411</v>
      </c>
      <c r="N943" s="6">
        <v>45369</v>
      </c>
      <c r="O943" s="6">
        <v>45403</v>
      </c>
      <c r="P943" s="7" t="s">
        <v>3324</v>
      </c>
      <c r="Q943" s="5">
        <v>20</v>
      </c>
      <c r="R943" s="10">
        <f t="shared" si="72"/>
        <v>29</v>
      </c>
      <c r="S943" s="5">
        <v>70</v>
      </c>
      <c r="T943" s="5" t="s">
        <v>39</v>
      </c>
      <c r="U943" s="11">
        <f t="shared" si="74"/>
        <v>-27.549999999999997</v>
      </c>
    </row>
    <row r="944" spans="1:21" ht="16" x14ac:dyDescent="0.4">
      <c r="A944" s="2" t="s">
        <v>3325</v>
      </c>
      <c r="B944" s="3" t="s">
        <v>283</v>
      </c>
      <c r="C944" s="28" t="s">
        <v>90</v>
      </c>
      <c r="D944" s="2" t="s">
        <v>3326</v>
      </c>
      <c r="E944" s="4" t="s">
        <v>2848</v>
      </c>
      <c r="F944" s="5">
        <v>42</v>
      </c>
      <c r="G944" s="5">
        <v>88</v>
      </c>
      <c r="H944" s="5">
        <v>95</v>
      </c>
      <c r="I944" s="10">
        <v>2.5</v>
      </c>
      <c r="J944" s="11">
        <f t="shared" si="73"/>
        <v>105</v>
      </c>
      <c r="K944" s="12" t="str">
        <f t="shared" si="70"/>
        <v>Low Stock_Reorder Needed</v>
      </c>
      <c r="L944" s="12">
        <f t="shared" si="71"/>
        <v>237.5</v>
      </c>
      <c r="M944" s="6">
        <v>45379</v>
      </c>
      <c r="N944" s="6">
        <v>45685</v>
      </c>
      <c r="O944" s="6">
        <v>45406</v>
      </c>
      <c r="P944" s="7" t="s">
        <v>3327</v>
      </c>
      <c r="Q944" s="5">
        <v>67</v>
      </c>
      <c r="R944" s="10">
        <f t="shared" si="72"/>
        <v>167.5</v>
      </c>
      <c r="S944" s="5">
        <v>94</v>
      </c>
      <c r="T944" s="5" t="s">
        <v>39</v>
      </c>
      <c r="U944" s="11">
        <f t="shared" si="74"/>
        <v>62.5</v>
      </c>
    </row>
    <row r="945" spans="1:21" ht="16" x14ac:dyDescent="0.4">
      <c r="A945" s="2" t="s">
        <v>3328</v>
      </c>
      <c r="B945" s="3" t="s">
        <v>84</v>
      </c>
      <c r="C945" s="28" t="s">
        <v>23</v>
      </c>
      <c r="D945" s="2" t="s">
        <v>3329</v>
      </c>
      <c r="E945" s="4" t="s">
        <v>754</v>
      </c>
      <c r="F945" s="5">
        <v>29</v>
      </c>
      <c r="G945" s="5">
        <v>54</v>
      </c>
      <c r="H945" s="5">
        <v>54</v>
      </c>
      <c r="I945" s="10">
        <v>2</v>
      </c>
      <c r="J945" s="11">
        <f t="shared" si="73"/>
        <v>58</v>
      </c>
      <c r="K945" s="12" t="str">
        <f t="shared" si="70"/>
        <v>Low Stock_Reorder Needed</v>
      </c>
      <c r="L945" s="12">
        <f t="shared" si="71"/>
        <v>108</v>
      </c>
      <c r="M945" s="6">
        <v>45592</v>
      </c>
      <c r="N945" s="6">
        <v>45712</v>
      </c>
      <c r="O945" s="6">
        <v>45651</v>
      </c>
      <c r="P945" s="7" t="s">
        <v>3330</v>
      </c>
      <c r="Q945" s="5">
        <v>58</v>
      </c>
      <c r="R945" s="10">
        <f t="shared" si="72"/>
        <v>116</v>
      </c>
      <c r="S945" s="5">
        <v>63</v>
      </c>
      <c r="T945" s="5" t="s">
        <v>39</v>
      </c>
      <c r="U945" s="11">
        <f t="shared" si="74"/>
        <v>58</v>
      </c>
    </row>
    <row r="946" spans="1:21" ht="16" x14ac:dyDescent="0.4">
      <c r="A946" s="2" t="s">
        <v>3331</v>
      </c>
      <c r="B946" s="3" t="s">
        <v>177</v>
      </c>
      <c r="C946" s="28" t="s">
        <v>48</v>
      </c>
      <c r="D946" s="2" t="s">
        <v>3332</v>
      </c>
      <c r="E946" s="4" t="s">
        <v>619</v>
      </c>
      <c r="F946" s="5">
        <v>60</v>
      </c>
      <c r="G946" s="5">
        <v>63</v>
      </c>
      <c r="H946" s="5">
        <v>81</v>
      </c>
      <c r="I946" s="10">
        <v>1.8</v>
      </c>
      <c r="J946" s="11">
        <f t="shared" si="73"/>
        <v>108</v>
      </c>
      <c r="K946" s="12" t="str">
        <f t="shared" si="70"/>
        <v>Low Stock_Reorder Needed</v>
      </c>
      <c r="L946" s="12">
        <f t="shared" si="71"/>
        <v>145.80000000000001</v>
      </c>
      <c r="M946" s="6">
        <v>45683</v>
      </c>
      <c r="N946" s="6">
        <v>45568</v>
      </c>
      <c r="O946" s="6">
        <v>45413</v>
      </c>
      <c r="P946" s="7" t="s">
        <v>3333</v>
      </c>
      <c r="Q946" s="5">
        <v>74</v>
      </c>
      <c r="R946" s="10">
        <f t="shared" si="72"/>
        <v>133.20000000000002</v>
      </c>
      <c r="S946" s="5">
        <v>31</v>
      </c>
      <c r="T946" s="5" t="s">
        <v>45</v>
      </c>
      <c r="U946" s="11">
        <f t="shared" si="74"/>
        <v>25.200000000000017</v>
      </c>
    </row>
    <row r="947" spans="1:21" ht="16" x14ac:dyDescent="0.4">
      <c r="A947" s="2" t="s">
        <v>3334</v>
      </c>
      <c r="B947" s="3" t="s">
        <v>148</v>
      </c>
      <c r="C947" s="28" t="s">
        <v>65</v>
      </c>
      <c r="D947" s="2" t="s">
        <v>3335</v>
      </c>
      <c r="E947" s="4" t="s">
        <v>908</v>
      </c>
      <c r="F947" s="5">
        <v>65</v>
      </c>
      <c r="G947" s="5">
        <v>54</v>
      </c>
      <c r="H947" s="5">
        <v>29</v>
      </c>
      <c r="I947" s="10">
        <v>12</v>
      </c>
      <c r="J947" s="11">
        <f t="shared" si="73"/>
        <v>780</v>
      </c>
      <c r="K947" s="12" t="str">
        <f t="shared" si="70"/>
        <v>Stock_Sufficient</v>
      </c>
      <c r="L947" s="12">
        <f t="shared" si="71"/>
        <v>348</v>
      </c>
      <c r="M947" s="6">
        <v>45626</v>
      </c>
      <c r="N947" s="6">
        <v>45625</v>
      </c>
      <c r="O947" s="6">
        <v>45394</v>
      </c>
      <c r="P947" s="7" t="s">
        <v>3336</v>
      </c>
      <c r="Q947" s="5">
        <v>69</v>
      </c>
      <c r="R947" s="10">
        <f t="shared" si="72"/>
        <v>828</v>
      </c>
      <c r="S947" s="5">
        <v>79</v>
      </c>
      <c r="T947" s="5" t="s">
        <v>39</v>
      </c>
      <c r="U947" s="11">
        <f t="shared" si="74"/>
        <v>48</v>
      </c>
    </row>
    <row r="948" spans="1:21" ht="16" x14ac:dyDescent="0.4">
      <c r="A948" s="2" t="s">
        <v>3337</v>
      </c>
      <c r="B948" s="3" t="s">
        <v>369</v>
      </c>
      <c r="C948" s="28" t="s">
        <v>48</v>
      </c>
      <c r="D948" s="2" t="s">
        <v>3338</v>
      </c>
      <c r="E948" s="4" t="s">
        <v>3339</v>
      </c>
      <c r="F948" s="5">
        <v>89</v>
      </c>
      <c r="G948" s="5">
        <v>96</v>
      </c>
      <c r="H948" s="5">
        <v>94</v>
      </c>
      <c r="I948" s="10">
        <v>4.5</v>
      </c>
      <c r="J948" s="11">
        <f t="shared" si="73"/>
        <v>400.5</v>
      </c>
      <c r="K948" s="12" t="str">
        <f t="shared" si="70"/>
        <v>Low Stock_Reorder Needed</v>
      </c>
      <c r="L948" s="12">
        <f t="shared" si="71"/>
        <v>423</v>
      </c>
      <c r="M948" s="6">
        <v>45453</v>
      </c>
      <c r="N948" s="6">
        <v>45663</v>
      </c>
      <c r="O948" s="6">
        <v>45554</v>
      </c>
      <c r="P948" s="7" t="s">
        <v>3340</v>
      </c>
      <c r="Q948" s="5">
        <v>38</v>
      </c>
      <c r="R948" s="10">
        <f t="shared" si="72"/>
        <v>171</v>
      </c>
      <c r="S948" s="5">
        <v>96</v>
      </c>
      <c r="T948" s="5" t="s">
        <v>27</v>
      </c>
      <c r="U948" s="11">
        <f t="shared" si="74"/>
        <v>-229.5</v>
      </c>
    </row>
    <row r="949" spans="1:21" ht="16" x14ac:dyDescent="0.4">
      <c r="A949" s="2" t="s">
        <v>3341</v>
      </c>
      <c r="B949" s="3" t="s">
        <v>58</v>
      </c>
      <c r="C949" s="28" t="s">
        <v>59</v>
      </c>
      <c r="D949" s="2" t="s">
        <v>3342</v>
      </c>
      <c r="E949" s="4" t="s">
        <v>639</v>
      </c>
      <c r="F949" s="5">
        <v>50</v>
      </c>
      <c r="G949" s="5">
        <v>40</v>
      </c>
      <c r="H949" s="5">
        <v>69</v>
      </c>
      <c r="I949" s="10">
        <v>2.5</v>
      </c>
      <c r="J949" s="11">
        <f t="shared" si="73"/>
        <v>125</v>
      </c>
      <c r="K949" s="12" t="str">
        <f t="shared" si="70"/>
        <v>Stock_Sufficient</v>
      </c>
      <c r="L949" s="12">
        <f t="shared" si="71"/>
        <v>172.5</v>
      </c>
      <c r="M949" s="6">
        <v>45473</v>
      </c>
      <c r="N949" s="6">
        <v>45382</v>
      </c>
      <c r="O949" s="6">
        <v>45530</v>
      </c>
      <c r="P949" s="7" t="s">
        <v>3343</v>
      </c>
      <c r="Q949" s="5">
        <v>28</v>
      </c>
      <c r="R949" s="10">
        <f t="shared" si="72"/>
        <v>70</v>
      </c>
      <c r="S949" s="5">
        <v>98</v>
      </c>
      <c r="T949" s="5" t="s">
        <v>45</v>
      </c>
      <c r="U949" s="11">
        <f t="shared" si="74"/>
        <v>-55</v>
      </c>
    </row>
    <row r="950" spans="1:21" ht="16" x14ac:dyDescent="0.4">
      <c r="A950" s="2" t="s">
        <v>3344</v>
      </c>
      <c r="B950" s="3" t="s">
        <v>369</v>
      </c>
      <c r="C950" s="28" t="s">
        <v>48</v>
      </c>
      <c r="D950" s="2" t="s">
        <v>3345</v>
      </c>
      <c r="E950" s="4" t="s">
        <v>478</v>
      </c>
      <c r="F950" s="5">
        <v>94</v>
      </c>
      <c r="G950" s="5">
        <v>18</v>
      </c>
      <c r="H950" s="5">
        <v>84</v>
      </c>
      <c r="I950" s="10">
        <v>4.5</v>
      </c>
      <c r="J950" s="11">
        <f t="shared" si="73"/>
        <v>423</v>
      </c>
      <c r="K950" s="12" t="str">
        <f t="shared" si="70"/>
        <v>Stock_Sufficient</v>
      </c>
      <c r="L950" s="12">
        <f t="shared" si="71"/>
        <v>378</v>
      </c>
      <c r="M950" s="6">
        <v>45661</v>
      </c>
      <c r="N950" s="6">
        <v>45580</v>
      </c>
      <c r="O950" s="6">
        <v>45552</v>
      </c>
      <c r="P950" s="7" t="s">
        <v>3346</v>
      </c>
      <c r="Q950" s="5">
        <v>44</v>
      </c>
      <c r="R950" s="10">
        <f t="shared" si="72"/>
        <v>198</v>
      </c>
      <c r="S950" s="5">
        <v>49</v>
      </c>
      <c r="T950" s="5" t="s">
        <v>27</v>
      </c>
      <c r="U950" s="11">
        <f t="shared" si="74"/>
        <v>-225</v>
      </c>
    </row>
    <row r="951" spans="1:21" ht="16" x14ac:dyDescent="0.4">
      <c r="A951" s="2" t="s">
        <v>3347</v>
      </c>
      <c r="B951" s="3" t="s">
        <v>600</v>
      </c>
      <c r="C951" s="28" t="s">
        <v>59</v>
      </c>
      <c r="D951" s="2" t="s">
        <v>3348</v>
      </c>
      <c r="E951" s="4" t="s">
        <v>2354</v>
      </c>
      <c r="F951" s="5">
        <v>97</v>
      </c>
      <c r="G951" s="5">
        <v>32</v>
      </c>
      <c r="H951" s="5">
        <v>43</v>
      </c>
      <c r="I951" s="10">
        <v>2.2999999999999998</v>
      </c>
      <c r="J951" s="11">
        <f t="shared" si="73"/>
        <v>223.1</v>
      </c>
      <c r="K951" s="12" t="str">
        <f t="shared" si="70"/>
        <v>Stock_Sufficient</v>
      </c>
      <c r="L951" s="12">
        <f t="shared" si="71"/>
        <v>98.899999999999991</v>
      </c>
      <c r="M951" s="6">
        <v>45571</v>
      </c>
      <c r="N951" s="6">
        <v>45415</v>
      </c>
      <c r="O951" s="6">
        <v>45442</v>
      </c>
      <c r="P951" s="7" t="s">
        <v>3349</v>
      </c>
      <c r="Q951" s="5">
        <v>82</v>
      </c>
      <c r="R951" s="10">
        <f t="shared" si="72"/>
        <v>188.6</v>
      </c>
      <c r="S951" s="5">
        <v>98</v>
      </c>
      <c r="T951" s="5" t="s">
        <v>45</v>
      </c>
      <c r="U951" s="11">
        <f t="shared" si="74"/>
        <v>-34.5</v>
      </c>
    </row>
    <row r="952" spans="1:21" ht="16" x14ac:dyDescent="0.4">
      <c r="A952" s="2" t="s">
        <v>3350</v>
      </c>
      <c r="B952" s="3" t="s">
        <v>984</v>
      </c>
      <c r="C952" s="28" t="s">
        <v>90</v>
      </c>
      <c r="D952" s="2" t="s">
        <v>3351</v>
      </c>
      <c r="E952" s="4" t="s">
        <v>2200</v>
      </c>
      <c r="F952" s="5">
        <v>72</v>
      </c>
      <c r="G952" s="5">
        <v>78</v>
      </c>
      <c r="H952" s="5">
        <v>1</v>
      </c>
      <c r="I952" s="10">
        <v>4</v>
      </c>
      <c r="J952" s="11">
        <f t="shared" si="73"/>
        <v>288</v>
      </c>
      <c r="K952" s="12" t="str">
        <f t="shared" si="70"/>
        <v>Low Stock_Reorder Needed</v>
      </c>
      <c r="L952" s="12">
        <f t="shared" si="71"/>
        <v>4</v>
      </c>
      <c r="M952" s="6">
        <v>45606</v>
      </c>
      <c r="N952" s="6">
        <v>45379</v>
      </c>
      <c r="O952" s="6">
        <v>45660</v>
      </c>
      <c r="P952" s="7" t="s">
        <v>3352</v>
      </c>
      <c r="Q952" s="5">
        <v>85</v>
      </c>
      <c r="R952" s="10">
        <f t="shared" si="72"/>
        <v>340</v>
      </c>
      <c r="S952" s="5">
        <v>30</v>
      </c>
      <c r="T952" s="5" t="s">
        <v>27</v>
      </c>
      <c r="U952" s="11">
        <f t="shared" si="74"/>
        <v>52</v>
      </c>
    </row>
    <row r="953" spans="1:21" ht="16" x14ac:dyDescent="0.4">
      <c r="A953" s="2" t="s">
        <v>3353</v>
      </c>
      <c r="B953" s="3" t="s">
        <v>408</v>
      </c>
      <c r="C953" s="28" t="s">
        <v>65</v>
      </c>
      <c r="D953" s="2" t="s">
        <v>3354</v>
      </c>
      <c r="E953" s="4" t="s">
        <v>3355</v>
      </c>
      <c r="F953" s="5">
        <v>62</v>
      </c>
      <c r="G953" s="5">
        <v>91</v>
      </c>
      <c r="H953" s="5">
        <v>14</v>
      </c>
      <c r="I953" s="10">
        <v>2.5</v>
      </c>
      <c r="J953" s="11">
        <f t="shared" si="73"/>
        <v>155</v>
      </c>
      <c r="K953" s="12" t="str">
        <f t="shared" si="70"/>
        <v>Low Stock_Reorder Needed</v>
      </c>
      <c r="L953" s="12">
        <f t="shared" si="71"/>
        <v>35</v>
      </c>
      <c r="M953" s="6">
        <v>45556</v>
      </c>
      <c r="N953" s="6">
        <v>45443</v>
      </c>
      <c r="O953" s="6">
        <v>45634</v>
      </c>
      <c r="P953" s="7" t="s">
        <v>3356</v>
      </c>
      <c r="Q953" s="5">
        <v>41</v>
      </c>
      <c r="R953" s="10">
        <f t="shared" si="72"/>
        <v>102.5</v>
      </c>
      <c r="S953" s="5">
        <v>77</v>
      </c>
      <c r="T953" s="5" t="s">
        <v>27</v>
      </c>
      <c r="U953" s="11">
        <f t="shared" si="74"/>
        <v>-52.5</v>
      </c>
    </row>
    <row r="954" spans="1:21" ht="16" x14ac:dyDescent="0.4">
      <c r="A954" s="2" t="s">
        <v>3357</v>
      </c>
      <c r="B954" s="3" t="s">
        <v>1235</v>
      </c>
      <c r="C954" s="28" t="s">
        <v>48</v>
      </c>
      <c r="D954" s="2" t="s">
        <v>3358</v>
      </c>
      <c r="E954" s="4" t="s">
        <v>1312</v>
      </c>
      <c r="F954" s="5">
        <v>44</v>
      </c>
      <c r="G954" s="5">
        <v>92</v>
      </c>
      <c r="H954" s="5">
        <v>92</v>
      </c>
      <c r="I954" s="10">
        <v>3.5</v>
      </c>
      <c r="J954" s="11">
        <f t="shared" si="73"/>
        <v>154</v>
      </c>
      <c r="K954" s="12" t="str">
        <f t="shared" si="70"/>
        <v>Low Stock_Reorder Needed</v>
      </c>
      <c r="L954" s="12">
        <f t="shared" si="71"/>
        <v>322</v>
      </c>
      <c r="M954" s="6">
        <v>45359</v>
      </c>
      <c r="N954" s="6">
        <v>45668</v>
      </c>
      <c r="O954" s="6">
        <v>45560</v>
      </c>
      <c r="P954" s="7" t="s">
        <v>3359</v>
      </c>
      <c r="Q954" s="5">
        <v>41</v>
      </c>
      <c r="R954" s="10">
        <f t="shared" si="72"/>
        <v>143.5</v>
      </c>
      <c r="S954" s="5">
        <v>61</v>
      </c>
      <c r="T954" s="5" t="s">
        <v>45</v>
      </c>
      <c r="U954" s="11">
        <f t="shared" si="74"/>
        <v>-10.5</v>
      </c>
    </row>
    <row r="955" spans="1:21" ht="16" x14ac:dyDescent="0.4">
      <c r="A955" s="2" t="s">
        <v>3360</v>
      </c>
      <c r="B955" s="3" t="s">
        <v>436</v>
      </c>
      <c r="C955" s="28" t="s">
        <v>59</v>
      </c>
      <c r="D955" s="2" t="s">
        <v>3361</v>
      </c>
      <c r="E955" s="4" t="s">
        <v>929</v>
      </c>
      <c r="F955" s="5">
        <v>21</v>
      </c>
      <c r="G955" s="5">
        <v>25</v>
      </c>
      <c r="H955" s="5">
        <v>39</v>
      </c>
      <c r="I955" s="10">
        <v>4</v>
      </c>
      <c r="J955" s="11">
        <f t="shared" si="73"/>
        <v>84</v>
      </c>
      <c r="K955" s="12" t="str">
        <f t="shared" si="70"/>
        <v>Low Stock_Reorder Needed</v>
      </c>
      <c r="L955" s="12">
        <f t="shared" si="71"/>
        <v>156</v>
      </c>
      <c r="M955" s="6">
        <v>45503</v>
      </c>
      <c r="N955" s="6">
        <v>45545</v>
      </c>
      <c r="O955" s="6">
        <v>45351</v>
      </c>
      <c r="P955" s="7" t="s">
        <v>3362</v>
      </c>
      <c r="Q955" s="5">
        <v>79</v>
      </c>
      <c r="R955" s="10">
        <f t="shared" si="72"/>
        <v>316</v>
      </c>
      <c r="S955" s="5">
        <v>30</v>
      </c>
      <c r="T955" s="5" t="s">
        <v>45</v>
      </c>
      <c r="U955" s="11">
        <f t="shared" si="74"/>
        <v>232</v>
      </c>
    </row>
    <row r="956" spans="1:21" ht="16" x14ac:dyDescent="0.4">
      <c r="A956" s="2" t="s">
        <v>3363</v>
      </c>
      <c r="B956" s="3" t="s">
        <v>1265</v>
      </c>
      <c r="C956" s="28" t="s">
        <v>23</v>
      </c>
      <c r="D956" s="2" t="s">
        <v>3364</v>
      </c>
      <c r="E956" s="4" t="s">
        <v>849</v>
      </c>
      <c r="F956" s="5">
        <v>91</v>
      </c>
      <c r="G956" s="5">
        <v>39</v>
      </c>
      <c r="H956" s="5">
        <v>48</v>
      </c>
      <c r="I956" s="10">
        <v>5</v>
      </c>
      <c r="J956" s="11">
        <f t="shared" si="73"/>
        <v>455</v>
      </c>
      <c r="K956" s="12" t="str">
        <f t="shared" si="70"/>
        <v>Stock_Sufficient</v>
      </c>
      <c r="L956" s="12">
        <f t="shared" si="71"/>
        <v>240</v>
      </c>
      <c r="M956" s="6">
        <v>45382</v>
      </c>
      <c r="N956" s="6">
        <v>45647</v>
      </c>
      <c r="O956" s="6">
        <v>45612</v>
      </c>
      <c r="P956" s="7" t="s">
        <v>3365</v>
      </c>
      <c r="Q956" s="5">
        <v>48</v>
      </c>
      <c r="R956" s="10">
        <f t="shared" si="72"/>
        <v>240</v>
      </c>
      <c r="S956" s="5">
        <v>18</v>
      </c>
      <c r="T956" s="5" t="s">
        <v>45</v>
      </c>
      <c r="U956" s="11">
        <f t="shared" si="74"/>
        <v>-215</v>
      </c>
    </row>
    <row r="957" spans="1:21" ht="16" x14ac:dyDescent="0.4">
      <c r="A957" s="2" t="s">
        <v>3366</v>
      </c>
      <c r="B957" s="3" t="s">
        <v>625</v>
      </c>
      <c r="C957" s="28" t="s">
        <v>133</v>
      </c>
      <c r="D957" s="2" t="s">
        <v>3367</v>
      </c>
      <c r="E957" s="4" t="s">
        <v>1455</v>
      </c>
      <c r="F957" s="5">
        <v>87</v>
      </c>
      <c r="G957" s="5">
        <v>24</v>
      </c>
      <c r="H957" s="5">
        <v>66</v>
      </c>
      <c r="I957" s="10">
        <v>18</v>
      </c>
      <c r="J957" s="11">
        <f t="shared" si="73"/>
        <v>1566</v>
      </c>
      <c r="K957" s="12" t="str">
        <f t="shared" si="70"/>
        <v>Stock_Sufficient</v>
      </c>
      <c r="L957" s="12">
        <f t="shared" si="71"/>
        <v>1188</v>
      </c>
      <c r="M957" s="6">
        <v>45432</v>
      </c>
      <c r="N957" s="6">
        <v>45620</v>
      </c>
      <c r="O957" s="6">
        <v>45416</v>
      </c>
      <c r="P957" s="7" t="s">
        <v>3368</v>
      </c>
      <c r="Q957" s="5">
        <v>22</v>
      </c>
      <c r="R957" s="10">
        <f t="shared" si="72"/>
        <v>396</v>
      </c>
      <c r="S957" s="5">
        <v>34</v>
      </c>
      <c r="T957" s="5" t="s">
        <v>45</v>
      </c>
      <c r="U957" s="11">
        <f t="shared" si="74"/>
        <v>-1170</v>
      </c>
    </row>
    <row r="958" spans="1:21" ht="16" x14ac:dyDescent="0.4">
      <c r="A958" s="2" t="s">
        <v>3369</v>
      </c>
      <c r="B958" s="3" t="s">
        <v>127</v>
      </c>
      <c r="C958" s="28" t="s">
        <v>48</v>
      </c>
      <c r="D958" s="2" t="s">
        <v>3370</v>
      </c>
      <c r="E958" s="4" t="s">
        <v>1790</v>
      </c>
      <c r="F958" s="5">
        <v>61</v>
      </c>
      <c r="G958" s="5">
        <v>17</v>
      </c>
      <c r="H958" s="5">
        <v>69</v>
      </c>
      <c r="I958" s="10">
        <v>2.52</v>
      </c>
      <c r="J958" s="11">
        <f t="shared" si="73"/>
        <v>153.72</v>
      </c>
      <c r="K958" s="12" t="str">
        <f t="shared" si="70"/>
        <v>Stock_Sufficient</v>
      </c>
      <c r="L958" s="12">
        <f t="shared" si="71"/>
        <v>173.88</v>
      </c>
      <c r="M958" s="6">
        <v>45434</v>
      </c>
      <c r="N958" s="6">
        <v>45419</v>
      </c>
      <c r="O958" s="6">
        <v>45460</v>
      </c>
      <c r="P958" s="7" t="s">
        <v>3371</v>
      </c>
      <c r="Q958" s="5">
        <v>31</v>
      </c>
      <c r="R958" s="10">
        <f t="shared" si="72"/>
        <v>78.12</v>
      </c>
      <c r="S958" s="5">
        <v>29</v>
      </c>
      <c r="T958" s="5" t="s">
        <v>45</v>
      </c>
      <c r="U958" s="11">
        <f t="shared" si="74"/>
        <v>-75.599999999999994</v>
      </c>
    </row>
    <row r="959" spans="1:21" ht="16" x14ac:dyDescent="0.4">
      <c r="A959" s="2" t="s">
        <v>3372</v>
      </c>
      <c r="B959" s="3" t="s">
        <v>312</v>
      </c>
      <c r="C959" s="28" t="s">
        <v>48</v>
      </c>
      <c r="D959" s="2" t="s">
        <v>3373</v>
      </c>
      <c r="E959" s="4" t="s">
        <v>584</v>
      </c>
      <c r="F959" s="5">
        <v>61</v>
      </c>
      <c r="G959" s="5">
        <v>81</v>
      </c>
      <c r="H959" s="5">
        <v>99</v>
      </c>
      <c r="I959" s="10">
        <v>1.5</v>
      </c>
      <c r="J959" s="11">
        <f t="shared" si="73"/>
        <v>91.5</v>
      </c>
      <c r="K959" s="12" t="str">
        <f t="shared" si="70"/>
        <v>Low Stock_Reorder Needed</v>
      </c>
      <c r="L959" s="12">
        <f t="shared" si="71"/>
        <v>148.5</v>
      </c>
      <c r="M959" s="6">
        <v>45592</v>
      </c>
      <c r="N959" s="6">
        <v>45364</v>
      </c>
      <c r="O959" s="6">
        <v>45406</v>
      </c>
      <c r="P959" s="7" t="s">
        <v>3374</v>
      </c>
      <c r="Q959" s="5">
        <v>26</v>
      </c>
      <c r="R959" s="10">
        <f t="shared" si="72"/>
        <v>39</v>
      </c>
      <c r="S959" s="5">
        <v>76</v>
      </c>
      <c r="T959" s="5" t="s">
        <v>27</v>
      </c>
      <c r="U959" s="11">
        <f t="shared" si="74"/>
        <v>-52.5</v>
      </c>
    </row>
    <row r="960" spans="1:21" ht="16" x14ac:dyDescent="0.4">
      <c r="A960" s="2" t="s">
        <v>3375</v>
      </c>
      <c r="B960" s="3" t="s">
        <v>1532</v>
      </c>
      <c r="C960" s="28" t="s">
        <v>48</v>
      </c>
      <c r="D960" s="2" t="s">
        <v>3376</v>
      </c>
      <c r="E960" s="4" t="s">
        <v>2174</v>
      </c>
      <c r="F960" s="5">
        <v>49</v>
      </c>
      <c r="G960" s="5">
        <v>1</v>
      </c>
      <c r="H960" s="5">
        <v>28</v>
      </c>
      <c r="I960" s="10">
        <v>2</v>
      </c>
      <c r="J960" s="11">
        <f t="shared" si="73"/>
        <v>98</v>
      </c>
      <c r="K960" s="12" t="str">
        <f t="shared" si="70"/>
        <v>Stock_Sufficient</v>
      </c>
      <c r="L960" s="12">
        <f t="shared" si="71"/>
        <v>56</v>
      </c>
      <c r="M960" s="6">
        <v>45627</v>
      </c>
      <c r="N960" s="6">
        <v>45649</v>
      </c>
      <c r="O960" s="6">
        <v>45614</v>
      </c>
      <c r="P960" s="7" t="s">
        <v>3377</v>
      </c>
      <c r="Q960" s="5">
        <v>97</v>
      </c>
      <c r="R960" s="10">
        <f t="shared" si="72"/>
        <v>194</v>
      </c>
      <c r="S960" s="5">
        <v>95</v>
      </c>
      <c r="T960" s="5" t="s">
        <v>45</v>
      </c>
      <c r="U960" s="11">
        <f t="shared" si="74"/>
        <v>96</v>
      </c>
    </row>
    <row r="961" spans="1:21" ht="16" x14ac:dyDescent="0.4">
      <c r="A961" s="2" t="s">
        <v>3378</v>
      </c>
      <c r="B961" s="3" t="s">
        <v>230</v>
      </c>
      <c r="C961" s="28" t="s">
        <v>48</v>
      </c>
      <c r="D961" s="2" t="s">
        <v>3379</v>
      </c>
      <c r="E961" s="4" t="s">
        <v>2390</v>
      </c>
      <c r="F961" s="5">
        <v>87</v>
      </c>
      <c r="G961" s="5">
        <v>1</v>
      </c>
      <c r="H961" s="5">
        <v>98</v>
      </c>
      <c r="I961" s="10">
        <v>2.5</v>
      </c>
      <c r="J961" s="11">
        <f t="shared" si="73"/>
        <v>217.5</v>
      </c>
      <c r="K961" s="12" t="str">
        <f t="shared" si="70"/>
        <v>Stock_Sufficient</v>
      </c>
      <c r="L961" s="12">
        <f t="shared" si="71"/>
        <v>245</v>
      </c>
      <c r="M961" s="6">
        <v>45389</v>
      </c>
      <c r="N961" s="6">
        <v>45572</v>
      </c>
      <c r="O961" s="6">
        <v>45492</v>
      </c>
      <c r="P961" s="7" t="s">
        <v>3380</v>
      </c>
      <c r="Q961" s="5">
        <v>61</v>
      </c>
      <c r="R961" s="10">
        <f t="shared" si="72"/>
        <v>152.5</v>
      </c>
      <c r="S961" s="5">
        <v>84</v>
      </c>
      <c r="T961" s="5" t="s">
        <v>27</v>
      </c>
      <c r="U961" s="11">
        <f t="shared" si="74"/>
        <v>-65</v>
      </c>
    </row>
    <row r="962" spans="1:21" ht="16" x14ac:dyDescent="0.4">
      <c r="A962" s="2" t="s">
        <v>3381</v>
      </c>
      <c r="B962" s="3" t="s">
        <v>244</v>
      </c>
      <c r="C962" s="28" t="s">
        <v>90</v>
      </c>
      <c r="D962" s="2" t="s">
        <v>3382</v>
      </c>
      <c r="E962" s="4" t="s">
        <v>272</v>
      </c>
      <c r="F962" s="5">
        <v>93</v>
      </c>
      <c r="G962" s="5">
        <v>55</v>
      </c>
      <c r="H962" s="5">
        <v>95</v>
      </c>
      <c r="I962" s="10">
        <v>3.25</v>
      </c>
      <c r="J962" s="11">
        <f t="shared" si="73"/>
        <v>302.25</v>
      </c>
      <c r="K962" s="12" t="str">
        <f t="shared" ref="K962:K991" si="75">IF(F962&lt;=G962,"Low Stock_Reorder Needed","Stock_Sufficient")</f>
        <v>Stock_Sufficient</v>
      </c>
      <c r="L962" s="12">
        <f t="shared" ref="L962:L991" si="76">H962*I962</f>
        <v>308.75</v>
      </c>
      <c r="M962" s="6">
        <v>45699</v>
      </c>
      <c r="N962" s="6">
        <v>45356</v>
      </c>
      <c r="O962" s="6">
        <v>45645</v>
      </c>
      <c r="P962" s="7" t="s">
        <v>3383</v>
      </c>
      <c r="Q962" s="5">
        <v>56</v>
      </c>
      <c r="R962" s="10">
        <f t="shared" ref="R962:R991" si="77">Q962*I962</f>
        <v>182</v>
      </c>
      <c r="S962" s="5">
        <v>72</v>
      </c>
      <c r="T962" s="5" t="s">
        <v>39</v>
      </c>
      <c r="U962" s="11">
        <f t="shared" si="74"/>
        <v>-120.25</v>
      </c>
    </row>
    <row r="963" spans="1:21" ht="16" x14ac:dyDescent="0.4">
      <c r="A963" s="2" t="s">
        <v>3384</v>
      </c>
      <c r="B963" s="3" t="s">
        <v>829</v>
      </c>
      <c r="C963" s="28" t="s">
        <v>23</v>
      </c>
      <c r="D963" s="2" t="s">
        <v>3385</v>
      </c>
      <c r="E963" s="4" t="s">
        <v>663</v>
      </c>
      <c r="F963" s="5">
        <v>55</v>
      </c>
      <c r="G963" s="5">
        <v>13</v>
      </c>
      <c r="H963" s="5">
        <v>71</v>
      </c>
      <c r="I963" s="10">
        <v>4.45</v>
      </c>
      <c r="J963" s="11">
        <f t="shared" ref="J963:J991" si="78">I963*F963</f>
        <v>244.75</v>
      </c>
      <c r="K963" s="12" t="str">
        <f t="shared" si="75"/>
        <v>Stock_Sufficient</v>
      </c>
      <c r="L963" s="12">
        <f t="shared" si="76"/>
        <v>315.95</v>
      </c>
      <c r="M963" s="6">
        <v>45408</v>
      </c>
      <c r="N963" s="6">
        <v>45587</v>
      </c>
      <c r="O963" s="6">
        <v>45396</v>
      </c>
      <c r="P963" s="7" t="s">
        <v>3386</v>
      </c>
      <c r="Q963" s="5">
        <v>37</v>
      </c>
      <c r="R963" s="10">
        <f t="shared" si="77"/>
        <v>164.65</v>
      </c>
      <c r="S963" s="5">
        <v>4</v>
      </c>
      <c r="T963" s="5" t="s">
        <v>39</v>
      </c>
      <c r="U963" s="11">
        <f t="shared" ref="U963:U991" si="79">R963-J963</f>
        <v>-80.099999999999994</v>
      </c>
    </row>
    <row r="964" spans="1:21" ht="16" x14ac:dyDescent="0.4">
      <c r="A964" s="2" t="s">
        <v>3387</v>
      </c>
      <c r="B964" s="3" t="s">
        <v>646</v>
      </c>
      <c r="C964" s="28" t="s">
        <v>65</v>
      </c>
      <c r="D964" s="2" t="s">
        <v>3388</v>
      </c>
      <c r="E964" s="4" t="s">
        <v>2465</v>
      </c>
      <c r="F964" s="5">
        <v>29</v>
      </c>
      <c r="G964" s="5">
        <v>39</v>
      </c>
      <c r="H964" s="5">
        <v>80</v>
      </c>
      <c r="I964" s="10">
        <v>4</v>
      </c>
      <c r="J964" s="11">
        <f t="shared" si="78"/>
        <v>116</v>
      </c>
      <c r="K964" s="12" t="str">
        <f t="shared" si="75"/>
        <v>Low Stock_Reorder Needed</v>
      </c>
      <c r="L964" s="12">
        <f t="shared" si="76"/>
        <v>320</v>
      </c>
      <c r="M964" s="6">
        <v>45441</v>
      </c>
      <c r="N964" s="6">
        <v>45599</v>
      </c>
      <c r="O964" s="6">
        <v>45388</v>
      </c>
      <c r="P964" s="7" t="s">
        <v>3389</v>
      </c>
      <c r="Q964" s="5">
        <v>23</v>
      </c>
      <c r="R964" s="10">
        <f t="shared" si="77"/>
        <v>92</v>
      </c>
      <c r="S964" s="5">
        <v>85</v>
      </c>
      <c r="T964" s="5" t="s">
        <v>39</v>
      </c>
      <c r="U964" s="11">
        <f t="shared" si="79"/>
        <v>-24</v>
      </c>
    </row>
    <row r="965" spans="1:21" ht="16" x14ac:dyDescent="0.4">
      <c r="A965" s="2" t="s">
        <v>3390</v>
      </c>
      <c r="B965" s="3" t="s">
        <v>2289</v>
      </c>
      <c r="C965" s="28" t="s">
        <v>65</v>
      </c>
      <c r="D965" s="2" t="s">
        <v>3391</v>
      </c>
      <c r="E965" s="4" t="s">
        <v>101</v>
      </c>
      <c r="F965" s="5">
        <v>63</v>
      </c>
      <c r="G965" s="5">
        <v>62</v>
      </c>
      <c r="H965" s="5">
        <v>18</v>
      </c>
      <c r="I965" s="10">
        <v>0.2</v>
      </c>
      <c r="J965" s="11">
        <f t="shared" si="78"/>
        <v>12.600000000000001</v>
      </c>
      <c r="K965" s="12" t="str">
        <f t="shared" si="75"/>
        <v>Stock_Sufficient</v>
      </c>
      <c r="L965" s="12">
        <f t="shared" si="76"/>
        <v>3.6</v>
      </c>
      <c r="M965" s="6">
        <v>45399</v>
      </c>
      <c r="N965" s="6">
        <v>45384</v>
      </c>
      <c r="O965" s="6">
        <v>45601</v>
      </c>
      <c r="P965" s="7" t="s">
        <v>3392</v>
      </c>
      <c r="Q965" s="5">
        <v>67</v>
      </c>
      <c r="R965" s="10">
        <f t="shared" si="77"/>
        <v>13.4</v>
      </c>
      <c r="S965" s="5">
        <v>17</v>
      </c>
      <c r="T965" s="5" t="s">
        <v>45</v>
      </c>
      <c r="U965" s="11">
        <f t="shared" si="79"/>
        <v>0.79999999999999893</v>
      </c>
    </row>
    <row r="966" spans="1:21" ht="16" x14ac:dyDescent="0.4">
      <c r="A966" s="2" t="s">
        <v>3393</v>
      </c>
      <c r="B966" s="3" t="s">
        <v>390</v>
      </c>
      <c r="C966" s="28" t="s">
        <v>48</v>
      </c>
      <c r="D966" s="2" t="s">
        <v>3394</v>
      </c>
      <c r="E966" s="4" t="s">
        <v>2043</v>
      </c>
      <c r="F966" s="5">
        <v>42</v>
      </c>
      <c r="G966" s="5">
        <v>69</v>
      </c>
      <c r="H966" s="5">
        <v>54</v>
      </c>
      <c r="I966" s="10">
        <v>1.2</v>
      </c>
      <c r="J966" s="11">
        <f t="shared" si="78"/>
        <v>50.4</v>
      </c>
      <c r="K966" s="12" t="str">
        <f t="shared" si="75"/>
        <v>Low Stock_Reorder Needed</v>
      </c>
      <c r="L966" s="12">
        <f t="shared" si="76"/>
        <v>64.8</v>
      </c>
      <c r="M966" s="6">
        <v>45676</v>
      </c>
      <c r="N966" s="6">
        <v>45357</v>
      </c>
      <c r="O966" s="6">
        <v>45352</v>
      </c>
      <c r="P966" s="7" t="s">
        <v>3395</v>
      </c>
      <c r="Q966" s="5">
        <v>43</v>
      </c>
      <c r="R966" s="10">
        <f t="shared" si="77"/>
        <v>51.6</v>
      </c>
      <c r="S966" s="5">
        <v>96</v>
      </c>
      <c r="T966" s="5" t="s">
        <v>45</v>
      </c>
      <c r="U966" s="11">
        <f t="shared" si="79"/>
        <v>1.2000000000000028</v>
      </c>
    </row>
    <row r="967" spans="1:21" ht="16" x14ac:dyDescent="0.4">
      <c r="A967" s="2" t="s">
        <v>3396</v>
      </c>
      <c r="B967" s="3" t="s">
        <v>202</v>
      </c>
      <c r="C967" s="28" t="s">
        <v>48</v>
      </c>
      <c r="D967" s="2" t="s">
        <v>3397</v>
      </c>
      <c r="E967" s="4" t="s">
        <v>3064</v>
      </c>
      <c r="F967" s="5">
        <v>74</v>
      </c>
      <c r="G967" s="5">
        <v>4</v>
      </c>
      <c r="H967" s="5">
        <v>39</v>
      </c>
      <c r="I967" s="10">
        <v>2</v>
      </c>
      <c r="J967" s="11">
        <f t="shared" si="78"/>
        <v>148</v>
      </c>
      <c r="K967" s="12" t="str">
        <f t="shared" si="75"/>
        <v>Stock_Sufficient</v>
      </c>
      <c r="L967" s="12">
        <f t="shared" si="76"/>
        <v>78</v>
      </c>
      <c r="M967" s="6">
        <v>45652</v>
      </c>
      <c r="N967" s="6">
        <v>45387</v>
      </c>
      <c r="O967" s="6">
        <v>45511</v>
      </c>
      <c r="P967" s="7" t="s">
        <v>3398</v>
      </c>
      <c r="Q967" s="5">
        <v>97</v>
      </c>
      <c r="R967" s="10">
        <f t="shared" si="77"/>
        <v>194</v>
      </c>
      <c r="S967" s="5">
        <v>24</v>
      </c>
      <c r="T967" s="5" t="s">
        <v>39</v>
      </c>
      <c r="U967" s="11">
        <f t="shared" si="79"/>
        <v>46</v>
      </c>
    </row>
    <row r="968" spans="1:21" ht="16" x14ac:dyDescent="0.4">
      <c r="A968" s="2" t="s">
        <v>3399</v>
      </c>
      <c r="B968" s="3" t="s">
        <v>220</v>
      </c>
      <c r="C968" s="28" t="s">
        <v>23</v>
      </c>
      <c r="D968" s="2" t="s">
        <v>3400</v>
      </c>
      <c r="E968" s="4" t="s">
        <v>2255</v>
      </c>
      <c r="F968" s="5">
        <v>22</v>
      </c>
      <c r="G968" s="5">
        <v>77</v>
      </c>
      <c r="H968" s="5">
        <v>15</v>
      </c>
      <c r="I968" s="10">
        <v>3</v>
      </c>
      <c r="J968" s="11">
        <f t="shared" si="78"/>
        <v>66</v>
      </c>
      <c r="K968" s="12" t="str">
        <f t="shared" si="75"/>
        <v>Low Stock_Reorder Needed</v>
      </c>
      <c r="L968" s="12">
        <f t="shared" si="76"/>
        <v>45</v>
      </c>
      <c r="M968" s="6">
        <v>45393</v>
      </c>
      <c r="N968" s="6">
        <v>45441</v>
      </c>
      <c r="O968" s="6">
        <v>45502</v>
      </c>
      <c r="P968" s="7" t="s">
        <v>3401</v>
      </c>
      <c r="Q968" s="5">
        <v>68</v>
      </c>
      <c r="R968" s="10">
        <f t="shared" si="77"/>
        <v>204</v>
      </c>
      <c r="S968" s="5">
        <v>46</v>
      </c>
      <c r="T968" s="5" t="s">
        <v>45</v>
      </c>
      <c r="U968" s="11">
        <f t="shared" si="79"/>
        <v>138</v>
      </c>
    </row>
    <row r="969" spans="1:21" ht="16" x14ac:dyDescent="0.4">
      <c r="A969" s="2" t="s">
        <v>3402</v>
      </c>
      <c r="B969" s="3" t="s">
        <v>2289</v>
      </c>
      <c r="C969" s="28" t="s">
        <v>65</v>
      </c>
      <c r="D969" s="2" t="s">
        <v>3403</v>
      </c>
      <c r="E969" s="4" t="s">
        <v>619</v>
      </c>
      <c r="F969" s="5">
        <v>83</v>
      </c>
      <c r="G969" s="5">
        <v>35</v>
      </c>
      <c r="H969" s="5">
        <v>43</v>
      </c>
      <c r="I969" s="10">
        <v>0.2</v>
      </c>
      <c r="J969" s="11">
        <f t="shared" si="78"/>
        <v>16.600000000000001</v>
      </c>
      <c r="K969" s="12" t="str">
        <f t="shared" si="75"/>
        <v>Stock_Sufficient</v>
      </c>
      <c r="L969" s="12">
        <f t="shared" si="76"/>
        <v>8.6</v>
      </c>
      <c r="M969" s="6">
        <v>45518</v>
      </c>
      <c r="N969" s="6">
        <v>45530</v>
      </c>
      <c r="O969" s="6">
        <v>45541</v>
      </c>
      <c r="P969" s="7" t="s">
        <v>3404</v>
      </c>
      <c r="Q969" s="5">
        <v>94</v>
      </c>
      <c r="R969" s="10">
        <f t="shared" si="77"/>
        <v>18.8</v>
      </c>
      <c r="S969" s="5">
        <v>68</v>
      </c>
      <c r="T969" s="5" t="s">
        <v>27</v>
      </c>
      <c r="U969" s="11">
        <f t="shared" si="79"/>
        <v>2.1999999999999993</v>
      </c>
    </row>
    <row r="970" spans="1:21" ht="16" x14ac:dyDescent="0.4">
      <c r="A970" s="2" t="s">
        <v>3405</v>
      </c>
      <c r="B970" s="3" t="s">
        <v>1469</v>
      </c>
      <c r="C970" s="28" t="s">
        <v>23</v>
      </c>
      <c r="D970" s="2" t="s">
        <v>3406</v>
      </c>
      <c r="E970" s="4" t="s">
        <v>241</v>
      </c>
      <c r="F970" s="5">
        <v>32</v>
      </c>
      <c r="G970" s="5">
        <v>91</v>
      </c>
      <c r="H970" s="5">
        <v>80</v>
      </c>
      <c r="I970" s="10">
        <v>10</v>
      </c>
      <c r="J970" s="11">
        <f t="shared" si="78"/>
        <v>320</v>
      </c>
      <c r="K970" s="12" t="str">
        <f t="shared" si="75"/>
        <v>Low Stock_Reorder Needed</v>
      </c>
      <c r="L970" s="12">
        <f t="shared" si="76"/>
        <v>800</v>
      </c>
      <c r="M970" s="6">
        <v>45583</v>
      </c>
      <c r="N970" s="6">
        <v>45532</v>
      </c>
      <c r="O970" s="6">
        <v>45673</v>
      </c>
      <c r="P970" s="7" t="s">
        <v>3407</v>
      </c>
      <c r="Q970" s="5">
        <v>69</v>
      </c>
      <c r="R970" s="10">
        <f t="shared" si="77"/>
        <v>690</v>
      </c>
      <c r="S970" s="5">
        <v>80</v>
      </c>
      <c r="T970" s="5" t="s">
        <v>27</v>
      </c>
      <c r="U970" s="11">
        <f t="shared" si="79"/>
        <v>370</v>
      </c>
    </row>
    <row r="971" spans="1:21" ht="16" x14ac:dyDescent="0.4">
      <c r="A971" s="2" t="s">
        <v>3408</v>
      </c>
      <c r="B971" s="3" t="s">
        <v>1235</v>
      </c>
      <c r="C971" s="28" t="s">
        <v>48</v>
      </c>
      <c r="D971" s="2" t="s">
        <v>3409</v>
      </c>
      <c r="E971" s="4" t="s">
        <v>2651</v>
      </c>
      <c r="F971" s="5">
        <v>84</v>
      </c>
      <c r="G971" s="5">
        <v>46</v>
      </c>
      <c r="H971" s="5">
        <v>80</v>
      </c>
      <c r="I971" s="10">
        <v>3.5</v>
      </c>
      <c r="J971" s="11">
        <f t="shared" si="78"/>
        <v>294</v>
      </c>
      <c r="K971" s="12" t="str">
        <f t="shared" si="75"/>
        <v>Stock_Sufficient</v>
      </c>
      <c r="L971" s="12">
        <f t="shared" si="76"/>
        <v>280</v>
      </c>
      <c r="M971" s="6">
        <v>45430</v>
      </c>
      <c r="N971" s="6">
        <v>45567</v>
      </c>
      <c r="O971" s="6">
        <v>45650</v>
      </c>
      <c r="P971" s="7" t="s">
        <v>3410</v>
      </c>
      <c r="Q971" s="5">
        <v>66</v>
      </c>
      <c r="R971" s="10">
        <f t="shared" si="77"/>
        <v>231</v>
      </c>
      <c r="S971" s="5">
        <v>84</v>
      </c>
      <c r="T971" s="5" t="s">
        <v>27</v>
      </c>
      <c r="U971" s="11">
        <f t="shared" si="79"/>
        <v>-63</v>
      </c>
    </row>
    <row r="972" spans="1:21" ht="16" x14ac:dyDescent="0.4">
      <c r="A972" s="2" t="s">
        <v>3411</v>
      </c>
      <c r="B972" s="3" t="s">
        <v>47</v>
      </c>
      <c r="C972" s="28" t="s">
        <v>48</v>
      </c>
      <c r="D972" s="2" t="s">
        <v>3412</v>
      </c>
      <c r="E972" s="4" t="s">
        <v>1455</v>
      </c>
      <c r="F972" s="5">
        <v>22</v>
      </c>
      <c r="G972" s="5">
        <v>56</v>
      </c>
      <c r="H972" s="5">
        <v>72</v>
      </c>
      <c r="I972" s="10">
        <v>4</v>
      </c>
      <c r="J972" s="11">
        <f t="shared" si="78"/>
        <v>88</v>
      </c>
      <c r="K972" s="12" t="str">
        <f t="shared" si="75"/>
        <v>Low Stock_Reorder Needed</v>
      </c>
      <c r="L972" s="12">
        <f t="shared" si="76"/>
        <v>288</v>
      </c>
      <c r="M972" s="6">
        <v>45391</v>
      </c>
      <c r="N972" s="6">
        <v>45451</v>
      </c>
      <c r="O972" s="6">
        <v>45629</v>
      </c>
      <c r="P972" s="7" t="s">
        <v>3413</v>
      </c>
      <c r="Q972" s="5">
        <v>70</v>
      </c>
      <c r="R972" s="10">
        <f t="shared" si="77"/>
        <v>280</v>
      </c>
      <c r="S972" s="5">
        <v>39</v>
      </c>
      <c r="T972" s="5" t="s">
        <v>27</v>
      </c>
      <c r="U972" s="11">
        <f t="shared" si="79"/>
        <v>192</v>
      </c>
    </row>
    <row r="973" spans="1:21" ht="16" x14ac:dyDescent="0.4">
      <c r="A973" s="2" t="s">
        <v>3414</v>
      </c>
      <c r="B973" s="3" t="s">
        <v>403</v>
      </c>
      <c r="C973" s="28" t="s">
        <v>48</v>
      </c>
      <c r="D973" s="2" t="s">
        <v>3415</v>
      </c>
      <c r="E973" s="4" t="s">
        <v>1790</v>
      </c>
      <c r="F973" s="5">
        <v>100</v>
      </c>
      <c r="G973" s="5">
        <v>52</v>
      </c>
      <c r="H973" s="5">
        <v>2</v>
      </c>
      <c r="I973" s="10">
        <v>3</v>
      </c>
      <c r="J973" s="11">
        <f t="shared" si="78"/>
        <v>300</v>
      </c>
      <c r="K973" s="12" t="str">
        <f t="shared" si="75"/>
        <v>Stock_Sufficient</v>
      </c>
      <c r="L973" s="12">
        <f t="shared" si="76"/>
        <v>6</v>
      </c>
      <c r="M973" s="6">
        <v>45359</v>
      </c>
      <c r="N973" s="6">
        <v>45625</v>
      </c>
      <c r="O973" s="6">
        <v>45582</v>
      </c>
      <c r="P973" s="7" t="s">
        <v>3416</v>
      </c>
      <c r="Q973" s="5">
        <v>86</v>
      </c>
      <c r="R973" s="10">
        <f t="shared" si="77"/>
        <v>258</v>
      </c>
      <c r="S973" s="5">
        <v>70</v>
      </c>
      <c r="T973" s="5" t="s">
        <v>39</v>
      </c>
      <c r="U973" s="11">
        <f t="shared" si="79"/>
        <v>-42</v>
      </c>
    </row>
    <row r="974" spans="1:21" ht="16" x14ac:dyDescent="0.4">
      <c r="A974" s="2" t="s">
        <v>3417</v>
      </c>
      <c r="B974" s="3" t="s">
        <v>720</v>
      </c>
      <c r="C974" s="28" t="s">
        <v>65</v>
      </c>
      <c r="D974" s="2" t="s">
        <v>3418</v>
      </c>
      <c r="E974" s="4" t="s">
        <v>2565</v>
      </c>
      <c r="F974" s="5">
        <v>36</v>
      </c>
      <c r="G974" s="5">
        <v>77</v>
      </c>
      <c r="H974" s="5">
        <v>49</v>
      </c>
      <c r="I974" s="10">
        <v>9</v>
      </c>
      <c r="J974" s="11">
        <f t="shared" si="78"/>
        <v>324</v>
      </c>
      <c r="K974" s="12" t="str">
        <f t="shared" si="75"/>
        <v>Low Stock_Reorder Needed</v>
      </c>
      <c r="L974" s="12">
        <f t="shared" si="76"/>
        <v>441</v>
      </c>
      <c r="M974" s="6">
        <v>45392</v>
      </c>
      <c r="N974" s="6">
        <v>45589</v>
      </c>
      <c r="O974" s="6">
        <v>45697</v>
      </c>
      <c r="P974" s="7" t="s">
        <v>3419</v>
      </c>
      <c r="Q974" s="5">
        <v>30</v>
      </c>
      <c r="R974" s="10">
        <f t="shared" si="77"/>
        <v>270</v>
      </c>
      <c r="S974" s="5">
        <v>84</v>
      </c>
      <c r="T974" s="5" t="s">
        <v>45</v>
      </c>
      <c r="U974" s="11">
        <f t="shared" si="79"/>
        <v>-54</v>
      </c>
    </row>
    <row r="975" spans="1:21" ht="16" x14ac:dyDescent="0.4">
      <c r="A975" s="2" t="s">
        <v>3420</v>
      </c>
      <c r="B975" s="3" t="s">
        <v>1167</v>
      </c>
      <c r="C975" s="28" t="s">
        <v>133</v>
      </c>
      <c r="D975" s="2" t="s">
        <v>3421</v>
      </c>
      <c r="E975" s="4" t="s">
        <v>915</v>
      </c>
      <c r="F975" s="5">
        <v>14</v>
      </c>
      <c r="G975" s="5">
        <v>67</v>
      </c>
      <c r="H975" s="5">
        <v>65</v>
      </c>
      <c r="I975" s="10">
        <v>20</v>
      </c>
      <c r="J975" s="11">
        <f t="shared" si="78"/>
        <v>280</v>
      </c>
      <c r="K975" s="12" t="str">
        <f t="shared" si="75"/>
        <v>Low Stock_Reorder Needed</v>
      </c>
      <c r="L975" s="12">
        <f t="shared" si="76"/>
        <v>1300</v>
      </c>
      <c r="M975" s="6">
        <v>45365</v>
      </c>
      <c r="N975" s="6">
        <v>45584</v>
      </c>
      <c r="O975" s="6">
        <v>45584</v>
      </c>
      <c r="P975" s="7" t="s">
        <v>3422</v>
      </c>
      <c r="Q975" s="5">
        <v>71</v>
      </c>
      <c r="R975" s="10">
        <f t="shared" si="77"/>
        <v>1420</v>
      </c>
      <c r="S975" s="5">
        <v>94</v>
      </c>
      <c r="T975" s="5" t="s">
        <v>27</v>
      </c>
      <c r="U975" s="11">
        <f t="shared" si="79"/>
        <v>1140</v>
      </c>
    </row>
    <row r="976" spans="1:21" ht="16" x14ac:dyDescent="0.4">
      <c r="A976" s="2" t="s">
        <v>3423</v>
      </c>
      <c r="B976" s="3" t="s">
        <v>84</v>
      </c>
      <c r="C976" s="28" t="s">
        <v>23</v>
      </c>
      <c r="D976" s="2" t="s">
        <v>3424</v>
      </c>
      <c r="E976" s="4" t="s">
        <v>2758</v>
      </c>
      <c r="F976" s="5">
        <v>38</v>
      </c>
      <c r="G976" s="5">
        <v>82</v>
      </c>
      <c r="H976" s="5">
        <v>17</v>
      </c>
      <c r="I976" s="10">
        <v>2</v>
      </c>
      <c r="J976" s="11">
        <f t="shared" si="78"/>
        <v>76</v>
      </c>
      <c r="K976" s="12" t="str">
        <f t="shared" si="75"/>
        <v>Low Stock_Reorder Needed</v>
      </c>
      <c r="L976" s="12">
        <f t="shared" si="76"/>
        <v>34</v>
      </c>
      <c r="M976" s="6">
        <v>45655</v>
      </c>
      <c r="N976" s="6">
        <v>45372</v>
      </c>
      <c r="O976" s="6">
        <v>45510</v>
      </c>
      <c r="P976" s="7" t="s">
        <v>3425</v>
      </c>
      <c r="Q976" s="5">
        <v>52</v>
      </c>
      <c r="R976" s="10">
        <f t="shared" si="77"/>
        <v>104</v>
      </c>
      <c r="S976" s="5">
        <v>47</v>
      </c>
      <c r="T976" s="5" t="s">
        <v>27</v>
      </c>
      <c r="U976" s="11">
        <f t="shared" si="79"/>
        <v>28</v>
      </c>
    </row>
    <row r="977" spans="1:21" ht="16" x14ac:dyDescent="0.4">
      <c r="A977" s="2" t="s">
        <v>3426</v>
      </c>
      <c r="B977" s="3" t="s">
        <v>355</v>
      </c>
      <c r="C977" s="28" t="s">
        <v>48</v>
      </c>
      <c r="D977" s="2" t="s">
        <v>3427</v>
      </c>
      <c r="E977" s="4" t="s">
        <v>361</v>
      </c>
      <c r="F977" s="5">
        <v>97</v>
      </c>
      <c r="G977" s="5">
        <v>52</v>
      </c>
      <c r="H977" s="5">
        <v>80</v>
      </c>
      <c r="I977" s="10">
        <v>3</v>
      </c>
      <c r="J977" s="11">
        <f t="shared" si="78"/>
        <v>291</v>
      </c>
      <c r="K977" s="12" t="str">
        <f t="shared" si="75"/>
        <v>Stock_Sufficient</v>
      </c>
      <c r="L977" s="12">
        <f t="shared" si="76"/>
        <v>240</v>
      </c>
      <c r="M977" s="6">
        <v>45676</v>
      </c>
      <c r="N977" s="6">
        <v>45490</v>
      </c>
      <c r="O977" s="6">
        <v>45578</v>
      </c>
      <c r="P977" s="7" t="s">
        <v>3428</v>
      </c>
      <c r="Q977" s="5">
        <v>22</v>
      </c>
      <c r="R977" s="10">
        <f t="shared" si="77"/>
        <v>66</v>
      </c>
      <c r="S977" s="5">
        <v>90</v>
      </c>
      <c r="T977" s="5" t="s">
        <v>39</v>
      </c>
      <c r="U977" s="11">
        <f t="shared" si="79"/>
        <v>-225</v>
      </c>
    </row>
    <row r="978" spans="1:21" ht="16" x14ac:dyDescent="0.4">
      <c r="A978" s="2" t="s">
        <v>3429</v>
      </c>
      <c r="B978" s="3" t="s">
        <v>673</v>
      </c>
      <c r="C978" s="28" t="s">
        <v>30</v>
      </c>
      <c r="D978" s="2" t="s">
        <v>3430</v>
      </c>
      <c r="E978" s="4" t="s">
        <v>1000</v>
      </c>
      <c r="F978" s="5">
        <v>64</v>
      </c>
      <c r="G978" s="5">
        <v>66</v>
      </c>
      <c r="H978" s="5">
        <v>28</v>
      </c>
      <c r="I978" s="10">
        <v>8</v>
      </c>
      <c r="J978" s="11">
        <f t="shared" si="78"/>
        <v>512</v>
      </c>
      <c r="K978" s="12" t="str">
        <f t="shared" si="75"/>
        <v>Low Stock_Reorder Needed</v>
      </c>
      <c r="L978" s="12">
        <f t="shared" si="76"/>
        <v>224</v>
      </c>
      <c r="M978" s="6">
        <v>45440</v>
      </c>
      <c r="N978" s="6">
        <v>45671</v>
      </c>
      <c r="O978" s="6">
        <v>45523</v>
      </c>
      <c r="P978" s="7" t="s">
        <v>3431</v>
      </c>
      <c r="Q978" s="5">
        <v>25</v>
      </c>
      <c r="R978" s="10">
        <f t="shared" si="77"/>
        <v>200</v>
      </c>
      <c r="S978" s="5">
        <v>52</v>
      </c>
      <c r="T978" s="5" t="s">
        <v>27</v>
      </c>
      <c r="U978" s="11">
        <f t="shared" si="79"/>
        <v>-312</v>
      </c>
    </row>
    <row r="979" spans="1:21" ht="16" x14ac:dyDescent="0.4">
      <c r="A979" s="2" t="s">
        <v>3432</v>
      </c>
      <c r="B979" s="3" t="s">
        <v>882</v>
      </c>
      <c r="C979" s="28" t="s">
        <v>48</v>
      </c>
      <c r="D979" s="2" t="s">
        <v>3433</v>
      </c>
      <c r="E979" s="4" t="s">
        <v>1440</v>
      </c>
      <c r="F979" s="5">
        <v>14</v>
      </c>
      <c r="G979" s="5">
        <v>75</v>
      </c>
      <c r="H979" s="5">
        <v>19</v>
      </c>
      <c r="I979" s="10">
        <v>1.9</v>
      </c>
      <c r="J979" s="11">
        <f t="shared" si="78"/>
        <v>26.599999999999998</v>
      </c>
      <c r="K979" s="12" t="str">
        <f t="shared" si="75"/>
        <v>Low Stock_Reorder Needed</v>
      </c>
      <c r="L979" s="12">
        <f t="shared" si="76"/>
        <v>36.1</v>
      </c>
      <c r="M979" s="6">
        <v>45650</v>
      </c>
      <c r="N979" s="6">
        <v>45423</v>
      </c>
      <c r="O979" s="6">
        <v>45355</v>
      </c>
      <c r="P979" s="7" t="s">
        <v>3434</v>
      </c>
      <c r="Q979" s="5">
        <v>100</v>
      </c>
      <c r="R979" s="10">
        <f t="shared" si="77"/>
        <v>190</v>
      </c>
      <c r="S979" s="5">
        <v>84</v>
      </c>
      <c r="T979" s="5" t="s">
        <v>39</v>
      </c>
      <c r="U979" s="11">
        <f t="shared" si="79"/>
        <v>163.4</v>
      </c>
    </row>
    <row r="980" spans="1:21" ht="16" x14ac:dyDescent="0.4">
      <c r="A980" s="2" t="s">
        <v>3435</v>
      </c>
      <c r="B980" s="3" t="s">
        <v>604</v>
      </c>
      <c r="C980" s="28" t="s">
        <v>59</v>
      </c>
      <c r="D980" s="2" t="s">
        <v>3436</v>
      </c>
      <c r="E980" s="4" t="s">
        <v>841</v>
      </c>
      <c r="F980" s="5">
        <v>24</v>
      </c>
      <c r="G980" s="5">
        <v>89</v>
      </c>
      <c r="H980" s="5">
        <v>27</v>
      </c>
      <c r="I980" s="10">
        <v>10</v>
      </c>
      <c r="J980" s="11">
        <f t="shared" si="78"/>
        <v>240</v>
      </c>
      <c r="K980" s="12" t="str">
        <f t="shared" si="75"/>
        <v>Low Stock_Reorder Needed</v>
      </c>
      <c r="L980" s="12">
        <f t="shared" si="76"/>
        <v>270</v>
      </c>
      <c r="M980" s="6">
        <v>45392</v>
      </c>
      <c r="N980" s="6">
        <v>45580</v>
      </c>
      <c r="O980" s="6">
        <v>45379</v>
      </c>
      <c r="P980" s="7" t="s">
        <v>3437</v>
      </c>
      <c r="Q980" s="5">
        <v>99</v>
      </c>
      <c r="R980" s="10">
        <f t="shared" si="77"/>
        <v>990</v>
      </c>
      <c r="S980" s="5">
        <v>1</v>
      </c>
      <c r="T980" s="5" t="s">
        <v>27</v>
      </c>
      <c r="U980" s="11">
        <f t="shared" si="79"/>
        <v>750</v>
      </c>
    </row>
    <row r="981" spans="1:21" ht="16" x14ac:dyDescent="0.4">
      <c r="A981" s="2" t="s">
        <v>3438</v>
      </c>
      <c r="B981" s="3" t="s">
        <v>509</v>
      </c>
      <c r="C981" s="28" t="s">
        <v>133</v>
      </c>
      <c r="D981" s="2" t="s">
        <v>3439</v>
      </c>
      <c r="E981" s="4" t="s">
        <v>1049</v>
      </c>
      <c r="F981" s="5">
        <v>100</v>
      </c>
      <c r="G981" s="5">
        <v>61</v>
      </c>
      <c r="H981" s="5">
        <v>21</v>
      </c>
      <c r="I981" s="10">
        <v>7</v>
      </c>
      <c r="J981" s="11">
        <f t="shared" si="78"/>
        <v>700</v>
      </c>
      <c r="K981" s="12" t="str">
        <f t="shared" si="75"/>
        <v>Stock_Sufficient</v>
      </c>
      <c r="L981" s="12">
        <f t="shared" si="76"/>
        <v>147</v>
      </c>
      <c r="M981" s="6">
        <v>45556</v>
      </c>
      <c r="N981" s="6">
        <v>45651</v>
      </c>
      <c r="O981" s="6">
        <v>45430</v>
      </c>
      <c r="P981" s="7" t="s">
        <v>3440</v>
      </c>
      <c r="Q981" s="5">
        <v>85</v>
      </c>
      <c r="R981" s="10">
        <f t="shared" si="77"/>
        <v>595</v>
      </c>
      <c r="S981" s="5">
        <v>79</v>
      </c>
      <c r="T981" s="5" t="s">
        <v>39</v>
      </c>
      <c r="U981" s="11">
        <f t="shared" si="79"/>
        <v>-105</v>
      </c>
    </row>
    <row r="982" spans="1:21" ht="16" x14ac:dyDescent="0.4">
      <c r="A982" s="2" t="s">
        <v>3441</v>
      </c>
      <c r="B982" s="3" t="s">
        <v>468</v>
      </c>
      <c r="C982" s="28" t="s">
        <v>23</v>
      </c>
      <c r="D982" s="2" t="s">
        <v>3442</v>
      </c>
      <c r="E982" s="4" t="s">
        <v>1353</v>
      </c>
      <c r="F982" s="5">
        <v>62</v>
      </c>
      <c r="G982" s="5">
        <v>36</v>
      </c>
      <c r="H982" s="5">
        <v>96</v>
      </c>
      <c r="I982" s="10">
        <v>4.75</v>
      </c>
      <c r="J982" s="11">
        <f t="shared" si="78"/>
        <v>294.5</v>
      </c>
      <c r="K982" s="12" t="str">
        <f t="shared" si="75"/>
        <v>Stock_Sufficient</v>
      </c>
      <c r="L982" s="12">
        <f t="shared" si="76"/>
        <v>456</v>
      </c>
      <c r="M982" s="6">
        <v>45385</v>
      </c>
      <c r="N982" s="6">
        <v>45392</v>
      </c>
      <c r="O982" s="6">
        <v>45439</v>
      </c>
      <c r="P982" s="7" t="s">
        <v>3443</v>
      </c>
      <c r="Q982" s="5">
        <v>31</v>
      </c>
      <c r="R982" s="10">
        <f t="shared" si="77"/>
        <v>147.25</v>
      </c>
      <c r="S982" s="5">
        <v>25</v>
      </c>
      <c r="T982" s="5" t="s">
        <v>27</v>
      </c>
      <c r="U982" s="11">
        <f t="shared" si="79"/>
        <v>-147.25</v>
      </c>
    </row>
    <row r="983" spans="1:21" ht="16" x14ac:dyDescent="0.4">
      <c r="A983" s="2" t="s">
        <v>3444</v>
      </c>
      <c r="B983" s="3" t="s">
        <v>829</v>
      </c>
      <c r="C983" s="28" t="s">
        <v>23</v>
      </c>
      <c r="D983" s="2" t="s">
        <v>3445</v>
      </c>
      <c r="E983" s="4" t="s">
        <v>280</v>
      </c>
      <c r="F983" s="5">
        <v>71</v>
      </c>
      <c r="G983" s="5">
        <v>60</v>
      </c>
      <c r="H983" s="5">
        <v>62</v>
      </c>
      <c r="I983" s="10">
        <v>4.5</v>
      </c>
      <c r="J983" s="11">
        <f t="shared" si="78"/>
        <v>319.5</v>
      </c>
      <c r="K983" s="12" t="str">
        <f t="shared" si="75"/>
        <v>Stock_Sufficient</v>
      </c>
      <c r="L983" s="12">
        <f t="shared" si="76"/>
        <v>279</v>
      </c>
      <c r="M983" s="6">
        <v>45531</v>
      </c>
      <c r="N983" s="6">
        <v>45376</v>
      </c>
      <c r="O983" s="6">
        <v>45365</v>
      </c>
      <c r="P983" s="7" t="s">
        <v>3446</v>
      </c>
      <c r="Q983" s="5">
        <v>60</v>
      </c>
      <c r="R983" s="10">
        <f t="shared" si="77"/>
        <v>270</v>
      </c>
      <c r="S983" s="5">
        <v>63</v>
      </c>
      <c r="T983" s="5" t="s">
        <v>27</v>
      </c>
      <c r="U983" s="11">
        <f t="shared" si="79"/>
        <v>-49.5</v>
      </c>
    </row>
    <row r="984" spans="1:21" ht="16" x14ac:dyDescent="0.4">
      <c r="A984" s="2" t="s">
        <v>3447</v>
      </c>
      <c r="B984" s="3" t="s">
        <v>148</v>
      </c>
      <c r="C984" s="28" t="s">
        <v>65</v>
      </c>
      <c r="D984" s="2" t="s">
        <v>3448</v>
      </c>
      <c r="E984" s="4" t="s">
        <v>986</v>
      </c>
      <c r="F984" s="5">
        <v>38</v>
      </c>
      <c r="G984" s="5">
        <v>67</v>
      </c>
      <c r="H984" s="5">
        <v>66</v>
      </c>
      <c r="I984" s="10">
        <v>12</v>
      </c>
      <c r="J984" s="11">
        <f t="shared" si="78"/>
        <v>456</v>
      </c>
      <c r="K984" s="12" t="str">
        <f t="shared" si="75"/>
        <v>Low Stock_Reorder Needed</v>
      </c>
      <c r="L984" s="12">
        <f t="shared" si="76"/>
        <v>792</v>
      </c>
      <c r="M984" s="6">
        <v>45383</v>
      </c>
      <c r="N984" s="6">
        <v>45647</v>
      </c>
      <c r="O984" s="6">
        <v>45390</v>
      </c>
      <c r="P984" s="7" t="s">
        <v>3449</v>
      </c>
      <c r="Q984" s="5">
        <v>35</v>
      </c>
      <c r="R984" s="10">
        <f t="shared" si="77"/>
        <v>420</v>
      </c>
      <c r="S984" s="5">
        <v>24</v>
      </c>
      <c r="T984" s="5" t="s">
        <v>27</v>
      </c>
      <c r="U984" s="11">
        <f t="shared" si="79"/>
        <v>-36</v>
      </c>
    </row>
    <row r="985" spans="1:21" ht="16" x14ac:dyDescent="0.4">
      <c r="A985" s="2" t="s">
        <v>3450</v>
      </c>
      <c r="B985" s="3" t="s">
        <v>688</v>
      </c>
      <c r="C985" s="28" t="s">
        <v>23</v>
      </c>
      <c r="D985" s="2" t="s">
        <v>3451</v>
      </c>
      <c r="E985" s="4" t="s">
        <v>652</v>
      </c>
      <c r="F985" s="5">
        <v>88</v>
      </c>
      <c r="G985" s="5">
        <v>34</v>
      </c>
      <c r="H985" s="5">
        <v>94</v>
      </c>
      <c r="I985" s="10">
        <v>2.4</v>
      </c>
      <c r="J985" s="11">
        <f t="shared" si="78"/>
        <v>211.2</v>
      </c>
      <c r="K985" s="12" t="str">
        <f t="shared" si="75"/>
        <v>Stock_Sufficient</v>
      </c>
      <c r="L985" s="12">
        <f t="shared" si="76"/>
        <v>225.6</v>
      </c>
      <c r="M985" s="6">
        <v>45653</v>
      </c>
      <c r="N985" s="6">
        <v>45708</v>
      </c>
      <c r="O985" s="6">
        <v>45595</v>
      </c>
      <c r="P985" s="7" t="s">
        <v>3452</v>
      </c>
      <c r="Q985" s="5">
        <v>95</v>
      </c>
      <c r="R985" s="10">
        <f t="shared" si="77"/>
        <v>228</v>
      </c>
      <c r="S985" s="5">
        <v>63</v>
      </c>
      <c r="T985" s="5" t="s">
        <v>45</v>
      </c>
      <c r="U985" s="11">
        <f t="shared" si="79"/>
        <v>16.800000000000011</v>
      </c>
    </row>
    <row r="986" spans="1:21" ht="16" x14ac:dyDescent="0.4">
      <c r="A986" s="2" t="s">
        <v>3453</v>
      </c>
      <c r="B986" s="3" t="s">
        <v>266</v>
      </c>
      <c r="C986" s="28" t="s">
        <v>90</v>
      </c>
      <c r="D986" s="2" t="s">
        <v>3454</v>
      </c>
      <c r="E986" s="4" t="s">
        <v>1316</v>
      </c>
      <c r="F986" s="5">
        <v>40</v>
      </c>
      <c r="G986" s="5">
        <v>30</v>
      </c>
      <c r="H986" s="5">
        <v>65</v>
      </c>
      <c r="I986" s="10">
        <v>4.5</v>
      </c>
      <c r="J986" s="11">
        <f t="shared" si="78"/>
        <v>180</v>
      </c>
      <c r="K986" s="12" t="str">
        <f t="shared" si="75"/>
        <v>Stock_Sufficient</v>
      </c>
      <c r="L986" s="12">
        <f t="shared" si="76"/>
        <v>292.5</v>
      </c>
      <c r="M986" s="6">
        <v>45475</v>
      </c>
      <c r="N986" s="6">
        <v>45370</v>
      </c>
      <c r="O986" s="6">
        <v>45426</v>
      </c>
      <c r="P986" s="7" t="s">
        <v>3455</v>
      </c>
      <c r="Q986" s="5">
        <v>54</v>
      </c>
      <c r="R986" s="10">
        <f t="shared" si="77"/>
        <v>243</v>
      </c>
      <c r="S986" s="5">
        <v>29</v>
      </c>
      <c r="T986" s="5" t="s">
        <v>45</v>
      </c>
      <c r="U986" s="11">
        <f t="shared" si="79"/>
        <v>63</v>
      </c>
    </row>
    <row r="987" spans="1:21" ht="16" x14ac:dyDescent="0.4">
      <c r="A987" s="2" t="s">
        <v>3456</v>
      </c>
      <c r="B987" s="3" t="s">
        <v>127</v>
      </c>
      <c r="C987" s="28" t="s">
        <v>48</v>
      </c>
      <c r="D987" s="2" t="s">
        <v>3457</v>
      </c>
      <c r="E987" s="4" t="s">
        <v>453</v>
      </c>
      <c r="F987" s="5">
        <v>88</v>
      </c>
      <c r="G987" s="5">
        <v>78</v>
      </c>
      <c r="H987" s="5">
        <v>17</v>
      </c>
      <c r="I987" s="10">
        <v>2.5</v>
      </c>
      <c r="J987" s="11">
        <f t="shared" si="78"/>
        <v>220</v>
      </c>
      <c r="K987" s="12" t="str">
        <f t="shared" si="75"/>
        <v>Stock_Sufficient</v>
      </c>
      <c r="L987" s="12">
        <f t="shared" si="76"/>
        <v>42.5</v>
      </c>
      <c r="M987" s="6">
        <v>45541</v>
      </c>
      <c r="N987" s="6">
        <v>45654</v>
      </c>
      <c r="O987" s="6">
        <v>45600</v>
      </c>
      <c r="P987" s="7" t="s">
        <v>3458</v>
      </c>
      <c r="Q987" s="5">
        <v>58</v>
      </c>
      <c r="R987" s="10">
        <f t="shared" si="77"/>
        <v>145</v>
      </c>
      <c r="S987" s="5">
        <v>21</v>
      </c>
      <c r="T987" s="5" t="s">
        <v>45</v>
      </c>
      <c r="U987" s="11">
        <f t="shared" si="79"/>
        <v>-75</v>
      </c>
    </row>
    <row r="988" spans="1:21" ht="16" x14ac:dyDescent="0.4">
      <c r="A988" s="2" t="s">
        <v>3459</v>
      </c>
      <c r="B988" s="3" t="s">
        <v>720</v>
      </c>
      <c r="C988" s="28" t="s">
        <v>65</v>
      </c>
      <c r="D988" s="2" t="s">
        <v>3460</v>
      </c>
      <c r="E988" s="4" t="s">
        <v>3461</v>
      </c>
      <c r="F988" s="5">
        <v>60</v>
      </c>
      <c r="G988" s="5">
        <v>9</v>
      </c>
      <c r="H988" s="5">
        <v>89</v>
      </c>
      <c r="I988" s="10">
        <v>9</v>
      </c>
      <c r="J988" s="11">
        <f t="shared" si="78"/>
        <v>540</v>
      </c>
      <c r="K988" s="12" t="str">
        <f t="shared" si="75"/>
        <v>Stock_Sufficient</v>
      </c>
      <c r="L988" s="12">
        <f t="shared" si="76"/>
        <v>801</v>
      </c>
      <c r="M988" s="6">
        <v>45444</v>
      </c>
      <c r="N988" s="6">
        <v>45445</v>
      </c>
      <c r="O988" s="6">
        <v>45570</v>
      </c>
      <c r="P988" s="7" t="s">
        <v>3462</v>
      </c>
      <c r="Q988" s="5">
        <v>95</v>
      </c>
      <c r="R988" s="10">
        <f t="shared" si="77"/>
        <v>855</v>
      </c>
      <c r="S988" s="5">
        <v>63</v>
      </c>
      <c r="T988" s="5" t="s">
        <v>45</v>
      </c>
      <c r="U988" s="11">
        <f t="shared" si="79"/>
        <v>315</v>
      </c>
    </row>
    <row r="989" spans="1:21" ht="16" x14ac:dyDescent="0.4">
      <c r="A989" s="2" t="s">
        <v>3463</v>
      </c>
      <c r="B989" s="3" t="s">
        <v>143</v>
      </c>
      <c r="C989" s="28" t="s">
        <v>48</v>
      </c>
      <c r="D989" s="2" t="s">
        <v>3464</v>
      </c>
      <c r="E989" s="4" t="s">
        <v>2200</v>
      </c>
      <c r="F989" s="5">
        <v>94</v>
      </c>
      <c r="G989" s="5">
        <v>90</v>
      </c>
      <c r="H989" s="5">
        <v>12</v>
      </c>
      <c r="I989" s="10">
        <v>0.9</v>
      </c>
      <c r="J989" s="11">
        <f t="shared" si="78"/>
        <v>84.600000000000009</v>
      </c>
      <c r="K989" s="12" t="str">
        <f t="shared" si="75"/>
        <v>Stock_Sufficient</v>
      </c>
      <c r="L989" s="12">
        <f t="shared" si="76"/>
        <v>10.8</v>
      </c>
      <c r="M989" s="6">
        <v>45568</v>
      </c>
      <c r="N989" s="6">
        <v>45589</v>
      </c>
      <c r="O989" s="6">
        <v>45597</v>
      </c>
      <c r="P989" s="7" t="s">
        <v>3465</v>
      </c>
      <c r="Q989" s="5">
        <v>98</v>
      </c>
      <c r="R989" s="10">
        <f t="shared" si="77"/>
        <v>88.2</v>
      </c>
      <c r="S989" s="5">
        <v>71</v>
      </c>
      <c r="T989" s="5" t="s">
        <v>45</v>
      </c>
      <c r="U989" s="11">
        <f t="shared" si="79"/>
        <v>3.5999999999999943</v>
      </c>
    </row>
    <row r="990" spans="1:21" ht="16" x14ac:dyDescent="0.4">
      <c r="A990" s="2" t="s">
        <v>3466</v>
      </c>
      <c r="B990" s="3" t="s">
        <v>604</v>
      </c>
      <c r="C990" s="28" t="s">
        <v>59</v>
      </c>
      <c r="D990" s="2" t="s">
        <v>3467</v>
      </c>
      <c r="E990" s="4" t="s">
        <v>347</v>
      </c>
      <c r="F990" s="5">
        <v>30</v>
      </c>
      <c r="G990" s="5">
        <v>48</v>
      </c>
      <c r="H990" s="5">
        <v>52</v>
      </c>
      <c r="I990" s="10">
        <v>10</v>
      </c>
      <c r="J990" s="11">
        <f t="shared" si="78"/>
        <v>300</v>
      </c>
      <c r="K990" s="12" t="str">
        <f t="shared" si="75"/>
        <v>Low Stock_Reorder Needed</v>
      </c>
      <c r="L990" s="12">
        <f t="shared" si="76"/>
        <v>520</v>
      </c>
      <c r="M990" s="6">
        <v>45454</v>
      </c>
      <c r="N990" s="6">
        <v>45633</v>
      </c>
      <c r="O990" s="6">
        <v>45412</v>
      </c>
      <c r="P990" s="7" t="s">
        <v>3468</v>
      </c>
      <c r="Q990" s="5">
        <v>22</v>
      </c>
      <c r="R990" s="10">
        <f t="shared" si="77"/>
        <v>220</v>
      </c>
      <c r="S990" s="5">
        <v>78</v>
      </c>
      <c r="T990" s="5" t="s">
        <v>45</v>
      </c>
      <c r="U990" s="11">
        <f t="shared" si="79"/>
        <v>-80</v>
      </c>
    </row>
    <row r="991" spans="1:21" ht="16" x14ac:dyDescent="0.4">
      <c r="A991" s="2" t="s">
        <v>3469</v>
      </c>
      <c r="B991" s="3" t="s">
        <v>1206</v>
      </c>
      <c r="C991" s="28" t="s">
        <v>48</v>
      </c>
      <c r="D991" s="2" t="s">
        <v>3470</v>
      </c>
      <c r="E991" s="4" t="s">
        <v>2326</v>
      </c>
      <c r="F991" s="5">
        <v>19</v>
      </c>
      <c r="G991" s="5">
        <v>28</v>
      </c>
      <c r="H991" s="5">
        <v>83</v>
      </c>
      <c r="I991" s="10">
        <v>4.5</v>
      </c>
      <c r="J991" s="11">
        <f t="shared" si="78"/>
        <v>85.5</v>
      </c>
      <c r="K991" s="12" t="str">
        <f t="shared" si="75"/>
        <v>Low Stock_Reorder Needed</v>
      </c>
      <c r="L991" s="12">
        <f t="shared" si="76"/>
        <v>373.5</v>
      </c>
      <c r="M991" s="6">
        <v>45622</v>
      </c>
      <c r="N991" s="6">
        <v>45352</v>
      </c>
      <c r="O991" s="6">
        <v>45531</v>
      </c>
      <c r="P991" s="7" t="s">
        <v>3471</v>
      </c>
      <c r="Q991" s="5">
        <v>91</v>
      </c>
      <c r="R991" s="10">
        <f t="shared" si="77"/>
        <v>409.5</v>
      </c>
      <c r="S991" s="5">
        <v>73</v>
      </c>
      <c r="T991" s="5" t="s">
        <v>27</v>
      </c>
      <c r="U991" s="11">
        <f t="shared" si="79"/>
        <v>324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6AB8-65B1-4FAC-A370-2A99262E2849}">
  <dimension ref="A1:F991"/>
  <sheetViews>
    <sheetView workbookViewId="0">
      <selection activeCell="K8" sqref="K8"/>
    </sheetView>
  </sheetViews>
  <sheetFormatPr defaultRowHeight="14.5" x14ac:dyDescent="0.35"/>
  <cols>
    <col min="1" max="1" width="18" customWidth="1"/>
    <col min="2" max="2" width="22.26953125" customWidth="1"/>
    <col min="3" max="3" width="16.453125" bestFit="1" customWidth="1"/>
    <col min="4" max="4" width="16.08984375" customWidth="1"/>
    <col min="5" max="5" width="21.26953125" bestFit="1" customWidth="1"/>
    <col min="6" max="6" width="22.7265625" customWidth="1"/>
  </cols>
  <sheetData>
    <row r="1" spans="1:6" ht="23.5" x14ac:dyDescent="0.55000000000000004">
      <c r="A1" s="1" t="s">
        <v>0</v>
      </c>
      <c r="B1" s="1" t="s">
        <v>3586</v>
      </c>
      <c r="C1" s="1" t="s">
        <v>2</v>
      </c>
      <c r="D1" s="1" t="s">
        <v>3587</v>
      </c>
      <c r="E1" s="1" t="s">
        <v>17</v>
      </c>
      <c r="F1" s="1" t="s">
        <v>3588</v>
      </c>
    </row>
    <row r="2" spans="1:6" ht="16" x14ac:dyDescent="0.4">
      <c r="A2" s="2" t="s">
        <v>21</v>
      </c>
      <c r="B2" t="str">
        <f>_xlfn.XLOOKUP(A2,'Grocery and sales Data'!$A$1:$A$991,'Grocery and sales Data'!$B$1:$B$991)</f>
        <v>Sushi Rice</v>
      </c>
      <c r="C2" t="str">
        <f>_xlfn.XLOOKUP(A2,'Grocery and sales Data'!$A$1:$A$991,'Grocery and sales Data'!$C$1:$C$991)</f>
        <v>Grains &amp; Pulses</v>
      </c>
      <c r="D2" s="9">
        <f>_xlfn.XLOOKUP(A2,'Grocery and sales Data'!$A$1:$A$991,'Grocery and sales Data'!$I$1:$I$991)</f>
        <v>4.5</v>
      </c>
      <c r="E2">
        <f>_xlfn.XLOOKUP(A2,'Grocery and sales Data'!$A$1:$A$991,'Grocery and sales Data'!$R$1:$R$991)</f>
        <v>144</v>
      </c>
      <c r="F2" t="str">
        <f>IF(E2&gt;=1000,"High",IF(E2&gt;=100,"Medium","Low"))</f>
        <v>Medium</v>
      </c>
    </row>
    <row r="3" spans="1:6" ht="16" x14ac:dyDescent="0.4">
      <c r="A3" s="2" t="s">
        <v>28</v>
      </c>
      <c r="B3" t="str">
        <f>_xlfn.XLOOKUP(A3,'Grocery and sales Data'!$A$1:$A$991,'Grocery and sales Data'!$B$1:$B$991)</f>
        <v>Arabica Coffee</v>
      </c>
      <c r="C3" t="str">
        <f>_xlfn.XLOOKUP(A3,'Grocery and sales Data'!$A$1:$A$991,'Grocery and sales Data'!$C$1:$C$991)</f>
        <v>Beverages</v>
      </c>
      <c r="D3" s="9">
        <f>_xlfn.XLOOKUP(A3,'Grocery and sales Data'!$A$1:$A$991,'Grocery and sales Data'!$I$1:$I$991)</f>
        <v>20</v>
      </c>
      <c r="E3">
        <f>_xlfn.XLOOKUP(A3,'Grocery and sales Data'!$A$1:$A$991,'Grocery and sales Data'!$R$1:$R$991)</f>
        <v>1700</v>
      </c>
      <c r="F3" t="str">
        <f t="shared" ref="F3:F66" si="0">IF(E3&gt;=1000,"High",IF(E3&gt;=100,"Medium","Low"))</f>
        <v>High</v>
      </c>
    </row>
    <row r="4" spans="1:6" ht="16" x14ac:dyDescent="0.4">
      <c r="A4" s="2" t="s">
        <v>34</v>
      </c>
      <c r="B4" t="str">
        <f>_xlfn.XLOOKUP(A4,'Grocery and sales Data'!$A$1:$A$991,'Grocery and sales Data'!$B$1:$B$991)</f>
        <v>Black Rice</v>
      </c>
      <c r="C4" t="str">
        <f>_xlfn.XLOOKUP(A4,'Grocery and sales Data'!$A$1:$A$991,'Grocery and sales Data'!$C$1:$C$991)</f>
        <v>Grains &amp; Pulses</v>
      </c>
      <c r="D4" s="9">
        <f>_xlfn.XLOOKUP(A4,'Grocery and sales Data'!$A$1:$A$991,'Grocery and sales Data'!$I$1:$I$991)</f>
        <v>6</v>
      </c>
      <c r="E4">
        <f>_xlfn.XLOOKUP(A4,'Grocery and sales Data'!$A$1:$A$991,'Grocery and sales Data'!$R$1:$R$991)</f>
        <v>186</v>
      </c>
      <c r="F4" t="str">
        <f t="shared" si="0"/>
        <v>Medium</v>
      </c>
    </row>
    <row r="5" spans="1:6" ht="16" x14ac:dyDescent="0.4">
      <c r="A5" s="2" t="s">
        <v>40</v>
      </c>
      <c r="B5" t="str">
        <f>_xlfn.XLOOKUP(A5,'Grocery and sales Data'!$A$1:$A$991,'Grocery and sales Data'!$B$1:$B$991)</f>
        <v>Long Grain Rice</v>
      </c>
      <c r="C5" t="str">
        <f>_xlfn.XLOOKUP(A5,'Grocery and sales Data'!$A$1:$A$991,'Grocery and sales Data'!$C$1:$C$991)</f>
        <v>Grains &amp; Pulses</v>
      </c>
      <c r="D5" s="9">
        <f>_xlfn.XLOOKUP(A5,'Grocery and sales Data'!$A$1:$A$991,'Grocery and sales Data'!$I$1:$I$991)</f>
        <v>1.5</v>
      </c>
      <c r="E5">
        <f>_xlfn.XLOOKUP(A5,'Grocery and sales Data'!$A$1:$A$991,'Grocery and sales Data'!$R$1:$R$991)</f>
        <v>142.5</v>
      </c>
      <c r="F5" t="str">
        <f t="shared" si="0"/>
        <v>Medium</v>
      </c>
    </row>
    <row r="6" spans="1:6" ht="16" x14ac:dyDescent="0.4">
      <c r="A6" s="2" t="s">
        <v>46</v>
      </c>
      <c r="B6" t="str">
        <f>_xlfn.XLOOKUP(A6,'Grocery and sales Data'!$A$1:$A$991,'Grocery and sales Data'!$B$1:$B$991)</f>
        <v>Plum</v>
      </c>
      <c r="C6" t="str">
        <f>_xlfn.XLOOKUP(A6,'Grocery and sales Data'!$A$1:$A$991,'Grocery and sales Data'!$C$1:$C$991)</f>
        <v>Fruits &amp; Vegetables</v>
      </c>
      <c r="D6" s="9">
        <f>_xlfn.XLOOKUP(A6,'Grocery and sales Data'!$A$1:$A$991,'Grocery and sales Data'!$I$1:$I$991)</f>
        <v>4</v>
      </c>
      <c r="E6">
        <f>_xlfn.XLOOKUP(A6,'Grocery and sales Data'!$A$1:$A$991,'Grocery and sales Data'!$R$1:$R$991)</f>
        <v>248</v>
      </c>
      <c r="F6" t="str">
        <f t="shared" si="0"/>
        <v>Medium</v>
      </c>
    </row>
    <row r="7" spans="1:6" ht="16" x14ac:dyDescent="0.4">
      <c r="A7" s="2" t="s">
        <v>52</v>
      </c>
      <c r="B7" t="str">
        <f>_xlfn.XLOOKUP(A7,'Grocery and sales Data'!$A$1:$A$991,'Grocery and sales Data'!$B$1:$B$991)</f>
        <v>All-Purpose Flour</v>
      </c>
      <c r="C7" t="str">
        <f>_xlfn.XLOOKUP(A7,'Grocery and sales Data'!$A$1:$A$991,'Grocery and sales Data'!$C$1:$C$991)</f>
        <v>Grains &amp; Pulses</v>
      </c>
      <c r="D7" s="9">
        <f>_xlfn.XLOOKUP(A7,'Grocery and sales Data'!$A$1:$A$991,'Grocery and sales Data'!$I$1:$I$991)</f>
        <v>1.75</v>
      </c>
      <c r="E7">
        <f>_xlfn.XLOOKUP(A7,'Grocery and sales Data'!$A$1:$A$991,'Grocery and sales Data'!$R$1:$R$991)</f>
        <v>59.5</v>
      </c>
      <c r="F7" t="str">
        <f t="shared" si="0"/>
        <v>Low</v>
      </c>
    </row>
    <row r="8" spans="1:6" ht="16" x14ac:dyDescent="0.4">
      <c r="A8" s="2" t="s">
        <v>57</v>
      </c>
      <c r="B8" t="str">
        <f>_xlfn.XLOOKUP(A8,'Grocery and sales Data'!$A$1:$A$991,'Grocery and sales Data'!$B$1:$B$991)</f>
        <v>Corn Oil</v>
      </c>
      <c r="C8" t="str">
        <f>_xlfn.XLOOKUP(A8,'Grocery and sales Data'!$A$1:$A$991,'Grocery and sales Data'!$C$1:$C$991)</f>
        <v>Oils &amp; Fats</v>
      </c>
      <c r="D8" s="9">
        <f>_xlfn.XLOOKUP(A8,'Grocery and sales Data'!$A$1:$A$991,'Grocery and sales Data'!$I$1:$I$991)</f>
        <v>2.5</v>
      </c>
      <c r="E8">
        <f>_xlfn.XLOOKUP(A8,'Grocery and sales Data'!$A$1:$A$991,'Grocery and sales Data'!$R$1:$R$991)</f>
        <v>167.5</v>
      </c>
      <c r="F8" t="str">
        <f t="shared" si="0"/>
        <v>Medium</v>
      </c>
    </row>
    <row r="9" spans="1:6" ht="16" x14ac:dyDescent="0.4">
      <c r="A9" s="2" t="s">
        <v>63</v>
      </c>
      <c r="B9" t="str">
        <f>_xlfn.XLOOKUP(A9,'Grocery and sales Data'!$A$1:$A$991,'Grocery and sales Data'!$B$1:$B$991)</f>
        <v>Egg (Goose)</v>
      </c>
      <c r="C9" t="str">
        <f>_xlfn.XLOOKUP(A9,'Grocery and sales Data'!$A$1:$A$991,'Grocery and sales Data'!$C$1:$C$991)</f>
        <v>Dairy</v>
      </c>
      <c r="D9" s="9">
        <f>_xlfn.XLOOKUP(A9,'Grocery and sales Data'!$A$1:$A$991,'Grocery and sales Data'!$I$1:$I$991)</f>
        <v>2.5</v>
      </c>
      <c r="E9">
        <f>_xlfn.XLOOKUP(A9,'Grocery and sales Data'!$A$1:$A$991,'Grocery and sales Data'!$R$1:$R$991)</f>
        <v>52.5</v>
      </c>
      <c r="F9" t="str">
        <f t="shared" si="0"/>
        <v>Low</v>
      </c>
    </row>
    <row r="10" spans="1:6" ht="16" x14ac:dyDescent="0.4">
      <c r="A10" s="2" t="s">
        <v>69</v>
      </c>
      <c r="B10" t="str">
        <f>_xlfn.XLOOKUP(A10,'Grocery and sales Data'!$A$1:$A$991,'Grocery and sales Data'!$B$1:$B$991)</f>
        <v>Greek Yogurt</v>
      </c>
      <c r="C10" t="str">
        <f>_xlfn.XLOOKUP(A10,'Grocery and sales Data'!$A$1:$A$991,'Grocery and sales Data'!$C$1:$C$991)</f>
        <v>Dairy</v>
      </c>
      <c r="D10" s="9">
        <f>_xlfn.XLOOKUP(A10,'Grocery and sales Data'!$A$1:$A$991,'Grocery and sales Data'!$I$1:$I$991)</f>
        <v>3</v>
      </c>
      <c r="E10">
        <f>_xlfn.XLOOKUP(A10,'Grocery and sales Data'!$A$1:$A$991,'Grocery and sales Data'!$R$1:$R$991)</f>
        <v>168</v>
      </c>
      <c r="F10" t="str">
        <f t="shared" si="0"/>
        <v>Medium</v>
      </c>
    </row>
    <row r="11" spans="1:6" ht="16" x14ac:dyDescent="0.4">
      <c r="A11" s="2" t="s">
        <v>74</v>
      </c>
      <c r="B11" t="str">
        <f>_xlfn.XLOOKUP(A11,'Grocery and sales Data'!$A$1:$A$991,'Grocery and sales Data'!$B$1:$B$991)</f>
        <v>Egg (Duck)</v>
      </c>
      <c r="C11" t="str">
        <f>_xlfn.XLOOKUP(A11,'Grocery and sales Data'!$A$1:$A$991,'Grocery and sales Data'!$C$1:$C$991)</f>
        <v>Dairy</v>
      </c>
      <c r="D11" s="9">
        <f>_xlfn.XLOOKUP(A11,'Grocery and sales Data'!$A$1:$A$991,'Grocery and sales Data'!$I$1:$I$991)</f>
        <v>1</v>
      </c>
      <c r="E11">
        <f>_xlfn.XLOOKUP(A11,'Grocery and sales Data'!$A$1:$A$991,'Grocery and sales Data'!$R$1:$R$991)</f>
        <v>27</v>
      </c>
      <c r="F11" t="str">
        <f t="shared" si="0"/>
        <v>Low</v>
      </c>
    </row>
    <row r="12" spans="1:6" ht="16" x14ac:dyDescent="0.4">
      <c r="A12" s="2" t="s">
        <v>79</v>
      </c>
      <c r="B12" t="str">
        <f>_xlfn.XLOOKUP(A12,'Grocery and sales Data'!$A$1:$A$991,'Grocery and sales Data'!$B$1:$B$991)</f>
        <v>Long Grain Rice</v>
      </c>
      <c r="C12" t="str">
        <f>_xlfn.XLOOKUP(A12,'Grocery and sales Data'!$A$1:$A$991,'Grocery and sales Data'!$C$1:$C$991)</f>
        <v>Grains &amp; Pulses</v>
      </c>
      <c r="D12" s="9">
        <f>_xlfn.XLOOKUP(A12,'Grocery and sales Data'!$A$1:$A$991,'Grocery and sales Data'!$I$1:$I$991)</f>
        <v>1.6</v>
      </c>
      <c r="E12">
        <f>_xlfn.XLOOKUP(A12,'Grocery and sales Data'!$A$1:$A$991,'Grocery and sales Data'!$R$1:$R$991)</f>
        <v>160</v>
      </c>
      <c r="F12" t="str">
        <f t="shared" si="0"/>
        <v>Medium</v>
      </c>
    </row>
    <row r="13" spans="1:6" ht="16" x14ac:dyDescent="0.4">
      <c r="A13" s="2" t="s">
        <v>83</v>
      </c>
      <c r="B13" t="str">
        <f>_xlfn.XLOOKUP(A13,'Grocery and sales Data'!$A$1:$A$991,'Grocery and sales Data'!$B$1:$B$991)</f>
        <v>White Sugar</v>
      </c>
      <c r="C13" t="str">
        <f>_xlfn.XLOOKUP(A13,'Grocery and sales Data'!$A$1:$A$991,'Grocery and sales Data'!$C$1:$C$991)</f>
        <v>Grains &amp; Pulses</v>
      </c>
      <c r="D13" s="9">
        <f>_xlfn.XLOOKUP(A13,'Grocery and sales Data'!$A$1:$A$991,'Grocery and sales Data'!$I$1:$I$991)</f>
        <v>2</v>
      </c>
      <c r="E13">
        <f>_xlfn.XLOOKUP(A13,'Grocery and sales Data'!$A$1:$A$991,'Grocery and sales Data'!$R$1:$R$991)</f>
        <v>200</v>
      </c>
      <c r="F13" t="str">
        <f t="shared" si="0"/>
        <v>Medium</v>
      </c>
    </row>
    <row r="14" spans="1:6" ht="16" x14ac:dyDescent="0.4">
      <c r="A14" s="2" t="s">
        <v>88</v>
      </c>
      <c r="B14" t="str">
        <f>_xlfn.XLOOKUP(A14,'Grocery and sales Data'!$A$1:$A$991,'Grocery and sales Data'!$B$1:$B$991)</f>
        <v>Rye Bread</v>
      </c>
      <c r="C14" t="str">
        <f>_xlfn.XLOOKUP(A14,'Grocery and sales Data'!$A$1:$A$991,'Grocery and sales Data'!$C$1:$C$991)</f>
        <v>Bakery</v>
      </c>
      <c r="D14" s="9">
        <f>_xlfn.XLOOKUP(A14,'Grocery and sales Data'!$A$1:$A$991,'Grocery and sales Data'!$I$1:$I$991)</f>
        <v>3</v>
      </c>
      <c r="E14">
        <f>_xlfn.XLOOKUP(A14,'Grocery and sales Data'!$A$1:$A$991,'Grocery and sales Data'!$R$1:$R$991)</f>
        <v>141</v>
      </c>
      <c r="F14" t="str">
        <f t="shared" si="0"/>
        <v>Medium</v>
      </c>
    </row>
    <row r="15" spans="1:6" ht="16" x14ac:dyDescent="0.4">
      <c r="A15" s="2" t="s">
        <v>94</v>
      </c>
      <c r="B15" t="str">
        <f>_xlfn.XLOOKUP(A15,'Grocery and sales Data'!$A$1:$A$991,'Grocery and sales Data'!$B$1:$B$991)</f>
        <v>Plum</v>
      </c>
      <c r="C15" t="str">
        <f>_xlfn.XLOOKUP(A15,'Grocery and sales Data'!$A$1:$A$991,'Grocery and sales Data'!$C$1:$C$991)</f>
        <v>Fruits &amp; Vegetables</v>
      </c>
      <c r="D15" s="9">
        <f>_xlfn.XLOOKUP(A15,'Grocery and sales Data'!$A$1:$A$991,'Grocery and sales Data'!$I$1:$I$991)</f>
        <v>4</v>
      </c>
      <c r="E15">
        <f>_xlfn.XLOOKUP(A15,'Grocery and sales Data'!$A$1:$A$991,'Grocery and sales Data'!$R$1:$R$991)</f>
        <v>276</v>
      </c>
      <c r="F15" t="str">
        <f t="shared" si="0"/>
        <v>Medium</v>
      </c>
    </row>
    <row r="16" spans="1:6" ht="16" x14ac:dyDescent="0.4">
      <c r="A16" s="2" t="s">
        <v>98</v>
      </c>
      <c r="B16" t="str">
        <f>_xlfn.XLOOKUP(A16,'Grocery and sales Data'!$A$1:$A$991,'Grocery and sales Data'!$B$1:$B$991)</f>
        <v>Strawberries</v>
      </c>
      <c r="C16" t="str">
        <f>_xlfn.XLOOKUP(A16,'Grocery and sales Data'!$A$1:$A$991,'Grocery and sales Data'!$C$1:$C$991)</f>
        <v>Fruits &amp; Vegetables</v>
      </c>
      <c r="D16" s="9">
        <f>_xlfn.XLOOKUP(A16,'Grocery and sales Data'!$A$1:$A$991,'Grocery and sales Data'!$I$1:$I$991)</f>
        <v>6</v>
      </c>
      <c r="E16">
        <f>_xlfn.XLOOKUP(A16,'Grocery and sales Data'!$A$1:$A$991,'Grocery and sales Data'!$R$1:$R$991)</f>
        <v>378</v>
      </c>
      <c r="F16" t="str">
        <f t="shared" si="0"/>
        <v>Medium</v>
      </c>
    </row>
    <row r="17" spans="1:6" ht="16" x14ac:dyDescent="0.4">
      <c r="A17" s="2" t="s">
        <v>103</v>
      </c>
      <c r="B17" t="str">
        <f>_xlfn.XLOOKUP(A17,'Grocery and sales Data'!$A$1:$A$991,'Grocery and sales Data'!$B$1:$B$991)</f>
        <v>Feta Cheese</v>
      </c>
      <c r="C17" t="str">
        <f>_xlfn.XLOOKUP(A17,'Grocery and sales Data'!$A$1:$A$991,'Grocery and sales Data'!$C$1:$C$991)</f>
        <v>Dairy</v>
      </c>
      <c r="D17" s="9">
        <f>_xlfn.XLOOKUP(A17,'Grocery and sales Data'!$A$1:$A$991,'Grocery and sales Data'!$I$1:$I$991)</f>
        <v>7</v>
      </c>
      <c r="E17">
        <f>_xlfn.XLOOKUP(A17,'Grocery and sales Data'!$A$1:$A$991,'Grocery and sales Data'!$R$1:$R$991)</f>
        <v>140</v>
      </c>
      <c r="F17" t="str">
        <f t="shared" si="0"/>
        <v>Medium</v>
      </c>
    </row>
    <row r="18" spans="1:6" ht="16" x14ac:dyDescent="0.4">
      <c r="A18" s="2" t="s">
        <v>108</v>
      </c>
      <c r="B18" t="str">
        <f>_xlfn.XLOOKUP(A18,'Grocery and sales Data'!$A$1:$A$991,'Grocery and sales Data'!$B$1:$B$991)</f>
        <v>Bread Flour</v>
      </c>
      <c r="C18" t="str">
        <f>_xlfn.XLOOKUP(A18,'Grocery and sales Data'!$A$1:$A$991,'Grocery and sales Data'!$C$1:$C$991)</f>
        <v>Grains &amp; Pulses</v>
      </c>
      <c r="D18" s="9">
        <f>_xlfn.XLOOKUP(A18,'Grocery and sales Data'!$A$1:$A$991,'Grocery and sales Data'!$I$1:$I$991)</f>
        <v>1.5</v>
      </c>
      <c r="E18">
        <f>_xlfn.XLOOKUP(A18,'Grocery and sales Data'!$A$1:$A$991,'Grocery and sales Data'!$R$1:$R$991)</f>
        <v>99</v>
      </c>
      <c r="F18" t="str">
        <f t="shared" si="0"/>
        <v>Low</v>
      </c>
    </row>
    <row r="19" spans="1:6" ht="16" x14ac:dyDescent="0.4">
      <c r="A19" s="2" t="s">
        <v>113</v>
      </c>
      <c r="B19" t="str">
        <f>_xlfn.XLOOKUP(A19,'Grocery and sales Data'!$A$1:$A$991,'Grocery and sales Data'!$B$1:$B$991)</f>
        <v>Swiss Cheese</v>
      </c>
      <c r="C19" t="str">
        <f>_xlfn.XLOOKUP(A19,'Grocery and sales Data'!$A$1:$A$991,'Grocery and sales Data'!$C$1:$C$991)</f>
        <v>Dairy</v>
      </c>
      <c r="D19" s="9">
        <f>_xlfn.XLOOKUP(A19,'Grocery and sales Data'!$A$1:$A$991,'Grocery and sales Data'!$I$1:$I$991)</f>
        <v>8</v>
      </c>
      <c r="E19">
        <f>_xlfn.XLOOKUP(A19,'Grocery and sales Data'!$A$1:$A$991,'Grocery and sales Data'!$R$1:$R$991)</f>
        <v>624</v>
      </c>
      <c r="F19" t="str">
        <f t="shared" si="0"/>
        <v>Medium</v>
      </c>
    </row>
    <row r="20" spans="1:6" ht="16" x14ac:dyDescent="0.4">
      <c r="A20" s="2" t="s">
        <v>118</v>
      </c>
      <c r="B20" t="str">
        <f>_xlfn.XLOOKUP(A20,'Grocery and sales Data'!$A$1:$A$991,'Grocery and sales Data'!$B$1:$B$991)</f>
        <v>Arabica Coffee</v>
      </c>
      <c r="C20" t="str">
        <f>_xlfn.XLOOKUP(A20,'Grocery and sales Data'!$A$1:$A$991,'Grocery and sales Data'!$C$1:$C$991)</f>
        <v>Beverages</v>
      </c>
      <c r="D20" s="9">
        <f>_xlfn.XLOOKUP(A20,'Grocery and sales Data'!$A$1:$A$991,'Grocery and sales Data'!$I$1:$I$991)</f>
        <v>20</v>
      </c>
      <c r="E20">
        <f>_xlfn.XLOOKUP(A20,'Grocery and sales Data'!$A$1:$A$991,'Grocery and sales Data'!$R$1:$R$991)</f>
        <v>920</v>
      </c>
      <c r="F20" t="str">
        <f t="shared" si="0"/>
        <v>Medium</v>
      </c>
    </row>
    <row r="21" spans="1:6" ht="16" x14ac:dyDescent="0.4">
      <c r="A21" s="2" t="s">
        <v>122</v>
      </c>
      <c r="B21" t="str">
        <f>_xlfn.XLOOKUP(A21,'Grocery and sales Data'!$A$1:$A$991,'Grocery and sales Data'!$B$1:$B$991)</f>
        <v>White Sugar</v>
      </c>
      <c r="C21" t="str">
        <f>_xlfn.XLOOKUP(A21,'Grocery and sales Data'!$A$1:$A$991,'Grocery and sales Data'!$C$1:$C$991)</f>
        <v>Grains &amp; Pulses</v>
      </c>
      <c r="D21" s="9">
        <f>_xlfn.XLOOKUP(A21,'Grocery and sales Data'!$A$1:$A$991,'Grocery and sales Data'!$I$1:$I$991)</f>
        <v>2</v>
      </c>
      <c r="E21">
        <f>_xlfn.XLOOKUP(A21,'Grocery and sales Data'!$A$1:$A$991,'Grocery and sales Data'!$R$1:$R$991)</f>
        <v>58</v>
      </c>
      <c r="F21" t="str">
        <f t="shared" si="0"/>
        <v>Low</v>
      </c>
    </row>
    <row r="22" spans="1:6" ht="16" x14ac:dyDescent="0.4">
      <c r="A22" s="2" t="s">
        <v>126</v>
      </c>
      <c r="B22" t="str">
        <f>_xlfn.XLOOKUP(A22,'Grocery and sales Data'!$A$1:$A$991,'Grocery and sales Data'!$B$1:$B$991)</f>
        <v>Spinach</v>
      </c>
      <c r="C22" t="str">
        <f>_xlfn.XLOOKUP(A22,'Grocery and sales Data'!$A$1:$A$991,'Grocery and sales Data'!$C$1:$C$991)</f>
        <v>Fruits &amp; Vegetables</v>
      </c>
      <c r="D22" s="9">
        <f>_xlfn.XLOOKUP(A22,'Grocery and sales Data'!$A$1:$A$991,'Grocery and sales Data'!$I$1:$I$991)</f>
        <v>2.5</v>
      </c>
      <c r="E22">
        <f>_xlfn.XLOOKUP(A22,'Grocery and sales Data'!$A$1:$A$991,'Grocery and sales Data'!$R$1:$R$991)</f>
        <v>205</v>
      </c>
      <c r="F22" t="str">
        <f t="shared" si="0"/>
        <v>Medium</v>
      </c>
    </row>
    <row r="23" spans="1:6" ht="16" x14ac:dyDescent="0.4">
      <c r="A23" s="2" t="s">
        <v>131</v>
      </c>
      <c r="B23" t="str">
        <f>_xlfn.XLOOKUP(A23,'Grocery and sales Data'!$A$1:$A$991,'Grocery and sales Data'!$B$1:$B$991)</f>
        <v>Trout</v>
      </c>
      <c r="C23" t="str">
        <f>_xlfn.XLOOKUP(A23,'Grocery and sales Data'!$A$1:$A$991,'Grocery and sales Data'!$C$1:$C$991)</f>
        <v>Seafood</v>
      </c>
      <c r="D23" s="9">
        <f>_xlfn.XLOOKUP(A23,'Grocery and sales Data'!$A$1:$A$991,'Grocery and sales Data'!$I$1:$I$991)</f>
        <v>12</v>
      </c>
      <c r="E23">
        <f>_xlfn.XLOOKUP(A23,'Grocery and sales Data'!$A$1:$A$991,'Grocery and sales Data'!$R$1:$R$991)</f>
        <v>624</v>
      </c>
      <c r="F23" t="str">
        <f t="shared" si="0"/>
        <v>Medium</v>
      </c>
    </row>
    <row r="24" spans="1:6" ht="16" x14ac:dyDescent="0.4">
      <c r="A24" s="2" t="s">
        <v>137</v>
      </c>
      <c r="B24" t="str">
        <f>_xlfn.XLOOKUP(A24,'Grocery and sales Data'!$A$1:$A$991,'Grocery and sales Data'!$B$1:$B$991)</f>
        <v>Green Beans</v>
      </c>
      <c r="C24" t="str">
        <f>_xlfn.XLOOKUP(A24,'Grocery and sales Data'!$A$1:$A$991,'Grocery and sales Data'!$C$1:$C$991)</f>
        <v>Fruits &amp; Vegetables</v>
      </c>
      <c r="D24" s="9">
        <f>_xlfn.XLOOKUP(A24,'Grocery and sales Data'!$A$1:$A$991,'Grocery and sales Data'!$I$1:$I$991)</f>
        <v>2</v>
      </c>
      <c r="E24">
        <f>_xlfn.XLOOKUP(A24,'Grocery and sales Data'!$A$1:$A$991,'Grocery and sales Data'!$R$1:$R$991)</f>
        <v>40</v>
      </c>
      <c r="F24" t="str">
        <f t="shared" si="0"/>
        <v>Low</v>
      </c>
    </row>
    <row r="25" spans="1:6" ht="16" x14ac:dyDescent="0.4">
      <c r="A25" s="2" t="s">
        <v>142</v>
      </c>
      <c r="B25" t="str">
        <f>_xlfn.XLOOKUP(A25,'Grocery and sales Data'!$A$1:$A$991,'Grocery and sales Data'!$B$1:$B$991)</f>
        <v>Cabbage</v>
      </c>
      <c r="C25" t="str">
        <f>_xlfn.XLOOKUP(A25,'Grocery and sales Data'!$A$1:$A$991,'Grocery and sales Data'!$C$1:$C$991)</f>
        <v>Fruits &amp; Vegetables</v>
      </c>
      <c r="D25" s="9">
        <f>_xlfn.XLOOKUP(A25,'Grocery and sales Data'!$A$1:$A$991,'Grocery and sales Data'!$I$1:$I$991)</f>
        <v>1</v>
      </c>
      <c r="E25">
        <f>_xlfn.XLOOKUP(A25,'Grocery and sales Data'!$A$1:$A$991,'Grocery and sales Data'!$R$1:$R$991)</f>
        <v>73</v>
      </c>
      <c r="F25" t="str">
        <f t="shared" si="0"/>
        <v>Low</v>
      </c>
    </row>
    <row r="26" spans="1:6" ht="16" x14ac:dyDescent="0.4">
      <c r="A26" s="2" t="s">
        <v>147</v>
      </c>
      <c r="B26" t="str">
        <f>_xlfn.XLOOKUP(A26,'Grocery and sales Data'!$A$1:$A$991,'Grocery and sales Data'!$B$1:$B$991)</f>
        <v>Parmesan Cheese</v>
      </c>
      <c r="C26" t="str">
        <f>_xlfn.XLOOKUP(A26,'Grocery and sales Data'!$A$1:$A$991,'Grocery and sales Data'!$C$1:$C$991)</f>
        <v>Dairy</v>
      </c>
      <c r="D26" s="9">
        <f>_xlfn.XLOOKUP(A26,'Grocery and sales Data'!$A$1:$A$991,'Grocery and sales Data'!$I$1:$I$991)</f>
        <v>12</v>
      </c>
      <c r="E26">
        <f>_xlfn.XLOOKUP(A26,'Grocery and sales Data'!$A$1:$A$991,'Grocery and sales Data'!$R$1:$R$991)</f>
        <v>708</v>
      </c>
      <c r="F26" t="str">
        <f t="shared" si="0"/>
        <v>Medium</v>
      </c>
    </row>
    <row r="27" spans="1:6" ht="16" x14ac:dyDescent="0.4">
      <c r="A27" s="2" t="s">
        <v>152</v>
      </c>
      <c r="B27" t="str">
        <f>_xlfn.XLOOKUP(A27,'Grocery and sales Data'!$A$1:$A$991,'Grocery and sales Data'!$B$1:$B$991)</f>
        <v>Raw Sugar</v>
      </c>
      <c r="C27" t="str">
        <f>_xlfn.XLOOKUP(A27,'Grocery and sales Data'!$A$1:$A$991,'Grocery and sales Data'!$C$1:$C$991)</f>
        <v>Grains &amp; Pulses</v>
      </c>
      <c r="D27" s="9">
        <f>_xlfn.XLOOKUP(A27,'Grocery and sales Data'!$A$1:$A$991,'Grocery and sales Data'!$I$1:$I$991)</f>
        <v>1.5</v>
      </c>
      <c r="E27">
        <f>_xlfn.XLOOKUP(A27,'Grocery and sales Data'!$A$1:$A$991,'Grocery and sales Data'!$R$1:$R$991)</f>
        <v>69</v>
      </c>
      <c r="F27" t="str">
        <f t="shared" si="0"/>
        <v>Low</v>
      </c>
    </row>
    <row r="28" spans="1:6" ht="16" x14ac:dyDescent="0.4">
      <c r="A28" s="2" t="s">
        <v>157</v>
      </c>
      <c r="B28" t="str">
        <f>_xlfn.XLOOKUP(A28,'Grocery and sales Data'!$A$1:$A$991,'Grocery and sales Data'!$B$1:$B$991)</f>
        <v>Egg (Quail)</v>
      </c>
      <c r="C28" t="str">
        <f>_xlfn.XLOOKUP(A28,'Grocery and sales Data'!$A$1:$A$991,'Grocery and sales Data'!$C$1:$C$991)</f>
        <v>Dairy</v>
      </c>
      <c r="D28" s="9">
        <f>_xlfn.XLOOKUP(A28,'Grocery and sales Data'!$A$1:$A$991,'Grocery and sales Data'!$I$1:$I$991)</f>
        <v>0.8</v>
      </c>
      <c r="E28">
        <f>_xlfn.XLOOKUP(A28,'Grocery and sales Data'!$A$1:$A$991,'Grocery and sales Data'!$R$1:$R$991)</f>
        <v>77.600000000000009</v>
      </c>
      <c r="F28" t="str">
        <f t="shared" si="0"/>
        <v>Low</v>
      </c>
    </row>
    <row r="29" spans="1:6" ht="16" x14ac:dyDescent="0.4">
      <c r="A29" s="2" t="s">
        <v>162</v>
      </c>
      <c r="B29" t="str">
        <f>_xlfn.XLOOKUP(A29,'Grocery and sales Data'!$A$1:$A$991,'Grocery and sales Data'!$B$1:$B$991)</f>
        <v>Mushrooms</v>
      </c>
      <c r="C29" t="str">
        <f>_xlfn.XLOOKUP(A29,'Grocery and sales Data'!$A$1:$A$991,'Grocery and sales Data'!$C$1:$C$991)</f>
        <v>Fruits &amp; Vegetables</v>
      </c>
      <c r="D29" s="9">
        <f>_xlfn.XLOOKUP(A29,'Grocery and sales Data'!$A$1:$A$991,'Grocery and sales Data'!$I$1:$I$991)</f>
        <v>6</v>
      </c>
      <c r="E29">
        <f>_xlfn.XLOOKUP(A29,'Grocery and sales Data'!$A$1:$A$991,'Grocery and sales Data'!$R$1:$R$991)</f>
        <v>564</v>
      </c>
      <c r="F29" t="str">
        <f t="shared" si="0"/>
        <v>Medium</v>
      </c>
    </row>
    <row r="30" spans="1:6" ht="16" x14ac:dyDescent="0.4">
      <c r="A30" s="2" t="s">
        <v>167</v>
      </c>
      <c r="B30" t="str">
        <f>_xlfn.XLOOKUP(A30,'Grocery and sales Data'!$A$1:$A$991,'Grocery and sales Data'!$B$1:$B$991)</f>
        <v>Oatmeal Biscuit</v>
      </c>
      <c r="C30" t="str">
        <f>_xlfn.XLOOKUP(A30,'Grocery and sales Data'!$A$1:$A$991,'Grocery and sales Data'!$C$1:$C$991)</f>
        <v>Bakery</v>
      </c>
      <c r="D30" s="9">
        <f>_xlfn.XLOOKUP(A30,'Grocery and sales Data'!$A$1:$A$991,'Grocery and sales Data'!$I$1:$I$991)</f>
        <v>5</v>
      </c>
      <c r="E30">
        <f>_xlfn.XLOOKUP(A30,'Grocery and sales Data'!$A$1:$A$991,'Grocery and sales Data'!$R$1:$R$991)</f>
        <v>250</v>
      </c>
      <c r="F30" t="str">
        <f t="shared" si="0"/>
        <v>Medium</v>
      </c>
    </row>
    <row r="31" spans="1:6" ht="16" x14ac:dyDescent="0.4">
      <c r="A31" s="2" t="s">
        <v>171</v>
      </c>
      <c r="B31" t="str">
        <f>_xlfn.XLOOKUP(A31,'Grocery and sales Data'!$A$1:$A$991,'Grocery and sales Data'!$B$1:$B$991)</f>
        <v>Pear</v>
      </c>
      <c r="C31" t="str">
        <f>_xlfn.XLOOKUP(A31,'Grocery and sales Data'!$A$1:$A$991,'Grocery and sales Data'!$C$1:$C$991)</f>
        <v>Fruits &amp; Vegetables</v>
      </c>
      <c r="D31" s="9">
        <f>_xlfn.XLOOKUP(A31,'Grocery and sales Data'!$A$1:$A$991,'Grocery and sales Data'!$I$1:$I$991)</f>
        <v>4.5</v>
      </c>
      <c r="E31">
        <f>_xlfn.XLOOKUP(A31,'Grocery and sales Data'!$A$1:$A$991,'Grocery and sales Data'!$R$1:$R$991)</f>
        <v>274.5</v>
      </c>
      <c r="F31" t="str">
        <f t="shared" si="0"/>
        <v>Medium</v>
      </c>
    </row>
    <row r="32" spans="1:6" ht="16" x14ac:dyDescent="0.4">
      <c r="A32" s="2" t="s">
        <v>176</v>
      </c>
      <c r="B32" t="str">
        <f>_xlfn.XLOOKUP(A32,'Grocery and sales Data'!$A$1:$A$991,'Grocery and sales Data'!$B$1:$B$991)</f>
        <v>Cucumber</v>
      </c>
      <c r="C32" t="str">
        <f>_xlfn.XLOOKUP(A32,'Grocery and sales Data'!$A$1:$A$991,'Grocery and sales Data'!$C$1:$C$991)</f>
        <v>Fruits &amp; Vegetables</v>
      </c>
      <c r="D32" s="9">
        <f>_xlfn.XLOOKUP(A32,'Grocery and sales Data'!$A$1:$A$991,'Grocery and sales Data'!$I$1:$I$991)</f>
        <v>1.75</v>
      </c>
      <c r="E32">
        <f>_xlfn.XLOOKUP(A32,'Grocery and sales Data'!$A$1:$A$991,'Grocery and sales Data'!$R$1:$R$991)</f>
        <v>54.25</v>
      </c>
      <c r="F32" t="str">
        <f t="shared" si="0"/>
        <v>Low</v>
      </c>
    </row>
    <row r="33" spans="1:6" ht="16" x14ac:dyDescent="0.4">
      <c r="A33" s="2" t="s">
        <v>181</v>
      </c>
      <c r="B33" t="str">
        <f>_xlfn.XLOOKUP(A33,'Grocery and sales Data'!$A$1:$A$991,'Grocery and sales Data'!$B$1:$B$991)</f>
        <v>Pineapple</v>
      </c>
      <c r="C33" t="str">
        <f>_xlfn.XLOOKUP(A33,'Grocery and sales Data'!$A$1:$A$991,'Grocery and sales Data'!$C$1:$C$991)</f>
        <v>Fruits &amp; Vegetables</v>
      </c>
      <c r="D33" s="9">
        <f>_xlfn.XLOOKUP(A33,'Grocery and sales Data'!$A$1:$A$991,'Grocery and sales Data'!$I$1:$I$991)</f>
        <v>3.5</v>
      </c>
      <c r="E33">
        <f>_xlfn.XLOOKUP(A33,'Grocery and sales Data'!$A$1:$A$991,'Grocery and sales Data'!$R$1:$R$991)</f>
        <v>147</v>
      </c>
      <c r="F33" t="str">
        <f t="shared" si="0"/>
        <v>Medium</v>
      </c>
    </row>
    <row r="34" spans="1:6" ht="16" x14ac:dyDescent="0.4">
      <c r="A34" s="2" t="s">
        <v>186</v>
      </c>
      <c r="B34" t="str">
        <f>_xlfn.XLOOKUP(A34,'Grocery and sales Data'!$A$1:$A$991,'Grocery and sales Data'!$B$1:$B$991)</f>
        <v>Olive Oil</v>
      </c>
      <c r="C34" t="str">
        <f>_xlfn.XLOOKUP(A34,'Grocery and sales Data'!$A$1:$A$991,'Grocery and sales Data'!$C$1:$C$991)</f>
        <v>Oils &amp; Fats</v>
      </c>
      <c r="D34" s="9">
        <f>_xlfn.XLOOKUP(A34,'Grocery and sales Data'!$A$1:$A$991,'Grocery and sales Data'!$I$1:$I$991)</f>
        <v>6</v>
      </c>
      <c r="E34">
        <f>_xlfn.XLOOKUP(A34,'Grocery and sales Data'!$A$1:$A$991,'Grocery and sales Data'!$R$1:$R$991)</f>
        <v>252</v>
      </c>
      <c r="F34" t="str">
        <f t="shared" si="0"/>
        <v>Medium</v>
      </c>
    </row>
    <row r="35" spans="1:6" ht="16" x14ac:dyDescent="0.4">
      <c r="A35" s="2" t="s">
        <v>191</v>
      </c>
      <c r="B35" t="str">
        <f>_xlfn.XLOOKUP(A35,'Grocery and sales Data'!$A$1:$A$991,'Grocery and sales Data'!$B$1:$B$991)</f>
        <v>Herbal Tea</v>
      </c>
      <c r="C35" t="str">
        <f>_xlfn.XLOOKUP(A35,'Grocery and sales Data'!$A$1:$A$991,'Grocery and sales Data'!$C$1:$C$991)</f>
        <v>Beverages</v>
      </c>
      <c r="D35" s="9">
        <f>_xlfn.XLOOKUP(A35,'Grocery and sales Data'!$A$1:$A$991,'Grocery and sales Data'!$I$1:$I$991)</f>
        <v>30</v>
      </c>
      <c r="E35">
        <f>_xlfn.XLOOKUP(A35,'Grocery and sales Data'!$A$1:$A$991,'Grocery and sales Data'!$R$1:$R$991)</f>
        <v>750</v>
      </c>
      <c r="F35" t="str">
        <f t="shared" si="0"/>
        <v>Medium</v>
      </c>
    </row>
    <row r="36" spans="1:6" ht="16" x14ac:dyDescent="0.4">
      <c r="A36" s="2" t="s">
        <v>196</v>
      </c>
      <c r="B36" t="str">
        <f>_xlfn.XLOOKUP(A36,'Grocery and sales Data'!$A$1:$A$991,'Grocery and sales Data'!$B$1:$B$991)</f>
        <v>Haddock</v>
      </c>
      <c r="C36" t="str">
        <f>_xlfn.XLOOKUP(A36,'Grocery and sales Data'!$A$1:$A$991,'Grocery and sales Data'!$C$1:$C$991)</f>
        <v>Seafood</v>
      </c>
      <c r="D36" s="9">
        <f>_xlfn.XLOOKUP(A36,'Grocery and sales Data'!$A$1:$A$991,'Grocery and sales Data'!$I$1:$I$991)</f>
        <v>9</v>
      </c>
      <c r="E36">
        <f>_xlfn.XLOOKUP(A36,'Grocery and sales Data'!$A$1:$A$991,'Grocery and sales Data'!$R$1:$R$991)</f>
        <v>585</v>
      </c>
      <c r="F36" t="str">
        <f t="shared" si="0"/>
        <v>Medium</v>
      </c>
    </row>
    <row r="37" spans="1:6" ht="16" x14ac:dyDescent="0.4">
      <c r="A37" s="2" t="s">
        <v>201</v>
      </c>
      <c r="B37" t="str">
        <f>_xlfn.XLOOKUP(A37,'Grocery and sales Data'!$A$1:$A$991,'Grocery and sales Data'!$B$1:$B$991)</f>
        <v>Onion</v>
      </c>
      <c r="C37" t="str">
        <f>_xlfn.XLOOKUP(A37,'Grocery and sales Data'!$A$1:$A$991,'Grocery and sales Data'!$C$1:$C$991)</f>
        <v>Fruits &amp; Vegetables</v>
      </c>
      <c r="D37" s="9">
        <f>_xlfn.XLOOKUP(A37,'Grocery and sales Data'!$A$1:$A$991,'Grocery and sales Data'!$I$1:$I$991)</f>
        <v>2</v>
      </c>
      <c r="E37">
        <f>_xlfn.XLOOKUP(A37,'Grocery and sales Data'!$A$1:$A$991,'Grocery and sales Data'!$R$1:$R$991)</f>
        <v>120</v>
      </c>
      <c r="F37" t="str">
        <f t="shared" si="0"/>
        <v>Medium</v>
      </c>
    </row>
    <row r="38" spans="1:6" ht="16" x14ac:dyDescent="0.4">
      <c r="A38" s="2" t="s">
        <v>206</v>
      </c>
      <c r="B38" t="str">
        <f>_xlfn.XLOOKUP(A38,'Grocery and sales Data'!$A$1:$A$991,'Grocery and sales Data'!$B$1:$B$991)</f>
        <v>Sushi Rice</v>
      </c>
      <c r="C38" t="str">
        <f>_xlfn.XLOOKUP(A38,'Grocery and sales Data'!$A$1:$A$991,'Grocery and sales Data'!$C$1:$C$991)</f>
        <v>Grains &amp; Pulses</v>
      </c>
      <c r="D38" s="9">
        <f>_xlfn.XLOOKUP(A38,'Grocery and sales Data'!$A$1:$A$991,'Grocery and sales Data'!$I$1:$I$991)</f>
        <v>4.5</v>
      </c>
      <c r="E38">
        <f>_xlfn.XLOOKUP(A38,'Grocery and sales Data'!$A$1:$A$991,'Grocery and sales Data'!$R$1:$R$991)</f>
        <v>193.5</v>
      </c>
      <c r="F38" t="str">
        <f t="shared" si="0"/>
        <v>Medium</v>
      </c>
    </row>
    <row r="39" spans="1:6" ht="16" x14ac:dyDescent="0.4">
      <c r="A39" s="2" t="s">
        <v>210</v>
      </c>
      <c r="B39" t="str">
        <f>_xlfn.XLOOKUP(A39,'Grocery and sales Data'!$A$1:$A$991,'Grocery and sales Data'!$B$1:$B$991)</f>
        <v>Pineapple</v>
      </c>
      <c r="C39" t="str">
        <f>_xlfn.XLOOKUP(A39,'Grocery and sales Data'!$A$1:$A$991,'Grocery and sales Data'!$C$1:$C$991)</f>
        <v>Fruits &amp; Vegetables</v>
      </c>
      <c r="D39" s="9">
        <f>_xlfn.XLOOKUP(A39,'Grocery and sales Data'!$A$1:$A$991,'Grocery and sales Data'!$I$1:$I$991)</f>
        <v>3.45</v>
      </c>
      <c r="E39">
        <f>_xlfn.XLOOKUP(A39,'Grocery and sales Data'!$A$1:$A$991,'Grocery and sales Data'!$R$1:$R$991)</f>
        <v>175.95000000000002</v>
      </c>
      <c r="F39" t="str">
        <f t="shared" si="0"/>
        <v>Medium</v>
      </c>
    </row>
    <row r="40" spans="1:6" ht="16" x14ac:dyDescent="0.4">
      <c r="A40" s="2" t="s">
        <v>214</v>
      </c>
      <c r="B40" t="str">
        <f>_xlfn.XLOOKUP(A40,'Grocery and sales Data'!$A$1:$A$991,'Grocery and sales Data'!$B$1:$B$991)</f>
        <v>Zucchini</v>
      </c>
      <c r="C40" t="str">
        <f>_xlfn.XLOOKUP(A40,'Grocery and sales Data'!$A$1:$A$991,'Grocery and sales Data'!$C$1:$C$991)</f>
        <v>Fruits &amp; Vegetables</v>
      </c>
      <c r="D40" s="9">
        <f>_xlfn.XLOOKUP(A40,'Grocery and sales Data'!$A$1:$A$991,'Grocery and sales Data'!$I$1:$I$991)</f>
        <v>2.5</v>
      </c>
      <c r="E40">
        <f>_xlfn.XLOOKUP(A40,'Grocery and sales Data'!$A$1:$A$991,'Grocery and sales Data'!$R$1:$R$991)</f>
        <v>197.5</v>
      </c>
      <c r="F40" t="str">
        <f t="shared" si="0"/>
        <v>Medium</v>
      </c>
    </row>
    <row r="41" spans="1:6" ht="16" x14ac:dyDescent="0.4">
      <c r="A41" s="2" t="s">
        <v>219</v>
      </c>
      <c r="B41" t="str">
        <f>_xlfn.XLOOKUP(A41,'Grocery and sales Data'!$A$1:$A$991,'Grocery and sales Data'!$B$1:$B$991)</f>
        <v>Short Grain Rice</v>
      </c>
      <c r="C41" t="str">
        <f>_xlfn.XLOOKUP(A41,'Grocery and sales Data'!$A$1:$A$991,'Grocery and sales Data'!$C$1:$C$991)</f>
        <v>Grains &amp; Pulses</v>
      </c>
      <c r="D41" s="9">
        <f>_xlfn.XLOOKUP(A41,'Grocery and sales Data'!$A$1:$A$991,'Grocery and sales Data'!$I$1:$I$991)</f>
        <v>3</v>
      </c>
      <c r="E41">
        <f>_xlfn.XLOOKUP(A41,'Grocery and sales Data'!$A$1:$A$991,'Grocery and sales Data'!$R$1:$R$991)</f>
        <v>141</v>
      </c>
      <c r="F41" t="str">
        <f t="shared" si="0"/>
        <v>Medium</v>
      </c>
    </row>
    <row r="42" spans="1:6" ht="16" x14ac:dyDescent="0.4">
      <c r="A42" s="2" t="s">
        <v>224</v>
      </c>
      <c r="B42" t="str">
        <f>_xlfn.XLOOKUP(A42,'Grocery and sales Data'!$A$1:$A$991,'Grocery and sales Data'!$B$1:$B$991)</f>
        <v>Mango</v>
      </c>
      <c r="C42" t="str">
        <f>_xlfn.XLOOKUP(A42,'Grocery and sales Data'!$A$1:$A$991,'Grocery and sales Data'!$C$1:$C$991)</f>
        <v>Fruits &amp; Vegetables</v>
      </c>
      <c r="D42" s="9">
        <f>_xlfn.XLOOKUP(A42,'Grocery and sales Data'!$A$1:$A$991,'Grocery and sales Data'!$I$1:$I$991)</f>
        <v>5</v>
      </c>
      <c r="E42">
        <f>_xlfn.XLOOKUP(A42,'Grocery and sales Data'!$A$1:$A$991,'Grocery and sales Data'!$R$1:$R$991)</f>
        <v>195</v>
      </c>
      <c r="F42" t="str">
        <f t="shared" si="0"/>
        <v>Medium</v>
      </c>
    </row>
    <row r="43" spans="1:6" ht="16" x14ac:dyDescent="0.4">
      <c r="A43" s="2" t="s">
        <v>229</v>
      </c>
      <c r="B43" t="str">
        <f>_xlfn.XLOOKUP(A43,'Grocery and sales Data'!$A$1:$A$991,'Grocery and sales Data'!$B$1:$B$991)</f>
        <v>Lemon</v>
      </c>
      <c r="C43" t="str">
        <f>_xlfn.XLOOKUP(A43,'Grocery and sales Data'!$A$1:$A$991,'Grocery and sales Data'!$C$1:$C$991)</f>
        <v>Fruits &amp; Vegetables</v>
      </c>
      <c r="D43" s="9">
        <f>_xlfn.XLOOKUP(A43,'Grocery and sales Data'!$A$1:$A$991,'Grocery and sales Data'!$I$1:$I$991)</f>
        <v>2.2999999999999998</v>
      </c>
      <c r="E43">
        <f>_xlfn.XLOOKUP(A43,'Grocery and sales Data'!$A$1:$A$991,'Grocery and sales Data'!$R$1:$R$991)</f>
        <v>151.79999999999998</v>
      </c>
      <c r="F43" t="str">
        <f t="shared" si="0"/>
        <v>Medium</v>
      </c>
    </row>
    <row r="44" spans="1:6" ht="16" x14ac:dyDescent="0.4">
      <c r="A44" s="2" t="s">
        <v>234</v>
      </c>
      <c r="B44" t="str">
        <f>_xlfn.XLOOKUP(A44,'Grocery and sales Data'!$A$1:$A$991,'Grocery and sales Data'!$B$1:$B$991)</f>
        <v>Black Coffee</v>
      </c>
      <c r="C44" t="str">
        <f>_xlfn.XLOOKUP(A44,'Grocery and sales Data'!$A$1:$A$991,'Grocery and sales Data'!$C$1:$C$991)</f>
        <v>Beverages</v>
      </c>
      <c r="D44" s="9">
        <f>_xlfn.XLOOKUP(A44,'Grocery and sales Data'!$A$1:$A$991,'Grocery and sales Data'!$I$1:$I$991)</f>
        <v>15</v>
      </c>
      <c r="E44">
        <f>_xlfn.XLOOKUP(A44,'Grocery and sales Data'!$A$1:$A$991,'Grocery and sales Data'!$R$1:$R$991)</f>
        <v>375</v>
      </c>
      <c r="F44" t="str">
        <f t="shared" si="0"/>
        <v>Medium</v>
      </c>
    </row>
    <row r="45" spans="1:6" ht="16" x14ac:dyDescent="0.4">
      <c r="A45" s="2" t="s">
        <v>238</v>
      </c>
      <c r="B45" t="str">
        <f>_xlfn.XLOOKUP(A45,'Grocery and sales Data'!$A$1:$A$991,'Grocery and sales Data'!$B$1:$B$991)</f>
        <v>Butter</v>
      </c>
      <c r="C45" t="str">
        <f>_xlfn.XLOOKUP(A45,'Grocery and sales Data'!$A$1:$A$991,'Grocery and sales Data'!$C$1:$C$991)</f>
        <v>Dairy</v>
      </c>
      <c r="D45" s="9">
        <f>_xlfn.XLOOKUP(A45,'Grocery and sales Data'!$A$1:$A$991,'Grocery and sales Data'!$I$1:$I$991)</f>
        <v>3</v>
      </c>
      <c r="E45">
        <f>_xlfn.XLOOKUP(A45,'Grocery and sales Data'!$A$1:$A$991,'Grocery and sales Data'!$R$1:$R$991)</f>
        <v>120</v>
      </c>
      <c r="F45" t="str">
        <f t="shared" si="0"/>
        <v>Medium</v>
      </c>
    </row>
    <row r="46" spans="1:6" ht="16" x14ac:dyDescent="0.4">
      <c r="A46" s="2" t="s">
        <v>243</v>
      </c>
      <c r="B46" t="str">
        <f>_xlfn.XLOOKUP(A46,'Grocery and sales Data'!$A$1:$A$991,'Grocery and sales Data'!$B$1:$B$991)</f>
        <v>Multigrain Bread</v>
      </c>
      <c r="C46" t="str">
        <f>_xlfn.XLOOKUP(A46,'Grocery and sales Data'!$A$1:$A$991,'Grocery and sales Data'!$C$1:$C$991)</f>
        <v>Bakery</v>
      </c>
      <c r="D46" s="9">
        <f>_xlfn.XLOOKUP(A46,'Grocery and sales Data'!$A$1:$A$991,'Grocery and sales Data'!$I$1:$I$991)</f>
        <v>3.5</v>
      </c>
      <c r="E46">
        <f>_xlfn.XLOOKUP(A46,'Grocery and sales Data'!$A$1:$A$991,'Grocery and sales Data'!$R$1:$R$991)</f>
        <v>112</v>
      </c>
      <c r="F46" t="str">
        <f t="shared" si="0"/>
        <v>Medium</v>
      </c>
    </row>
    <row r="47" spans="1:6" ht="16" x14ac:dyDescent="0.4">
      <c r="A47" s="2" t="s">
        <v>248</v>
      </c>
      <c r="B47" t="str">
        <f>_xlfn.XLOOKUP(A47,'Grocery and sales Data'!$A$1:$A$991,'Grocery and sales Data'!$B$1:$B$991)</f>
        <v>Long Grain Rice</v>
      </c>
      <c r="C47" t="str">
        <f>_xlfn.XLOOKUP(A47,'Grocery and sales Data'!$A$1:$A$991,'Grocery and sales Data'!$C$1:$C$991)</f>
        <v>Grains &amp; Pulses</v>
      </c>
      <c r="D47" s="9">
        <f>_xlfn.XLOOKUP(A47,'Grocery and sales Data'!$A$1:$A$991,'Grocery and sales Data'!$I$1:$I$991)</f>
        <v>1.5</v>
      </c>
      <c r="E47">
        <f>_xlfn.XLOOKUP(A47,'Grocery and sales Data'!$A$1:$A$991,'Grocery and sales Data'!$R$1:$R$991)</f>
        <v>99</v>
      </c>
      <c r="F47" t="str">
        <f t="shared" si="0"/>
        <v>Low</v>
      </c>
    </row>
    <row r="48" spans="1:6" ht="16" x14ac:dyDescent="0.4">
      <c r="A48" s="2" t="s">
        <v>252</v>
      </c>
      <c r="B48" t="str">
        <f>_xlfn.XLOOKUP(A48,'Grocery and sales Data'!$A$1:$A$991,'Grocery and sales Data'!$B$1:$B$991)</f>
        <v>Bread Flour</v>
      </c>
      <c r="C48" t="str">
        <f>_xlfn.XLOOKUP(A48,'Grocery and sales Data'!$A$1:$A$991,'Grocery and sales Data'!$C$1:$C$991)</f>
        <v>Grains &amp; Pulses</v>
      </c>
      <c r="D48" s="9">
        <f>_xlfn.XLOOKUP(A48,'Grocery and sales Data'!$A$1:$A$991,'Grocery and sales Data'!$I$1:$I$991)</f>
        <v>1.5</v>
      </c>
      <c r="E48">
        <f>_xlfn.XLOOKUP(A48,'Grocery and sales Data'!$A$1:$A$991,'Grocery and sales Data'!$R$1:$R$991)</f>
        <v>55.5</v>
      </c>
      <c r="F48" t="str">
        <f t="shared" si="0"/>
        <v>Low</v>
      </c>
    </row>
    <row r="49" spans="1:6" ht="16" x14ac:dyDescent="0.4">
      <c r="A49" s="2" t="s">
        <v>256</v>
      </c>
      <c r="B49" t="str">
        <f>_xlfn.XLOOKUP(A49,'Grocery and sales Data'!$A$1:$A$991,'Grocery and sales Data'!$B$1:$B$991)</f>
        <v>Kiwi</v>
      </c>
      <c r="C49" t="str">
        <f>_xlfn.XLOOKUP(A49,'Grocery and sales Data'!$A$1:$A$991,'Grocery and sales Data'!$C$1:$C$991)</f>
        <v>Fruits &amp; Vegetables</v>
      </c>
      <c r="D49" s="9">
        <f>_xlfn.XLOOKUP(A49,'Grocery and sales Data'!$A$1:$A$991,'Grocery and sales Data'!$I$1:$I$991)</f>
        <v>6</v>
      </c>
      <c r="E49">
        <f>_xlfn.XLOOKUP(A49,'Grocery and sales Data'!$A$1:$A$991,'Grocery and sales Data'!$R$1:$R$991)</f>
        <v>264</v>
      </c>
      <c r="F49" t="str">
        <f t="shared" si="0"/>
        <v>Medium</v>
      </c>
    </row>
    <row r="50" spans="1:6" ht="16" x14ac:dyDescent="0.4">
      <c r="A50" s="2" t="s">
        <v>261</v>
      </c>
      <c r="B50" t="str">
        <f>_xlfn.XLOOKUP(A50,'Grocery and sales Data'!$A$1:$A$991,'Grocery and sales Data'!$B$1:$B$991)</f>
        <v>Mango</v>
      </c>
      <c r="C50" t="str">
        <f>_xlfn.XLOOKUP(A50,'Grocery and sales Data'!$A$1:$A$991,'Grocery and sales Data'!$C$1:$C$991)</f>
        <v>Fruits &amp; Vegetables</v>
      </c>
      <c r="D50" s="9">
        <f>_xlfn.XLOOKUP(A50,'Grocery and sales Data'!$A$1:$A$991,'Grocery and sales Data'!$I$1:$I$991)</f>
        <v>5</v>
      </c>
      <c r="E50">
        <f>_xlfn.XLOOKUP(A50,'Grocery and sales Data'!$A$1:$A$991,'Grocery and sales Data'!$R$1:$R$991)</f>
        <v>120</v>
      </c>
      <c r="F50" t="str">
        <f t="shared" si="0"/>
        <v>Medium</v>
      </c>
    </row>
    <row r="51" spans="1:6" ht="16" x14ac:dyDescent="0.4">
      <c r="A51" s="2" t="s">
        <v>265</v>
      </c>
      <c r="B51" t="str">
        <f>_xlfn.XLOOKUP(A51,'Grocery and sales Data'!$A$1:$A$991,'Grocery and sales Data'!$B$1:$B$991)</f>
        <v>Sourdough Bread</v>
      </c>
      <c r="C51" t="str">
        <f>_xlfn.XLOOKUP(A51,'Grocery and sales Data'!$A$1:$A$991,'Grocery and sales Data'!$C$1:$C$991)</f>
        <v>Bakery</v>
      </c>
      <c r="D51" s="9">
        <f>_xlfn.XLOOKUP(A51,'Grocery and sales Data'!$A$1:$A$991,'Grocery and sales Data'!$I$1:$I$991)</f>
        <v>4</v>
      </c>
      <c r="E51">
        <f>_xlfn.XLOOKUP(A51,'Grocery and sales Data'!$A$1:$A$991,'Grocery and sales Data'!$R$1:$R$991)</f>
        <v>168</v>
      </c>
      <c r="F51" t="str">
        <f t="shared" si="0"/>
        <v>Medium</v>
      </c>
    </row>
    <row r="52" spans="1:6" ht="16" x14ac:dyDescent="0.4">
      <c r="A52" s="2" t="s">
        <v>270</v>
      </c>
      <c r="B52" t="str">
        <f>_xlfn.XLOOKUP(A52,'Grocery and sales Data'!$A$1:$A$991,'Grocery and sales Data'!$B$1:$B$991)</f>
        <v>Short Grain Rice</v>
      </c>
      <c r="C52" t="str">
        <f>_xlfn.XLOOKUP(A52,'Grocery and sales Data'!$A$1:$A$991,'Grocery and sales Data'!$C$1:$C$991)</f>
        <v>Grains &amp; Pulses</v>
      </c>
      <c r="D52" s="9">
        <f>_xlfn.XLOOKUP(A52,'Grocery and sales Data'!$A$1:$A$991,'Grocery and sales Data'!$I$1:$I$991)</f>
        <v>4.5</v>
      </c>
      <c r="E52">
        <f>_xlfn.XLOOKUP(A52,'Grocery and sales Data'!$A$1:$A$991,'Grocery and sales Data'!$R$1:$R$991)</f>
        <v>171</v>
      </c>
      <c r="F52" t="str">
        <f t="shared" si="0"/>
        <v>Medium</v>
      </c>
    </row>
    <row r="53" spans="1:6" ht="16" x14ac:dyDescent="0.4">
      <c r="A53" s="2" t="s">
        <v>274</v>
      </c>
      <c r="B53" t="str">
        <f>_xlfn.XLOOKUP(A53,'Grocery and sales Data'!$A$1:$A$991,'Grocery and sales Data'!$B$1:$B$991)</f>
        <v>Orange</v>
      </c>
      <c r="C53" t="str">
        <f>_xlfn.XLOOKUP(A53,'Grocery and sales Data'!$A$1:$A$991,'Grocery and sales Data'!$C$1:$C$991)</f>
        <v>Fruits &amp; Vegetables</v>
      </c>
      <c r="D53" s="9">
        <f>_xlfn.XLOOKUP(A53,'Grocery and sales Data'!$A$1:$A$991,'Grocery and sales Data'!$I$1:$I$991)</f>
        <v>3</v>
      </c>
      <c r="E53">
        <f>_xlfn.XLOOKUP(A53,'Grocery and sales Data'!$A$1:$A$991,'Grocery and sales Data'!$R$1:$R$991)</f>
        <v>285</v>
      </c>
      <c r="F53" t="str">
        <f t="shared" si="0"/>
        <v>Medium</v>
      </c>
    </row>
    <row r="54" spans="1:6" ht="16" x14ac:dyDescent="0.4">
      <c r="A54" s="2" t="s">
        <v>278</v>
      </c>
      <c r="B54" t="str">
        <f>_xlfn.XLOOKUP(A54,'Grocery and sales Data'!$A$1:$A$991,'Grocery and sales Data'!$B$1:$B$991)</f>
        <v>Pineapple</v>
      </c>
      <c r="C54" t="str">
        <f>_xlfn.XLOOKUP(A54,'Grocery and sales Data'!$A$1:$A$991,'Grocery and sales Data'!$C$1:$C$991)</f>
        <v>Fruits &amp; Vegetables</v>
      </c>
      <c r="D54" s="9">
        <f>_xlfn.XLOOKUP(A54,'Grocery and sales Data'!$A$1:$A$991,'Grocery and sales Data'!$I$1:$I$991)</f>
        <v>3.4</v>
      </c>
      <c r="E54">
        <f>_xlfn.XLOOKUP(A54,'Grocery and sales Data'!$A$1:$A$991,'Grocery and sales Data'!$R$1:$R$991)</f>
        <v>326.39999999999998</v>
      </c>
      <c r="F54" t="str">
        <f t="shared" si="0"/>
        <v>Medium</v>
      </c>
    </row>
    <row r="55" spans="1:6" ht="16" x14ac:dyDescent="0.4">
      <c r="A55" s="2" t="s">
        <v>282</v>
      </c>
      <c r="B55" t="str">
        <f>_xlfn.XLOOKUP(A55,'Grocery and sales Data'!$A$1:$A$991,'Grocery and sales Data'!$B$1:$B$991)</f>
        <v>White Bread</v>
      </c>
      <c r="C55" t="str">
        <f>_xlfn.XLOOKUP(A55,'Grocery and sales Data'!$A$1:$A$991,'Grocery and sales Data'!$C$1:$C$991)</f>
        <v>Bakery</v>
      </c>
      <c r="D55" s="9">
        <f>_xlfn.XLOOKUP(A55,'Grocery and sales Data'!$A$1:$A$991,'Grocery and sales Data'!$I$1:$I$991)</f>
        <v>2.5</v>
      </c>
      <c r="E55">
        <f>_xlfn.XLOOKUP(A55,'Grocery and sales Data'!$A$1:$A$991,'Grocery and sales Data'!$R$1:$R$991)</f>
        <v>152.5</v>
      </c>
      <c r="F55" t="str">
        <f t="shared" si="0"/>
        <v>Medium</v>
      </c>
    </row>
    <row r="56" spans="1:6" ht="16" x14ac:dyDescent="0.4">
      <c r="A56" s="2" t="s">
        <v>286</v>
      </c>
      <c r="B56" t="str">
        <f>_xlfn.XLOOKUP(A56,'Grocery and sales Data'!$A$1:$A$991,'Grocery and sales Data'!$B$1:$B$991)</f>
        <v>Green Coffee</v>
      </c>
      <c r="C56" t="str">
        <f>_xlfn.XLOOKUP(A56,'Grocery and sales Data'!$A$1:$A$991,'Grocery and sales Data'!$C$1:$C$991)</f>
        <v>Beverages</v>
      </c>
      <c r="D56" s="9">
        <f>_xlfn.XLOOKUP(A56,'Grocery and sales Data'!$A$1:$A$991,'Grocery and sales Data'!$I$1:$I$991)</f>
        <v>12</v>
      </c>
      <c r="E56">
        <f>_xlfn.XLOOKUP(A56,'Grocery and sales Data'!$A$1:$A$991,'Grocery and sales Data'!$R$1:$R$991)</f>
        <v>420</v>
      </c>
      <c r="F56" t="str">
        <f t="shared" si="0"/>
        <v>Medium</v>
      </c>
    </row>
    <row r="57" spans="1:6" ht="16" x14ac:dyDescent="0.4">
      <c r="A57" s="2" t="s">
        <v>291</v>
      </c>
      <c r="B57" t="str">
        <f>_xlfn.XLOOKUP(A57,'Grocery and sales Data'!$A$1:$A$991,'Grocery and sales Data'!$B$1:$B$991)</f>
        <v>Zucchini</v>
      </c>
      <c r="C57" t="str">
        <f>_xlfn.XLOOKUP(A57,'Grocery and sales Data'!$A$1:$A$991,'Grocery and sales Data'!$C$1:$C$991)</f>
        <v>Fruits &amp; Vegetables</v>
      </c>
      <c r="D57" s="9">
        <f>_xlfn.XLOOKUP(A57,'Grocery and sales Data'!$A$1:$A$991,'Grocery and sales Data'!$I$1:$I$991)</f>
        <v>2.5</v>
      </c>
      <c r="E57">
        <f>_xlfn.XLOOKUP(A57,'Grocery and sales Data'!$A$1:$A$991,'Grocery and sales Data'!$R$1:$R$991)</f>
        <v>142.5</v>
      </c>
      <c r="F57" t="str">
        <f t="shared" si="0"/>
        <v>Medium</v>
      </c>
    </row>
    <row r="58" spans="1:6" ht="16" x14ac:dyDescent="0.4">
      <c r="A58" s="2" t="s">
        <v>294</v>
      </c>
      <c r="B58" t="str">
        <f>_xlfn.XLOOKUP(A58,'Grocery and sales Data'!$A$1:$A$991,'Grocery and sales Data'!$B$1:$B$991)</f>
        <v>Sourdough Bread</v>
      </c>
      <c r="C58" t="str">
        <f>_xlfn.XLOOKUP(A58,'Grocery and sales Data'!$A$1:$A$991,'Grocery and sales Data'!$C$1:$C$991)</f>
        <v>Bakery</v>
      </c>
      <c r="D58" s="9">
        <f>_xlfn.XLOOKUP(A58,'Grocery and sales Data'!$A$1:$A$991,'Grocery and sales Data'!$I$1:$I$991)</f>
        <v>4.5</v>
      </c>
      <c r="E58">
        <f>_xlfn.XLOOKUP(A58,'Grocery and sales Data'!$A$1:$A$991,'Grocery and sales Data'!$R$1:$R$991)</f>
        <v>144</v>
      </c>
      <c r="F58" t="str">
        <f t="shared" si="0"/>
        <v>Medium</v>
      </c>
    </row>
    <row r="59" spans="1:6" ht="16" x14ac:dyDescent="0.4">
      <c r="A59" s="2" t="s">
        <v>298</v>
      </c>
      <c r="B59" t="str">
        <f>_xlfn.XLOOKUP(A59,'Grocery and sales Data'!$A$1:$A$991,'Grocery and sales Data'!$B$1:$B$991)</f>
        <v>Orange</v>
      </c>
      <c r="C59" t="str">
        <f>_xlfn.XLOOKUP(A59,'Grocery and sales Data'!$A$1:$A$991,'Grocery and sales Data'!$C$1:$C$991)</f>
        <v>Fruits &amp; Vegetables</v>
      </c>
      <c r="D59" s="9">
        <f>_xlfn.XLOOKUP(A59,'Grocery and sales Data'!$A$1:$A$991,'Grocery and sales Data'!$I$1:$I$991)</f>
        <v>2.9</v>
      </c>
      <c r="E59">
        <f>_xlfn.XLOOKUP(A59,'Grocery and sales Data'!$A$1:$A$991,'Grocery and sales Data'!$R$1:$R$991)</f>
        <v>182.7</v>
      </c>
      <c r="F59" t="str">
        <f t="shared" si="0"/>
        <v>Medium</v>
      </c>
    </row>
    <row r="60" spans="1:6" ht="16" x14ac:dyDescent="0.4">
      <c r="A60" s="2" t="s">
        <v>302</v>
      </c>
      <c r="B60" t="str">
        <f>_xlfn.XLOOKUP(A60,'Grocery and sales Data'!$A$1:$A$991,'Grocery and sales Data'!$B$1:$B$991)</f>
        <v>Sardines</v>
      </c>
      <c r="C60" t="str">
        <f>_xlfn.XLOOKUP(A60,'Grocery and sales Data'!$A$1:$A$991,'Grocery and sales Data'!$C$1:$C$991)</f>
        <v>Seafood</v>
      </c>
      <c r="D60" s="9">
        <f>_xlfn.XLOOKUP(A60,'Grocery and sales Data'!$A$1:$A$991,'Grocery and sales Data'!$I$1:$I$991)</f>
        <v>6</v>
      </c>
      <c r="E60">
        <f>_xlfn.XLOOKUP(A60,'Grocery and sales Data'!$A$1:$A$991,'Grocery and sales Data'!$R$1:$R$991)</f>
        <v>180</v>
      </c>
      <c r="F60" t="str">
        <f t="shared" si="0"/>
        <v>Medium</v>
      </c>
    </row>
    <row r="61" spans="1:6" ht="16" x14ac:dyDescent="0.4">
      <c r="A61" s="2" t="s">
        <v>307</v>
      </c>
      <c r="B61" t="str">
        <f>_xlfn.XLOOKUP(A61,'Grocery and sales Data'!$A$1:$A$991,'Grocery and sales Data'!$B$1:$B$991)</f>
        <v>Olive Oil</v>
      </c>
      <c r="C61" t="str">
        <f>_xlfn.XLOOKUP(A61,'Grocery and sales Data'!$A$1:$A$991,'Grocery and sales Data'!$C$1:$C$991)</f>
        <v>Oils &amp; Fats</v>
      </c>
      <c r="D61" s="9">
        <f>_xlfn.XLOOKUP(A61,'Grocery and sales Data'!$A$1:$A$991,'Grocery and sales Data'!$I$1:$I$991)</f>
        <v>6</v>
      </c>
      <c r="E61">
        <f>_xlfn.XLOOKUP(A61,'Grocery and sales Data'!$A$1:$A$991,'Grocery and sales Data'!$R$1:$R$991)</f>
        <v>228</v>
      </c>
      <c r="F61" t="str">
        <f t="shared" si="0"/>
        <v>Medium</v>
      </c>
    </row>
    <row r="62" spans="1:6" ht="16" x14ac:dyDescent="0.4">
      <c r="A62" s="2" t="s">
        <v>311</v>
      </c>
      <c r="B62" t="str">
        <f>_xlfn.XLOOKUP(A62,'Grocery and sales Data'!$A$1:$A$991,'Grocery and sales Data'!$B$1:$B$991)</f>
        <v>Carrot</v>
      </c>
      <c r="C62" t="str">
        <f>_xlfn.XLOOKUP(A62,'Grocery and sales Data'!$A$1:$A$991,'Grocery and sales Data'!$C$1:$C$991)</f>
        <v>Fruits &amp; Vegetables</v>
      </c>
      <c r="D62" s="9">
        <f>_xlfn.XLOOKUP(A62,'Grocery and sales Data'!$A$1:$A$991,'Grocery and sales Data'!$I$1:$I$991)</f>
        <v>1.5</v>
      </c>
      <c r="E62">
        <f>_xlfn.XLOOKUP(A62,'Grocery and sales Data'!$A$1:$A$991,'Grocery and sales Data'!$R$1:$R$991)</f>
        <v>66</v>
      </c>
      <c r="F62" t="str">
        <f t="shared" si="0"/>
        <v>Low</v>
      </c>
    </row>
    <row r="63" spans="1:6" ht="16" x14ac:dyDescent="0.4">
      <c r="A63" s="2" t="s">
        <v>316</v>
      </c>
      <c r="B63" t="str">
        <f>_xlfn.XLOOKUP(A63,'Grocery and sales Data'!$A$1:$A$991,'Grocery and sales Data'!$B$1:$B$991)</f>
        <v>Black Tea</v>
      </c>
      <c r="C63" t="str">
        <f>_xlfn.XLOOKUP(A63,'Grocery and sales Data'!$A$1:$A$991,'Grocery and sales Data'!$C$1:$C$991)</f>
        <v>Beverages</v>
      </c>
      <c r="D63" s="9">
        <f>_xlfn.XLOOKUP(A63,'Grocery and sales Data'!$A$1:$A$991,'Grocery and sales Data'!$I$1:$I$991)</f>
        <v>5</v>
      </c>
      <c r="E63">
        <f>_xlfn.XLOOKUP(A63,'Grocery and sales Data'!$A$1:$A$991,'Grocery and sales Data'!$R$1:$R$991)</f>
        <v>320</v>
      </c>
      <c r="F63" t="str">
        <f t="shared" si="0"/>
        <v>Medium</v>
      </c>
    </row>
    <row r="64" spans="1:6" ht="16" x14ac:dyDescent="0.4">
      <c r="A64" s="2" t="s">
        <v>321</v>
      </c>
      <c r="B64" t="str">
        <f>_xlfn.XLOOKUP(A64,'Grocery and sales Data'!$A$1:$A$991,'Grocery and sales Data'!$B$1:$B$991)</f>
        <v>Pear</v>
      </c>
      <c r="C64" t="str">
        <f>_xlfn.XLOOKUP(A64,'Grocery and sales Data'!$A$1:$A$991,'Grocery and sales Data'!$C$1:$C$991)</f>
        <v>Fruits &amp; Vegetables</v>
      </c>
      <c r="D64" s="9">
        <f>_xlfn.XLOOKUP(A64,'Grocery and sales Data'!$A$1:$A$991,'Grocery and sales Data'!$I$1:$I$991)</f>
        <v>4.45</v>
      </c>
      <c r="E64">
        <f>_xlfn.XLOOKUP(A64,'Grocery and sales Data'!$A$1:$A$991,'Grocery and sales Data'!$R$1:$R$991)</f>
        <v>133.5</v>
      </c>
      <c r="F64" t="str">
        <f t="shared" si="0"/>
        <v>Medium</v>
      </c>
    </row>
    <row r="65" spans="1:6" ht="16" x14ac:dyDescent="0.4">
      <c r="A65" s="2" t="s">
        <v>325</v>
      </c>
      <c r="B65" t="str">
        <f>_xlfn.XLOOKUP(A65,'Grocery and sales Data'!$A$1:$A$991,'Grocery and sales Data'!$B$1:$B$991)</f>
        <v>Olive Oil</v>
      </c>
      <c r="C65" t="str">
        <f>_xlfn.XLOOKUP(A65,'Grocery and sales Data'!$A$1:$A$991,'Grocery and sales Data'!$C$1:$C$991)</f>
        <v>Oils &amp; Fats</v>
      </c>
      <c r="D65" s="9">
        <f>_xlfn.XLOOKUP(A65,'Grocery and sales Data'!$A$1:$A$991,'Grocery and sales Data'!$I$1:$I$991)</f>
        <v>6</v>
      </c>
      <c r="E65">
        <f>_xlfn.XLOOKUP(A65,'Grocery and sales Data'!$A$1:$A$991,'Grocery and sales Data'!$R$1:$R$991)</f>
        <v>504</v>
      </c>
      <c r="F65" t="str">
        <f t="shared" si="0"/>
        <v>Medium</v>
      </c>
    </row>
    <row r="66" spans="1:6" ht="16" x14ac:dyDescent="0.4">
      <c r="A66" s="2" t="s">
        <v>328</v>
      </c>
      <c r="B66" t="str">
        <f>_xlfn.XLOOKUP(A66,'Grocery and sales Data'!$A$1:$A$991,'Grocery and sales Data'!$B$1:$B$991)</f>
        <v>Ricotta Cheese</v>
      </c>
      <c r="C66" t="str">
        <f>_xlfn.XLOOKUP(A66,'Grocery and sales Data'!$A$1:$A$991,'Grocery and sales Data'!$C$1:$C$991)</f>
        <v>Dairy</v>
      </c>
      <c r="D66" s="9">
        <f>_xlfn.XLOOKUP(A66,'Grocery and sales Data'!$A$1:$A$991,'Grocery and sales Data'!$I$1:$I$991)</f>
        <v>6</v>
      </c>
      <c r="E66">
        <f>_xlfn.XLOOKUP(A66,'Grocery and sales Data'!$A$1:$A$991,'Grocery and sales Data'!$R$1:$R$991)</f>
        <v>324</v>
      </c>
      <c r="F66" t="str">
        <f t="shared" si="0"/>
        <v>Medium</v>
      </c>
    </row>
    <row r="67" spans="1:6" ht="16" x14ac:dyDescent="0.4">
      <c r="A67" s="2" t="s">
        <v>333</v>
      </c>
      <c r="B67" t="str">
        <f>_xlfn.XLOOKUP(A67,'Grocery and sales Data'!$A$1:$A$991,'Grocery and sales Data'!$B$1:$B$991)</f>
        <v>Black Coffee</v>
      </c>
      <c r="C67" t="str">
        <f>_xlfn.XLOOKUP(A67,'Grocery and sales Data'!$A$1:$A$991,'Grocery and sales Data'!$C$1:$C$991)</f>
        <v>Beverages</v>
      </c>
      <c r="D67" s="9">
        <f>_xlfn.XLOOKUP(A67,'Grocery and sales Data'!$A$1:$A$991,'Grocery and sales Data'!$I$1:$I$991)</f>
        <v>15</v>
      </c>
      <c r="E67">
        <f>_xlfn.XLOOKUP(A67,'Grocery and sales Data'!$A$1:$A$991,'Grocery and sales Data'!$R$1:$R$991)</f>
        <v>1005</v>
      </c>
      <c r="F67" t="str">
        <f t="shared" ref="F67:F130" si="1">IF(E67&gt;=1000,"High",IF(E67&gt;=100,"Medium","Low"))</f>
        <v>High</v>
      </c>
    </row>
    <row r="68" spans="1:6" ht="16" x14ac:dyDescent="0.4">
      <c r="A68" s="2" t="s">
        <v>336</v>
      </c>
      <c r="B68" t="str">
        <f>_xlfn.XLOOKUP(A68,'Grocery and sales Data'!$A$1:$A$991,'Grocery and sales Data'!$B$1:$B$991)</f>
        <v>White Tea</v>
      </c>
      <c r="C68" t="str">
        <f>_xlfn.XLOOKUP(A68,'Grocery and sales Data'!$A$1:$A$991,'Grocery and sales Data'!$C$1:$C$991)</f>
        <v>Beverages</v>
      </c>
      <c r="D68" s="9">
        <f>_xlfn.XLOOKUP(A68,'Grocery and sales Data'!$A$1:$A$991,'Grocery and sales Data'!$I$1:$I$991)</f>
        <v>25</v>
      </c>
      <c r="E68">
        <f>_xlfn.XLOOKUP(A68,'Grocery and sales Data'!$A$1:$A$991,'Grocery and sales Data'!$R$1:$R$991)</f>
        <v>2325</v>
      </c>
      <c r="F68" t="str">
        <f t="shared" si="1"/>
        <v>High</v>
      </c>
    </row>
    <row r="69" spans="1:6" ht="16" x14ac:dyDescent="0.4">
      <c r="A69" s="2" t="s">
        <v>341</v>
      </c>
      <c r="B69" t="str">
        <f>_xlfn.XLOOKUP(A69,'Grocery and sales Data'!$A$1:$A$991,'Grocery and sales Data'!$B$1:$B$991)</f>
        <v>Cucumber</v>
      </c>
      <c r="C69" t="str">
        <f>_xlfn.XLOOKUP(A69,'Grocery and sales Data'!$A$1:$A$991,'Grocery and sales Data'!$C$1:$C$991)</f>
        <v>Fruits &amp; Vegetables</v>
      </c>
      <c r="D69" s="9">
        <f>_xlfn.XLOOKUP(A69,'Grocery and sales Data'!$A$1:$A$991,'Grocery and sales Data'!$I$1:$I$991)</f>
        <v>1.8</v>
      </c>
      <c r="E69">
        <f>_xlfn.XLOOKUP(A69,'Grocery and sales Data'!$A$1:$A$991,'Grocery and sales Data'!$R$1:$R$991)</f>
        <v>79.2</v>
      </c>
      <c r="F69" t="str">
        <f t="shared" si="1"/>
        <v>Low</v>
      </c>
    </row>
    <row r="70" spans="1:6" ht="16" x14ac:dyDescent="0.4">
      <c r="A70" s="2" t="s">
        <v>344</v>
      </c>
      <c r="B70" t="str">
        <f>_xlfn.XLOOKUP(A70,'Grocery and sales Data'!$A$1:$A$991,'Grocery and sales Data'!$B$1:$B$991)</f>
        <v>Mozzarella Cheese</v>
      </c>
      <c r="C70" t="str">
        <f>_xlfn.XLOOKUP(A70,'Grocery and sales Data'!$A$1:$A$991,'Grocery and sales Data'!$C$1:$C$991)</f>
        <v>Dairy</v>
      </c>
      <c r="D70" s="9">
        <f>_xlfn.XLOOKUP(A70,'Grocery and sales Data'!$A$1:$A$991,'Grocery and sales Data'!$I$1:$I$991)</f>
        <v>7</v>
      </c>
      <c r="E70">
        <f>_xlfn.XLOOKUP(A70,'Grocery and sales Data'!$A$1:$A$991,'Grocery and sales Data'!$R$1:$R$991)</f>
        <v>581</v>
      </c>
      <c r="F70" t="str">
        <f t="shared" si="1"/>
        <v>Medium</v>
      </c>
    </row>
    <row r="71" spans="1:6" ht="16" x14ac:dyDescent="0.4">
      <c r="A71" s="2" t="s">
        <v>349</v>
      </c>
      <c r="B71" t="str">
        <f>_xlfn.XLOOKUP(A71,'Grocery and sales Data'!$A$1:$A$991,'Grocery and sales Data'!$B$1:$B$991)</f>
        <v>Broccoli</v>
      </c>
      <c r="C71" t="str">
        <f>_xlfn.XLOOKUP(A71,'Grocery and sales Data'!$A$1:$A$991,'Grocery and sales Data'!$C$1:$C$991)</f>
        <v>Fruits &amp; Vegetables</v>
      </c>
      <c r="D71" s="9">
        <f>_xlfn.XLOOKUP(A71,'Grocery and sales Data'!$A$1:$A$991,'Grocery and sales Data'!$I$1:$I$991)</f>
        <v>4</v>
      </c>
      <c r="E71">
        <f>_xlfn.XLOOKUP(A71,'Grocery and sales Data'!$A$1:$A$991,'Grocery and sales Data'!$R$1:$R$991)</f>
        <v>188</v>
      </c>
      <c r="F71" t="str">
        <f t="shared" si="1"/>
        <v>Medium</v>
      </c>
    </row>
    <row r="72" spans="1:6" ht="16" x14ac:dyDescent="0.4">
      <c r="A72" s="2" t="s">
        <v>354</v>
      </c>
      <c r="B72" t="str">
        <f>_xlfn.XLOOKUP(A72,'Grocery and sales Data'!$A$1:$A$991,'Grocery and sales Data'!$B$1:$B$991)</f>
        <v>Eggplant</v>
      </c>
      <c r="C72" t="str">
        <f>_xlfn.XLOOKUP(A72,'Grocery and sales Data'!$A$1:$A$991,'Grocery and sales Data'!$C$1:$C$991)</f>
        <v>Fruits &amp; Vegetables</v>
      </c>
      <c r="D72" s="9">
        <f>_xlfn.XLOOKUP(A72,'Grocery and sales Data'!$A$1:$A$991,'Grocery and sales Data'!$I$1:$I$991)</f>
        <v>3</v>
      </c>
      <c r="E72">
        <f>_xlfn.XLOOKUP(A72,'Grocery and sales Data'!$A$1:$A$991,'Grocery and sales Data'!$R$1:$R$991)</f>
        <v>153</v>
      </c>
      <c r="F72" t="str">
        <f t="shared" si="1"/>
        <v>Medium</v>
      </c>
    </row>
    <row r="73" spans="1:6" ht="16" x14ac:dyDescent="0.4">
      <c r="A73" s="2" t="s">
        <v>359</v>
      </c>
      <c r="B73" t="str">
        <f>_xlfn.XLOOKUP(A73,'Grocery and sales Data'!$A$1:$A$991,'Grocery and sales Data'!$B$1:$B$991)</f>
        <v>Trout</v>
      </c>
      <c r="C73" t="str">
        <f>_xlfn.XLOOKUP(A73,'Grocery and sales Data'!$A$1:$A$991,'Grocery and sales Data'!$C$1:$C$991)</f>
        <v>Seafood</v>
      </c>
      <c r="D73" s="9">
        <f>_xlfn.XLOOKUP(A73,'Grocery and sales Data'!$A$1:$A$991,'Grocery and sales Data'!$I$1:$I$991)</f>
        <v>12</v>
      </c>
      <c r="E73">
        <f>_xlfn.XLOOKUP(A73,'Grocery and sales Data'!$A$1:$A$991,'Grocery and sales Data'!$R$1:$R$991)</f>
        <v>1020</v>
      </c>
      <c r="F73" t="str">
        <f t="shared" si="1"/>
        <v>High</v>
      </c>
    </row>
    <row r="74" spans="1:6" ht="16" x14ac:dyDescent="0.4">
      <c r="A74" s="2" t="s">
        <v>363</v>
      </c>
      <c r="B74" t="str">
        <f>_xlfn.XLOOKUP(A74,'Grocery and sales Data'!$A$1:$A$991,'Grocery and sales Data'!$B$1:$B$991)</f>
        <v>Heavy Cream</v>
      </c>
      <c r="C74" t="str">
        <f>_xlfn.XLOOKUP(A74,'Grocery and sales Data'!$A$1:$A$991,'Grocery and sales Data'!$C$1:$C$991)</f>
        <v>Dairy</v>
      </c>
      <c r="D74" s="9">
        <f>_xlfn.XLOOKUP(A74,'Grocery and sales Data'!$A$1:$A$991,'Grocery and sales Data'!$I$1:$I$991)</f>
        <v>4</v>
      </c>
      <c r="E74">
        <f>_xlfn.XLOOKUP(A74,'Grocery and sales Data'!$A$1:$A$991,'Grocery and sales Data'!$R$1:$R$991)</f>
        <v>80</v>
      </c>
      <c r="F74" t="str">
        <f t="shared" si="1"/>
        <v>Low</v>
      </c>
    </row>
    <row r="75" spans="1:6" ht="16" x14ac:dyDescent="0.4">
      <c r="A75" s="2" t="s">
        <v>368</v>
      </c>
      <c r="B75" t="str">
        <f>_xlfn.XLOOKUP(A75,'Grocery and sales Data'!$A$1:$A$991,'Grocery and sales Data'!$B$1:$B$991)</f>
        <v>Bell Pepper</v>
      </c>
      <c r="C75" t="str">
        <f>_xlfn.XLOOKUP(A75,'Grocery and sales Data'!$A$1:$A$991,'Grocery and sales Data'!$C$1:$C$991)</f>
        <v>Fruits &amp; Vegetables</v>
      </c>
      <c r="D75" s="9">
        <f>_xlfn.XLOOKUP(A75,'Grocery and sales Data'!$A$1:$A$991,'Grocery and sales Data'!$I$1:$I$991)</f>
        <v>4.45</v>
      </c>
      <c r="E75">
        <f>_xlfn.XLOOKUP(A75,'Grocery and sales Data'!$A$1:$A$991,'Grocery and sales Data'!$R$1:$R$991)</f>
        <v>329.3</v>
      </c>
      <c r="F75" t="str">
        <f t="shared" si="1"/>
        <v>Medium</v>
      </c>
    </row>
    <row r="76" spans="1:6" ht="16" x14ac:dyDescent="0.4">
      <c r="A76" s="2" t="s">
        <v>373</v>
      </c>
      <c r="B76" t="str">
        <f>_xlfn.XLOOKUP(A76,'Grocery and sales Data'!$A$1:$A$991,'Grocery and sales Data'!$B$1:$B$991)</f>
        <v>Onion</v>
      </c>
      <c r="C76" t="str">
        <f>_xlfn.XLOOKUP(A76,'Grocery and sales Data'!$A$1:$A$991,'Grocery and sales Data'!$C$1:$C$991)</f>
        <v>Fruits &amp; Vegetables</v>
      </c>
      <c r="D76" s="9">
        <f>_xlfn.XLOOKUP(A76,'Grocery and sales Data'!$A$1:$A$991,'Grocery and sales Data'!$I$1:$I$991)</f>
        <v>2</v>
      </c>
      <c r="E76">
        <f>_xlfn.XLOOKUP(A76,'Grocery and sales Data'!$A$1:$A$991,'Grocery and sales Data'!$R$1:$R$991)</f>
        <v>152</v>
      </c>
      <c r="F76" t="str">
        <f t="shared" si="1"/>
        <v>Medium</v>
      </c>
    </row>
    <row r="77" spans="1:6" ht="16" x14ac:dyDescent="0.4">
      <c r="A77" s="2" t="s">
        <v>377</v>
      </c>
      <c r="B77" t="str">
        <f>_xlfn.XLOOKUP(A77,'Grocery and sales Data'!$A$1:$A$991,'Grocery and sales Data'!$B$1:$B$991)</f>
        <v>Sardines</v>
      </c>
      <c r="C77" t="str">
        <f>_xlfn.XLOOKUP(A77,'Grocery and sales Data'!$A$1:$A$991,'Grocery and sales Data'!$C$1:$C$991)</f>
        <v>Seafood</v>
      </c>
      <c r="D77" s="9">
        <f>_xlfn.XLOOKUP(A77,'Grocery and sales Data'!$A$1:$A$991,'Grocery and sales Data'!$I$1:$I$991)</f>
        <v>6</v>
      </c>
      <c r="E77">
        <f>_xlfn.XLOOKUP(A77,'Grocery and sales Data'!$A$1:$A$991,'Grocery and sales Data'!$R$1:$R$991)</f>
        <v>360</v>
      </c>
      <c r="F77" t="str">
        <f t="shared" si="1"/>
        <v>Medium</v>
      </c>
    </row>
    <row r="78" spans="1:6" ht="16" x14ac:dyDescent="0.4">
      <c r="A78" s="2" t="s">
        <v>381</v>
      </c>
      <c r="B78" t="str">
        <f>_xlfn.XLOOKUP(A78,'Grocery and sales Data'!$A$1:$A$991,'Grocery and sales Data'!$B$1:$B$991)</f>
        <v>Mango</v>
      </c>
      <c r="C78" t="str">
        <f>_xlfn.XLOOKUP(A78,'Grocery and sales Data'!$A$1:$A$991,'Grocery and sales Data'!$C$1:$C$991)</f>
        <v>Fruits &amp; Vegetables</v>
      </c>
      <c r="D78" s="9">
        <f>_xlfn.XLOOKUP(A78,'Grocery and sales Data'!$A$1:$A$991,'Grocery and sales Data'!$I$1:$I$991)</f>
        <v>4.5</v>
      </c>
      <c r="E78">
        <f>_xlfn.XLOOKUP(A78,'Grocery and sales Data'!$A$1:$A$991,'Grocery and sales Data'!$R$1:$R$991)</f>
        <v>117</v>
      </c>
      <c r="F78" t="str">
        <f t="shared" si="1"/>
        <v>Medium</v>
      </c>
    </row>
    <row r="79" spans="1:6" ht="16" x14ac:dyDescent="0.4">
      <c r="A79" s="2" t="s">
        <v>385</v>
      </c>
      <c r="B79" t="str">
        <f>_xlfn.XLOOKUP(A79,'Grocery and sales Data'!$A$1:$A$991,'Grocery and sales Data'!$B$1:$B$991)</f>
        <v>Arborio Rice</v>
      </c>
      <c r="C79" t="str">
        <f>_xlfn.XLOOKUP(A79,'Grocery and sales Data'!$A$1:$A$991,'Grocery and sales Data'!$C$1:$C$991)</f>
        <v>Grains &amp; Pulses</v>
      </c>
      <c r="D79" s="9">
        <f>_xlfn.XLOOKUP(A79,'Grocery and sales Data'!$A$1:$A$991,'Grocery and sales Data'!$I$1:$I$991)</f>
        <v>4.5</v>
      </c>
      <c r="E79">
        <f>_xlfn.XLOOKUP(A79,'Grocery and sales Data'!$A$1:$A$991,'Grocery and sales Data'!$R$1:$R$991)</f>
        <v>225</v>
      </c>
      <c r="F79" t="str">
        <f t="shared" si="1"/>
        <v>Medium</v>
      </c>
    </row>
    <row r="80" spans="1:6" ht="16" x14ac:dyDescent="0.4">
      <c r="A80" s="2" t="s">
        <v>389</v>
      </c>
      <c r="B80" t="str">
        <f>_xlfn.XLOOKUP(A80,'Grocery and sales Data'!$A$1:$A$991,'Grocery and sales Data'!$B$1:$B$991)</f>
        <v>Potato</v>
      </c>
      <c r="C80" t="str">
        <f>_xlfn.XLOOKUP(A80,'Grocery and sales Data'!$A$1:$A$991,'Grocery and sales Data'!$C$1:$C$991)</f>
        <v>Fruits &amp; Vegetables</v>
      </c>
      <c r="D80" s="9">
        <f>_xlfn.XLOOKUP(A80,'Grocery and sales Data'!$A$1:$A$991,'Grocery and sales Data'!$I$1:$I$991)</f>
        <v>1.2</v>
      </c>
      <c r="E80">
        <f>_xlfn.XLOOKUP(A80,'Grocery and sales Data'!$A$1:$A$991,'Grocery and sales Data'!$R$1:$R$991)</f>
        <v>36</v>
      </c>
      <c r="F80" t="str">
        <f t="shared" si="1"/>
        <v>Low</v>
      </c>
    </row>
    <row r="81" spans="1:6" ht="16" x14ac:dyDescent="0.4">
      <c r="A81" s="2" t="s">
        <v>393</v>
      </c>
      <c r="B81" t="str">
        <f>_xlfn.XLOOKUP(A81,'Grocery and sales Data'!$A$1:$A$991,'Grocery and sales Data'!$B$1:$B$991)</f>
        <v>Corn Oil</v>
      </c>
      <c r="C81" t="str">
        <f>_xlfn.XLOOKUP(A81,'Grocery and sales Data'!$A$1:$A$991,'Grocery and sales Data'!$C$1:$C$991)</f>
        <v>Oils &amp; Fats</v>
      </c>
      <c r="D81" s="9">
        <f>_xlfn.XLOOKUP(A81,'Grocery and sales Data'!$A$1:$A$991,'Grocery and sales Data'!$I$1:$I$991)</f>
        <v>2.5</v>
      </c>
      <c r="E81">
        <f>_xlfn.XLOOKUP(A81,'Grocery and sales Data'!$A$1:$A$991,'Grocery and sales Data'!$R$1:$R$991)</f>
        <v>215</v>
      </c>
      <c r="F81" t="str">
        <f t="shared" si="1"/>
        <v>Medium</v>
      </c>
    </row>
    <row r="82" spans="1:6" ht="16" x14ac:dyDescent="0.4">
      <c r="A82" s="2" t="s">
        <v>397</v>
      </c>
      <c r="B82" t="str">
        <f>_xlfn.XLOOKUP(A82,'Grocery and sales Data'!$A$1:$A$991,'Grocery and sales Data'!$B$1:$B$991)</f>
        <v>Butter Biscuit</v>
      </c>
      <c r="C82" t="str">
        <f>_xlfn.XLOOKUP(A82,'Grocery and sales Data'!$A$1:$A$991,'Grocery and sales Data'!$C$1:$C$991)</f>
        <v>Bakery</v>
      </c>
      <c r="D82" s="9">
        <f>_xlfn.XLOOKUP(A82,'Grocery and sales Data'!$A$1:$A$991,'Grocery and sales Data'!$I$1:$I$991)</f>
        <v>6</v>
      </c>
      <c r="E82">
        <f>_xlfn.XLOOKUP(A82,'Grocery and sales Data'!$A$1:$A$991,'Grocery and sales Data'!$R$1:$R$991)</f>
        <v>402</v>
      </c>
      <c r="F82" t="str">
        <f t="shared" si="1"/>
        <v>Medium</v>
      </c>
    </row>
    <row r="83" spans="1:6" ht="16" x14ac:dyDescent="0.4">
      <c r="A83" s="2" t="s">
        <v>402</v>
      </c>
      <c r="B83" t="str">
        <f>_xlfn.XLOOKUP(A83,'Grocery and sales Data'!$A$1:$A$991,'Grocery and sales Data'!$B$1:$B$991)</f>
        <v>Peas</v>
      </c>
      <c r="C83" t="str">
        <f>_xlfn.XLOOKUP(A83,'Grocery and sales Data'!$A$1:$A$991,'Grocery and sales Data'!$C$1:$C$991)</f>
        <v>Fruits &amp; Vegetables</v>
      </c>
      <c r="D83" s="9">
        <f>_xlfn.XLOOKUP(A83,'Grocery and sales Data'!$A$1:$A$991,'Grocery and sales Data'!$I$1:$I$991)</f>
        <v>3</v>
      </c>
      <c r="E83">
        <f>_xlfn.XLOOKUP(A83,'Grocery and sales Data'!$A$1:$A$991,'Grocery and sales Data'!$R$1:$R$991)</f>
        <v>150</v>
      </c>
      <c r="F83" t="str">
        <f t="shared" si="1"/>
        <v>Medium</v>
      </c>
    </row>
    <row r="84" spans="1:6" ht="16" x14ac:dyDescent="0.4">
      <c r="A84" s="2" t="s">
        <v>407</v>
      </c>
      <c r="B84" t="str">
        <f>_xlfn.XLOOKUP(A84,'Grocery and sales Data'!$A$1:$A$991,'Grocery and sales Data'!$B$1:$B$991)</f>
        <v>Cream</v>
      </c>
      <c r="C84" t="str">
        <f>_xlfn.XLOOKUP(A84,'Grocery and sales Data'!$A$1:$A$991,'Grocery and sales Data'!$C$1:$C$991)</f>
        <v>Dairy</v>
      </c>
      <c r="D84" s="9">
        <f>_xlfn.XLOOKUP(A84,'Grocery and sales Data'!$A$1:$A$991,'Grocery and sales Data'!$I$1:$I$991)</f>
        <v>2.5</v>
      </c>
      <c r="E84">
        <f>_xlfn.XLOOKUP(A84,'Grocery and sales Data'!$A$1:$A$991,'Grocery and sales Data'!$R$1:$R$991)</f>
        <v>180</v>
      </c>
      <c r="F84" t="str">
        <f t="shared" si="1"/>
        <v>Medium</v>
      </c>
    </row>
    <row r="85" spans="1:6" ht="16" x14ac:dyDescent="0.4">
      <c r="A85" s="2" t="s">
        <v>412</v>
      </c>
      <c r="B85" t="str">
        <f>_xlfn.XLOOKUP(A85,'Grocery and sales Data'!$A$1:$A$991,'Grocery and sales Data'!$B$1:$B$991)</f>
        <v>Spinach</v>
      </c>
      <c r="C85" t="str">
        <f>_xlfn.XLOOKUP(A85,'Grocery and sales Data'!$A$1:$A$991,'Grocery and sales Data'!$C$1:$C$991)</f>
        <v>Fruits &amp; Vegetables</v>
      </c>
      <c r="D85" s="9">
        <f>_xlfn.XLOOKUP(A85,'Grocery and sales Data'!$A$1:$A$991,'Grocery and sales Data'!$I$1:$I$991)</f>
        <v>2.4</v>
      </c>
      <c r="E85">
        <f>_xlfn.XLOOKUP(A85,'Grocery and sales Data'!$A$1:$A$991,'Grocery and sales Data'!$R$1:$R$991)</f>
        <v>141.6</v>
      </c>
      <c r="F85" t="str">
        <f t="shared" si="1"/>
        <v>Medium</v>
      </c>
    </row>
    <row r="86" spans="1:6" ht="16" x14ac:dyDescent="0.4">
      <c r="A86" s="2" t="s">
        <v>416</v>
      </c>
      <c r="B86" t="str">
        <f>_xlfn.XLOOKUP(A86,'Grocery and sales Data'!$A$1:$A$991,'Grocery and sales Data'!$B$1:$B$991)</f>
        <v>Sardines</v>
      </c>
      <c r="C86" t="str">
        <f>_xlfn.XLOOKUP(A86,'Grocery and sales Data'!$A$1:$A$991,'Grocery and sales Data'!$C$1:$C$991)</f>
        <v>Seafood</v>
      </c>
      <c r="D86" s="9">
        <f>_xlfn.XLOOKUP(A86,'Grocery and sales Data'!$A$1:$A$991,'Grocery and sales Data'!$I$1:$I$991)</f>
        <v>6</v>
      </c>
      <c r="E86">
        <f>_xlfn.XLOOKUP(A86,'Grocery and sales Data'!$A$1:$A$991,'Grocery and sales Data'!$R$1:$R$991)</f>
        <v>540</v>
      </c>
      <c r="F86" t="str">
        <f t="shared" si="1"/>
        <v>Medium</v>
      </c>
    </row>
    <row r="87" spans="1:6" ht="16" x14ac:dyDescent="0.4">
      <c r="A87" s="2" t="s">
        <v>420</v>
      </c>
      <c r="B87" t="str">
        <f>_xlfn.XLOOKUP(A87,'Grocery and sales Data'!$A$1:$A$991,'Grocery and sales Data'!$B$1:$B$991)</f>
        <v>White Sugar</v>
      </c>
      <c r="C87" t="str">
        <f>_xlfn.XLOOKUP(A87,'Grocery and sales Data'!$A$1:$A$991,'Grocery and sales Data'!$C$1:$C$991)</f>
        <v>Grains &amp; Pulses</v>
      </c>
      <c r="D87" s="9">
        <f>_xlfn.XLOOKUP(A87,'Grocery and sales Data'!$A$1:$A$991,'Grocery and sales Data'!$I$1:$I$991)</f>
        <v>2</v>
      </c>
      <c r="E87">
        <f>_xlfn.XLOOKUP(A87,'Grocery and sales Data'!$A$1:$A$991,'Grocery and sales Data'!$R$1:$R$991)</f>
        <v>58</v>
      </c>
      <c r="F87" t="str">
        <f t="shared" si="1"/>
        <v>Low</v>
      </c>
    </row>
    <row r="88" spans="1:6" ht="16" x14ac:dyDescent="0.4">
      <c r="A88" s="2" t="s">
        <v>424</v>
      </c>
      <c r="B88" t="str">
        <f>_xlfn.XLOOKUP(A88,'Grocery and sales Data'!$A$1:$A$991,'Grocery and sales Data'!$B$1:$B$991)</f>
        <v>Bread Flour</v>
      </c>
      <c r="C88" t="str">
        <f>_xlfn.XLOOKUP(A88,'Grocery and sales Data'!$A$1:$A$991,'Grocery and sales Data'!$C$1:$C$991)</f>
        <v>Grains &amp; Pulses</v>
      </c>
      <c r="D88" s="9">
        <f>_xlfn.XLOOKUP(A88,'Grocery and sales Data'!$A$1:$A$991,'Grocery and sales Data'!$I$1:$I$991)</f>
        <v>1.5</v>
      </c>
      <c r="E88">
        <f>_xlfn.XLOOKUP(A88,'Grocery and sales Data'!$A$1:$A$991,'Grocery and sales Data'!$R$1:$R$991)</f>
        <v>57</v>
      </c>
      <c r="F88" t="str">
        <f t="shared" si="1"/>
        <v>Low</v>
      </c>
    </row>
    <row r="89" spans="1:6" ht="16" x14ac:dyDescent="0.4">
      <c r="A89" s="2" t="s">
        <v>427</v>
      </c>
      <c r="B89" t="str">
        <f>_xlfn.XLOOKUP(A89,'Grocery and sales Data'!$A$1:$A$991,'Grocery and sales Data'!$B$1:$B$991)</f>
        <v>Cucumber</v>
      </c>
      <c r="C89" t="str">
        <f>_xlfn.XLOOKUP(A89,'Grocery and sales Data'!$A$1:$A$991,'Grocery and sales Data'!$C$1:$C$991)</f>
        <v>Fruits &amp; Vegetables</v>
      </c>
      <c r="D89" s="9">
        <f>_xlfn.XLOOKUP(A89,'Grocery and sales Data'!$A$1:$A$991,'Grocery and sales Data'!$I$1:$I$991)</f>
        <v>1.8</v>
      </c>
      <c r="E89">
        <f>_xlfn.XLOOKUP(A89,'Grocery and sales Data'!$A$1:$A$991,'Grocery and sales Data'!$R$1:$R$991)</f>
        <v>115.2</v>
      </c>
      <c r="F89" t="str">
        <f t="shared" si="1"/>
        <v>Medium</v>
      </c>
    </row>
    <row r="90" spans="1:6" ht="16" x14ac:dyDescent="0.4">
      <c r="A90" s="2" t="s">
        <v>431</v>
      </c>
      <c r="B90" t="str">
        <f>_xlfn.XLOOKUP(A90,'Grocery and sales Data'!$A$1:$A$991,'Grocery and sales Data'!$B$1:$B$991)</f>
        <v>Swiss Cheese</v>
      </c>
      <c r="C90" t="str">
        <f>_xlfn.XLOOKUP(A90,'Grocery and sales Data'!$A$1:$A$991,'Grocery and sales Data'!$C$1:$C$991)</f>
        <v>Dairy</v>
      </c>
      <c r="D90" s="9">
        <f>_xlfn.XLOOKUP(A90,'Grocery and sales Data'!$A$1:$A$991,'Grocery and sales Data'!$I$1:$I$991)</f>
        <v>8</v>
      </c>
      <c r="E90">
        <f>_xlfn.XLOOKUP(A90,'Grocery and sales Data'!$A$1:$A$991,'Grocery and sales Data'!$R$1:$R$991)</f>
        <v>472</v>
      </c>
      <c r="F90" t="str">
        <f t="shared" si="1"/>
        <v>Medium</v>
      </c>
    </row>
    <row r="91" spans="1:6" ht="16" x14ac:dyDescent="0.4">
      <c r="A91" s="2" t="s">
        <v>435</v>
      </c>
      <c r="B91" t="str">
        <f>_xlfn.XLOOKUP(A91,'Grocery and sales Data'!$A$1:$A$991,'Grocery and sales Data'!$B$1:$B$991)</f>
        <v>Peanut Oil</v>
      </c>
      <c r="C91" t="str">
        <f>_xlfn.XLOOKUP(A91,'Grocery and sales Data'!$A$1:$A$991,'Grocery and sales Data'!$C$1:$C$991)</f>
        <v>Oils &amp; Fats</v>
      </c>
      <c r="D91" s="9">
        <f>_xlfn.XLOOKUP(A91,'Grocery and sales Data'!$A$1:$A$991,'Grocery and sales Data'!$I$1:$I$991)</f>
        <v>4</v>
      </c>
      <c r="E91">
        <f>_xlfn.XLOOKUP(A91,'Grocery and sales Data'!$A$1:$A$991,'Grocery and sales Data'!$R$1:$R$991)</f>
        <v>204</v>
      </c>
      <c r="F91" t="str">
        <f t="shared" si="1"/>
        <v>Medium</v>
      </c>
    </row>
    <row r="92" spans="1:6" ht="16" x14ac:dyDescent="0.4">
      <c r="A92" s="2" t="s">
        <v>440</v>
      </c>
      <c r="B92" t="str">
        <f>_xlfn.XLOOKUP(A92,'Grocery and sales Data'!$A$1:$A$991,'Grocery and sales Data'!$B$1:$B$991)</f>
        <v>Blueberries</v>
      </c>
      <c r="C92" t="str">
        <f>_xlfn.XLOOKUP(A92,'Grocery and sales Data'!$A$1:$A$991,'Grocery and sales Data'!$C$1:$C$991)</f>
        <v>Fruits &amp; Vegetables</v>
      </c>
      <c r="D92" s="9">
        <f>_xlfn.XLOOKUP(A92,'Grocery and sales Data'!$A$1:$A$991,'Grocery and sales Data'!$I$1:$I$991)</f>
        <v>10</v>
      </c>
      <c r="E92">
        <f>_xlfn.XLOOKUP(A92,'Grocery and sales Data'!$A$1:$A$991,'Grocery and sales Data'!$R$1:$R$991)</f>
        <v>240</v>
      </c>
      <c r="F92" t="str">
        <f t="shared" si="1"/>
        <v>Medium</v>
      </c>
    </row>
    <row r="93" spans="1:6" ht="16" x14ac:dyDescent="0.4">
      <c r="A93" s="2" t="s">
        <v>445</v>
      </c>
      <c r="B93" t="str">
        <f>_xlfn.XLOOKUP(A93,'Grocery and sales Data'!$A$1:$A$991,'Grocery and sales Data'!$B$1:$B$991)</f>
        <v>Chocolate Biscuit</v>
      </c>
      <c r="C93" t="str">
        <f>_xlfn.XLOOKUP(A93,'Grocery and sales Data'!$A$1:$A$991,'Grocery and sales Data'!$C$1:$C$991)</f>
        <v>Bakery</v>
      </c>
      <c r="D93" s="9">
        <f>_xlfn.XLOOKUP(A93,'Grocery and sales Data'!$A$1:$A$991,'Grocery and sales Data'!$I$1:$I$991)</f>
        <v>5</v>
      </c>
      <c r="E93">
        <f>_xlfn.XLOOKUP(A93,'Grocery and sales Data'!$A$1:$A$991,'Grocery and sales Data'!$R$1:$R$991)</f>
        <v>345</v>
      </c>
      <c r="F93" t="str">
        <f t="shared" si="1"/>
        <v>Medium</v>
      </c>
    </row>
    <row r="94" spans="1:6" ht="16" x14ac:dyDescent="0.4">
      <c r="A94" s="2" t="s">
        <v>450</v>
      </c>
      <c r="B94" t="str">
        <f>_xlfn.XLOOKUP(A94,'Grocery and sales Data'!$A$1:$A$991,'Grocery and sales Data'!$B$1:$B$991)</f>
        <v>Cheese</v>
      </c>
      <c r="C94" t="str">
        <f>_xlfn.XLOOKUP(A94,'Grocery and sales Data'!$A$1:$A$991,'Grocery and sales Data'!$C$1:$C$991)</f>
        <v>Dairy</v>
      </c>
      <c r="D94" s="9">
        <f>_xlfn.XLOOKUP(A94,'Grocery and sales Data'!$A$1:$A$991,'Grocery and sales Data'!$I$1:$I$991)</f>
        <v>9</v>
      </c>
      <c r="E94">
        <f>_xlfn.XLOOKUP(A94,'Grocery and sales Data'!$A$1:$A$991,'Grocery and sales Data'!$R$1:$R$991)</f>
        <v>504</v>
      </c>
      <c r="F94" t="str">
        <f t="shared" si="1"/>
        <v>Medium</v>
      </c>
    </row>
    <row r="95" spans="1:6" ht="16" x14ac:dyDescent="0.4">
      <c r="A95" s="2" t="s">
        <v>455</v>
      </c>
      <c r="B95" t="str">
        <f>_xlfn.XLOOKUP(A95,'Grocery and sales Data'!$A$1:$A$991,'Grocery and sales Data'!$B$1:$B$991)</f>
        <v>Palm Oil</v>
      </c>
      <c r="C95" t="str">
        <f>_xlfn.XLOOKUP(A95,'Grocery and sales Data'!$A$1:$A$991,'Grocery and sales Data'!$C$1:$C$991)</f>
        <v>Oils &amp; Fats</v>
      </c>
      <c r="D95" s="9">
        <f>_xlfn.XLOOKUP(A95,'Grocery and sales Data'!$A$1:$A$991,'Grocery and sales Data'!$I$1:$I$991)</f>
        <v>1.8</v>
      </c>
      <c r="E95">
        <f>_xlfn.XLOOKUP(A95,'Grocery and sales Data'!$A$1:$A$991,'Grocery and sales Data'!$R$1:$R$991)</f>
        <v>59.4</v>
      </c>
      <c r="F95" t="str">
        <f t="shared" si="1"/>
        <v>Low</v>
      </c>
    </row>
    <row r="96" spans="1:6" ht="16" x14ac:dyDescent="0.4">
      <c r="A96" s="2" t="s">
        <v>459</v>
      </c>
      <c r="B96" t="str">
        <f>_xlfn.XLOOKUP(A96,'Grocery and sales Data'!$A$1:$A$991,'Grocery and sales Data'!$B$1:$B$991)</f>
        <v>Eggplant</v>
      </c>
      <c r="C96" t="str">
        <f>_xlfn.XLOOKUP(A96,'Grocery and sales Data'!$A$1:$A$991,'Grocery and sales Data'!$C$1:$C$991)</f>
        <v>Fruits &amp; Vegetables</v>
      </c>
      <c r="D96" s="9">
        <f>_xlfn.XLOOKUP(A96,'Grocery and sales Data'!$A$1:$A$991,'Grocery and sales Data'!$I$1:$I$991)</f>
        <v>3</v>
      </c>
      <c r="E96">
        <f>_xlfn.XLOOKUP(A96,'Grocery and sales Data'!$A$1:$A$991,'Grocery and sales Data'!$R$1:$R$991)</f>
        <v>246</v>
      </c>
      <c r="F96" t="str">
        <f t="shared" si="1"/>
        <v>Medium</v>
      </c>
    </row>
    <row r="97" spans="1:6" ht="16" x14ac:dyDescent="0.4">
      <c r="A97" s="2" t="s">
        <v>463</v>
      </c>
      <c r="B97" t="str">
        <f>_xlfn.XLOOKUP(A97,'Grocery and sales Data'!$A$1:$A$991,'Grocery and sales Data'!$B$1:$B$991)</f>
        <v>Garlic</v>
      </c>
      <c r="C97" t="str">
        <f>_xlfn.XLOOKUP(A97,'Grocery and sales Data'!$A$1:$A$991,'Grocery and sales Data'!$C$1:$C$991)</f>
        <v>Fruits &amp; Vegetables</v>
      </c>
      <c r="D97" s="9">
        <f>_xlfn.XLOOKUP(A97,'Grocery and sales Data'!$A$1:$A$991,'Grocery and sales Data'!$I$1:$I$991)</f>
        <v>7</v>
      </c>
      <c r="E97">
        <f>_xlfn.XLOOKUP(A97,'Grocery and sales Data'!$A$1:$A$991,'Grocery and sales Data'!$R$1:$R$991)</f>
        <v>637</v>
      </c>
      <c r="F97" t="str">
        <f t="shared" si="1"/>
        <v>Medium</v>
      </c>
    </row>
    <row r="98" spans="1:6" ht="16" x14ac:dyDescent="0.4">
      <c r="A98" s="2" t="s">
        <v>467</v>
      </c>
      <c r="B98" t="str">
        <f>_xlfn.XLOOKUP(A98,'Grocery and sales Data'!$A$1:$A$991,'Grocery and sales Data'!$B$1:$B$991)</f>
        <v>Jasmine Rice</v>
      </c>
      <c r="C98" t="str">
        <f>_xlfn.XLOOKUP(A98,'Grocery and sales Data'!$A$1:$A$991,'Grocery and sales Data'!$C$1:$C$991)</f>
        <v>Grains &amp; Pulses</v>
      </c>
      <c r="D98" s="9">
        <f>_xlfn.XLOOKUP(A98,'Grocery and sales Data'!$A$1:$A$991,'Grocery and sales Data'!$I$1:$I$991)</f>
        <v>4.75</v>
      </c>
      <c r="E98">
        <f>_xlfn.XLOOKUP(A98,'Grocery and sales Data'!$A$1:$A$991,'Grocery and sales Data'!$R$1:$R$991)</f>
        <v>242.25</v>
      </c>
      <c r="F98" t="str">
        <f t="shared" si="1"/>
        <v>Medium</v>
      </c>
    </row>
    <row r="99" spans="1:6" ht="16" x14ac:dyDescent="0.4">
      <c r="A99" s="2" t="s">
        <v>472</v>
      </c>
      <c r="B99" t="str">
        <f>_xlfn.XLOOKUP(A99,'Grocery and sales Data'!$A$1:$A$991,'Grocery and sales Data'!$B$1:$B$991)</f>
        <v>Rice Flour</v>
      </c>
      <c r="C99" t="str">
        <f>_xlfn.XLOOKUP(A99,'Grocery and sales Data'!$A$1:$A$991,'Grocery and sales Data'!$C$1:$C$991)</f>
        <v>Grains &amp; Pulses</v>
      </c>
      <c r="D99" s="9">
        <f>_xlfn.XLOOKUP(A99,'Grocery and sales Data'!$A$1:$A$991,'Grocery and sales Data'!$I$1:$I$991)</f>
        <v>2</v>
      </c>
      <c r="E99">
        <f>_xlfn.XLOOKUP(A99,'Grocery and sales Data'!$A$1:$A$991,'Grocery and sales Data'!$R$1:$R$991)</f>
        <v>190</v>
      </c>
      <c r="F99" t="str">
        <f t="shared" si="1"/>
        <v>Medium</v>
      </c>
    </row>
    <row r="100" spans="1:6" ht="16" x14ac:dyDescent="0.4">
      <c r="A100" s="2" t="s">
        <v>476</v>
      </c>
      <c r="B100" t="str">
        <f>_xlfn.XLOOKUP(A100,'Grocery and sales Data'!$A$1:$A$991,'Grocery and sales Data'!$B$1:$B$991)</f>
        <v>Zucchini</v>
      </c>
      <c r="C100" t="str">
        <f>_xlfn.XLOOKUP(A100,'Grocery and sales Data'!$A$1:$A$991,'Grocery and sales Data'!$C$1:$C$991)</f>
        <v>Fruits &amp; Vegetables</v>
      </c>
      <c r="D100" s="9">
        <f>_xlfn.XLOOKUP(A100,'Grocery and sales Data'!$A$1:$A$991,'Grocery and sales Data'!$I$1:$I$991)</f>
        <v>2.5</v>
      </c>
      <c r="E100">
        <f>_xlfn.XLOOKUP(A100,'Grocery and sales Data'!$A$1:$A$991,'Grocery and sales Data'!$R$1:$R$991)</f>
        <v>165</v>
      </c>
      <c r="F100" t="str">
        <f t="shared" si="1"/>
        <v>Medium</v>
      </c>
    </row>
    <row r="101" spans="1:6" ht="16" x14ac:dyDescent="0.4">
      <c r="A101" s="2" t="s">
        <v>480</v>
      </c>
      <c r="B101" t="str">
        <f>_xlfn.XLOOKUP(A101,'Grocery and sales Data'!$A$1:$A$991,'Grocery and sales Data'!$B$1:$B$991)</f>
        <v>Multigrain Bread</v>
      </c>
      <c r="C101" t="str">
        <f>_xlfn.XLOOKUP(A101,'Grocery and sales Data'!$A$1:$A$991,'Grocery and sales Data'!$C$1:$C$991)</f>
        <v>Bakery</v>
      </c>
      <c r="D101" s="9">
        <f>_xlfn.XLOOKUP(A101,'Grocery and sales Data'!$A$1:$A$991,'Grocery and sales Data'!$I$1:$I$991)</f>
        <v>3.2</v>
      </c>
      <c r="E101">
        <f>_xlfn.XLOOKUP(A101,'Grocery and sales Data'!$A$1:$A$991,'Grocery and sales Data'!$R$1:$R$991)</f>
        <v>214.4</v>
      </c>
      <c r="F101" t="str">
        <f t="shared" si="1"/>
        <v>Medium</v>
      </c>
    </row>
    <row r="102" spans="1:6" ht="16" x14ac:dyDescent="0.4">
      <c r="A102" s="2" t="s">
        <v>484</v>
      </c>
      <c r="B102" t="str">
        <f>_xlfn.XLOOKUP(A102,'Grocery and sales Data'!$A$1:$A$991,'Grocery and sales Data'!$B$1:$B$991)</f>
        <v>Ricotta Cheese</v>
      </c>
      <c r="C102" t="str">
        <f>_xlfn.XLOOKUP(A102,'Grocery and sales Data'!$A$1:$A$991,'Grocery and sales Data'!$C$1:$C$991)</f>
        <v>Dairy</v>
      </c>
      <c r="D102" s="9">
        <f>_xlfn.XLOOKUP(A102,'Grocery and sales Data'!$A$1:$A$991,'Grocery and sales Data'!$I$1:$I$991)</f>
        <v>6</v>
      </c>
      <c r="E102">
        <f>_xlfn.XLOOKUP(A102,'Grocery and sales Data'!$A$1:$A$991,'Grocery and sales Data'!$R$1:$R$991)</f>
        <v>258</v>
      </c>
      <c r="F102" t="str">
        <f t="shared" si="1"/>
        <v>Medium</v>
      </c>
    </row>
    <row r="103" spans="1:6" ht="16" x14ac:dyDescent="0.4">
      <c r="A103" s="2" t="s">
        <v>488</v>
      </c>
      <c r="B103" t="str">
        <f>_xlfn.XLOOKUP(A103,'Grocery and sales Data'!$A$1:$A$991,'Grocery and sales Data'!$B$1:$B$991)</f>
        <v>Bread Flour</v>
      </c>
      <c r="C103" t="str">
        <f>_xlfn.XLOOKUP(A103,'Grocery and sales Data'!$A$1:$A$991,'Grocery and sales Data'!$C$1:$C$991)</f>
        <v>Grains &amp; Pulses</v>
      </c>
      <c r="D103" s="9">
        <f>_xlfn.XLOOKUP(A103,'Grocery and sales Data'!$A$1:$A$991,'Grocery and sales Data'!$I$1:$I$991)</f>
        <v>1.5</v>
      </c>
      <c r="E103">
        <f>_xlfn.XLOOKUP(A103,'Grocery and sales Data'!$A$1:$A$991,'Grocery and sales Data'!$R$1:$R$991)</f>
        <v>138</v>
      </c>
      <c r="F103" t="str">
        <f t="shared" si="1"/>
        <v>Medium</v>
      </c>
    </row>
    <row r="104" spans="1:6" ht="16" x14ac:dyDescent="0.4">
      <c r="A104" s="2" t="s">
        <v>492</v>
      </c>
      <c r="B104" t="str">
        <f>_xlfn.XLOOKUP(A104,'Grocery and sales Data'!$A$1:$A$991,'Grocery and sales Data'!$B$1:$B$991)</f>
        <v>Cottage Cheese</v>
      </c>
      <c r="C104" t="str">
        <f>_xlfn.XLOOKUP(A104,'Grocery and sales Data'!$A$1:$A$991,'Grocery and sales Data'!$C$1:$C$991)</f>
        <v>Dairy</v>
      </c>
      <c r="D104" s="9">
        <f>_xlfn.XLOOKUP(A104,'Grocery and sales Data'!$A$1:$A$991,'Grocery and sales Data'!$I$1:$I$991)</f>
        <v>5</v>
      </c>
      <c r="E104">
        <f>_xlfn.XLOOKUP(A104,'Grocery and sales Data'!$A$1:$A$991,'Grocery and sales Data'!$R$1:$R$991)</f>
        <v>340</v>
      </c>
      <c r="F104" t="str">
        <f t="shared" si="1"/>
        <v>Medium</v>
      </c>
    </row>
    <row r="105" spans="1:6" ht="16" x14ac:dyDescent="0.4">
      <c r="A105" s="2" t="s">
        <v>496</v>
      </c>
      <c r="B105" t="str">
        <f>_xlfn.XLOOKUP(A105,'Grocery and sales Data'!$A$1:$A$991,'Grocery and sales Data'!$B$1:$B$991)</f>
        <v>Whipped Cream</v>
      </c>
      <c r="C105" t="str">
        <f>_xlfn.XLOOKUP(A105,'Grocery and sales Data'!$A$1:$A$991,'Grocery and sales Data'!$C$1:$C$991)</f>
        <v>Dairy</v>
      </c>
      <c r="D105" s="9">
        <f>_xlfn.XLOOKUP(A105,'Grocery and sales Data'!$A$1:$A$991,'Grocery and sales Data'!$I$1:$I$991)</f>
        <v>4</v>
      </c>
      <c r="E105">
        <f>_xlfn.XLOOKUP(A105,'Grocery and sales Data'!$A$1:$A$991,'Grocery and sales Data'!$R$1:$R$991)</f>
        <v>240</v>
      </c>
      <c r="F105" t="str">
        <f t="shared" si="1"/>
        <v>Medium</v>
      </c>
    </row>
    <row r="106" spans="1:6" ht="16" x14ac:dyDescent="0.4">
      <c r="A106" s="2" t="s">
        <v>501</v>
      </c>
      <c r="B106" t="str">
        <f>_xlfn.XLOOKUP(A106,'Grocery and sales Data'!$A$1:$A$991,'Grocery and sales Data'!$B$1:$B$991)</f>
        <v>Almond Flour</v>
      </c>
      <c r="C106" t="str">
        <f>_xlfn.XLOOKUP(A106,'Grocery and sales Data'!$A$1:$A$991,'Grocery and sales Data'!$C$1:$C$991)</f>
        <v>Grains &amp; Pulses</v>
      </c>
      <c r="D106" s="9">
        <f>_xlfn.XLOOKUP(A106,'Grocery and sales Data'!$A$1:$A$991,'Grocery and sales Data'!$I$1:$I$991)</f>
        <v>9.5</v>
      </c>
      <c r="E106">
        <f>_xlfn.XLOOKUP(A106,'Grocery and sales Data'!$A$1:$A$991,'Grocery and sales Data'!$R$1:$R$991)</f>
        <v>228</v>
      </c>
      <c r="F106" t="str">
        <f t="shared" si="1"/>
        <v>Medium</v>
      </c>
    </row>
    <row r="107" spans="1:6" ht="16" x14ac:dyDescent="0.4">
      <c r="A107" s="2" t="s">
        <v>505</v>
      </c>
      <c r="B107" t="str">
        <f>_xlfn.XLOOKUP(A107,'Grocery and sales Data'!$A$1:$A$991,'Grocery and sales Data'!$B$1:$B$991)</f>
        <v>Lemon</v>
      </c>
      <c r="C107" t="str">
        <f>_xlfn.XLOOKUP(A107,'Grocery and sales Data'!$A$1:$A$991,'Grocery and sales Data'!$C$1:$C$991)</f>
        <v>Fruits &amp; Vegetables</v>
      </c>
      <c r="D107" s="9">
        <f>_xlfn.XLOOKUP(A107,'Grocery and sales Data'!$A$1:$A$991,'Grocery and sales Data'!$I$1:$I$991)</f>
        <v>2.5</v>
      </c>
      <c r="E107">
        <f>_xlfn.XLOOKUP(A107,'Grocery and sales Data'!$A$1:$A$991,'Grocery and sales Data'!$R$1:$R$991)</f>
        <v>140</v>
      </c>
      <c r="F107" t="str">
        <f t="shared" si="1"/>
        <v>Medium</v>
      </c>
    </row>
    <row r="108" spans="1:6" ht="16" x14ac:dyDescent="0.4">
      <c r="A108" s="2" t="s">
        <v>508</v>
      </c>
      <c r="B108" t="str">
        <f>_xlfn.XLOOKUP(A108,'Grocery and sales Data'!$A$1:$A$991,'Grocery and sales Data'!$B$1:$B$991)</f>
        <v>Tilapia</v>
      </c>
      <c r="C108" t="str">
        <f>_xlfn.XLOOKUP(A108,'Grocery and sales Data'!$A$1:$A$991,'Grocery and sales Data'!$C$1:$C$991)</f>
        <v>Seafood</v>
      </c>
      <c r="D108" s="9">
        <f>_xlfn.XLOOKUP(A108,'Grocery and sales Data'!$A$1:$A$991,'Grocery and sales Data'!$I$1:$I$991)</f>
        <v>7</v>
      </c>
      <c r="E108">
        <f>_xlfn.XLOOKUP(A108,'Grocery and sales Data'!$A$1:$A$991,'Grocery and sales Data'!$R$1:$R$991)</f>
        <v>427</v>
      </c>
      <c r="F108" t="str">
        <f t="shared" si="1"/>
        <v>Medium</v>
      </c>
    </row>
    <row r="109" spans="1:6" ht="16" x14ac:dyDescent="0.4">
      <c r="A109" s="2" t="s">
        <v>512</v>
      </c>
      <c r="B109" t="str">
        <f>_xlfn.XLOOKUP(A109,'Grocery and sales Data'!$A$1:$A$991,'Grocery and sales Data'!$B$1:$B$991)</f>
        <v>Lettuce</v>
      </c>
      <c r="C109" t="str">
        <f>_xlfn.XLOOKUP(A109,'Grocery and sales Data'!$A$1:$A$991,'Grocery and sales Data'!$C$1:$C$991)</f>
        <v>Fruits &amp; Vegetables</v>
      </c>
      <c r="D109" s="9">
        <f>_xlfn.XLOOKUP(A109,'Grocery and sales Data'!$A$1:$A$991,'Grocery and sales Data'!$I$1:$I$991)</f>
        <v>2</v>
      </c>
      <c r="E109">
        <f>_xlfn.XLOOKUP(A109,'Grocery and sales Data'!$A$1:$A$991,'Grocery and sales Data'!$R$1:$R$991)</f>
        <v>106</v>
      </c>
      <c r="F109" t="str">
        <f t="shared" si="1"/>
        <v>Medium</v>
      </c>
    </row>
    <row r="110" spans="1:6" ht="16" x14ac:dyDescent="0.4">
      <c r="A110" s="2" t="s">
        <v>517</v>
      </c>
      <c r="B110" t="str">
        <f>_xlfn.XLOOKUP(A110,'Grocery and sales Data'!$A$1:$A$991,'Grocery and sales Data'!$B$1:$B$991)</f>
        <v>Peanut Oil</v>
      </c>
      <c r="C110" t="str">
        <f>_xlfn.XLOOKUP(A110,'Grocery and sales Data'!$A$1:$A$991,'Grocery and sales Data'!$C$1:$C$991)</f>
        <v>Oils &amp; Fats</v>
      </c>
      <c r="D110" s="9">
        <f>_xlfn.XLOOKUP(A110,'Grocery and sales Data'!$A$1:$A$991,'Grocery and sales Data'!$I$1:$I$991)</f>
        <v>4</v>
      </c>
      <c r="E110">
        <f>_xlfn.XLOOKUP(A110,'Grocery and sales Data'!$A$1:$A$991,'Grocery and sales Data'!$R$1:$R$991)</f>
        <v>224</v>
      </c>
      <c r="F110" t="str">
        <f t="shared" si="1"/>
        <v>Medium</v>
      </c>
    </row>
    <row r="111" spans="1:6" ht="16" x14ac:dyDescent="0.4">
      <c r="A111" s="2" t="s">
        <v>521</v>
      </c>
      <c r="B111" t="str">
        <f>_xlfn.XLOOKUP(A111,'Grocery and sales Data'!$A$1:$A$991,'Grocery and sales Data'!$B$1:$B$991)</f>
        <v>Sardines</v>
      </c>
      <c r="C111" t="str">
        <f>_xlfn.XLOOKUP(A111,'Grocery and sales Data'!$A$1:$A$991,'Grocery and sales Data'!$C$1:$C$991)</f>
        <v>Seafood</v>
      </c>
      <c r="D111" s="9">
        <f>_xlfn.XLOOKUP(A111,'Grocery and sales Data'!$A$1:$A$991,'Grocery and sales Data'!$I$1:$I$991)</f>
        <v>6</v>
      </c>
      <c r="E111">
        <f>_xlfn.XLOOKUP(A111,'Grocery and sales Data'!$A$1:$A$991,'Grocery and sales Data'!$R$1:$R$991)</f>
        <v>588</v>
      </c>
      <c r="F111" t="str">
        <f t="shared" si="1"/>
        <v>Medium</v>
      </c>
    </row>
    <row r="112" spans="1:6" ht="16" x14ac:dyDescent="0.4">
      <c r="A112" s="2" t="s">
        <v>525</v>
      </c>
      <c r="B112" t="str">
        <f>_xlfn.XLOOKUP(A112,'Grocery and sales Data'!$A$1:$A$991,'Grocery and sales Data'!$B$1:$B$991)</f>
        <v>Arabica Coffee</v>
      </c>
      <c r="C112" t="str">
        <f>_xlfn.XLOOKUP(A112,'Grocery and sales Data'!$A$1:$A$991,'Grocery and sales Data'!$C$1:$C$991)</f>
        <v>Beverages</v>
      </c>
      <c r="D112" s="9">
        <f>_xlfn.XLOOKUP(A112,'Grocery and sales Data'!$A$1:$A$991,'Grocery and sales Data'!$I$1:$I$991)</f>
        <v>20</v>
      </c>
      <c r="E112">
        <f>_xlfn.XLOOKUP(A112,'Grocery and sales Data'!$A$1:$A$991,'Grocery and sales Data'!$R$1:$R$991)</f>
        <v>460</v>
      </c>
      <c r="F112" t="str">
        <f t="shared" si="1"/>
        <v>Medium</v>
      </c>
    </row>
    <row r="113" spans="1:6" ht="16" x14ac:dyDescent="0.4">
      <c r="A113" s="2" t="s">
        <v>528</v>
      </c>
      <c r="B113" t="str">
        <f>_xlfn.XLOOKUP(A113,'Grocery and sales Data'!$A$1:$A$991,'Grocery and sales Data'!$B$1:$B$991)</f>
        <v>Coconut</v>
      </c>
      <c r="C113" t="str">
        <f>_xlfn.XLOOKUP(A113,'Grocery and sales Data'!$A$1:$A$991,'Grocery and sales Data'!$C$1:$C$991)</f>
        <v>Fruits &amp; Vegetables</v>
      </c>
      <c r="D113" s="9">
        <f>_xlfn.XLOOKUP(A113,'Grocery and sales Data'!$A$1:$A$991,'Grocery and sales Data'!$I$1:$I$991)</f>
        <v>5</v>
      </c>
      <c r="E113">
        <f>_xlfn.XLOOKUP(A113,'Grocery and sales Data'!$A$1:$A$991,'Grocery and sales Data'!$R$1:$R$991)</f>
        <v>190</v>
      </c>
      <c r="F113" t="str">
        <f t="shared" si="1"/>
        <v>Medium</v>
      </c>
    </row>
    <row r="114" spans="1:6" ht="16" x14ac:dyDescent="0.4">
      <c r="A114" s="2" t="s">
        <v>532</v>
      </c>
      <c r="B114" t="str">
        <f>_xlfn.XLOOKUP(A114,'Grocery and sales Data'!$A$1:$A$991,'Grocery and sales Data'!$B$1:$B$991)</f>
        <v>Cod</v>
      </c>
      <c r="C114" t="str">
        <f>_xlfn.XLOOKUP(A114,'Grocery and sales Data'!$A$1:$A$991,'Grocery and sales Data'!$C$1:$C$991)</f>
        <v>Seafood</v>
      </c>
      <c r="D114" s="9">
        <f>_xlfn.XLOOKUP(A114,'Grocery and sales Data'!$A$1:$A$991,'Grocery and sales Data'!$I$1:$I$991)</f>
        <v>8</v>
      </c>
      <c r="E114">
        <f>_xlfn.XLOOKUP(A114,'Grocery and sales Data'!$A$1:$A$991,'Grocery and sales Data'!$R$1:$R$991)</f>
        <v>504</v>
      </c>
      <c r="F114" t="str">
        <f t="shared" si="1"/>
        <v>Medium</v>
      </c>
    </row>
    <row r="115" spans="1:6" ht="16" x14ac:dyDescent="0.4">
      <c r="A115" s="2" t="s">
        <v>537</v>
      </c>
      <c r="B115" t="str">
        <f>_xlfn.XLOOKUP(A115,'Grocery and sales Data'!$A$1:$A$991,'Grocery and sales Data'!$B$1:$B$991)</f>
        <v>Banana</v>
      </c>
      <c r="C115" t="str">
        <f>_xlfn.XLOOKUP(A115,'Grocery and sales Data'!$A$1:$A$991,'Grocery and sales Data'!$C$1:$C$991)</f>
        <v>Fruits &amp; Vegetables</v>
      </c>
      <c r="D115" s="9">
        <f>_xlfn.XLOOKUP(A115,'Grocery and sales Data'!$A$1:$A$991,'Grocery and sales Data'!$I$1:$I$991)</f>
        <v>98.43</v>
      </c>
      <c r="E115">
        <f>_xlfn.XLOOKUP(A115,'Grocery and sales Data'!$A$1:$A$991,'Grocery and sales Data'!$R$1:$R$991)</f>
        <v>3445.05</v>
      </c>
      <c r="F115" t="str">
        <f t="shared" si="1"/>
        <v>High</v>
      </c>
    </row>
    <row r="116" spans="1:6" ht="16" x14ac:dyDescent="0.4">
      <c r="A116" s="2" t="s">
        <v>541</v>
      </c>
      <c r="B116" t="str">
        <f>_xlfn.XLOOKUP(A116,'Grocery and sales Data'!$A$1:$A$991,'Grocery and sales Data'!$B$1:$B$991)</f>
        <v>Black Rice</v>
      </c>
      <c r="C116" t="str">
        <f>_xlfn.XLOOKUP(A116,'Grocery and sales Data'!$A$1:$A$991,'Grocery and sales Data'!$C$1:$C$991)</f>
        <v>Grains &amp; Pulses</v>
      </c>
      <c r="D116" s="9">
        <f>_xlfn.XLOOKUP(A116,'Grocery and sales Data'!$A$1:$A$991,'Grocery and sales Data'!$I$1:$I$991)</f>
        <v>6.1</v>
      </c>
      <c r="E116">
        <f>_xlfn.XLOOKUP(A116,'Grocery and sales Data'!$A$1:$A$991,'Grocery and sales Data'!$R$1:$R$991)</f>
        <v>488</v>
      </c>
      <c r="F116" t="str">
        <f t="shared" si="1"/>
        <v>Medium</v>
      </c>
    </row>
    <row r="117" spans="1:6" ht="16" x14ac:dyDescent="0.4">
      <c r="A117" s="2" t="s">
        <v>545</v>
      </c>
      <c r="B117" t="str">
        <f>_xlfn.XLOOKUP(A117,'Grocery and sales Data'!$A$1:$A$991,'Grocery and sales Data'!$B$1:$B$991)</f>
        <v>Pomegranate</v>
      </c>
      <c r="C117" t="str">
        <f>_xlfn.XLOOKUP(A117,'Grocery and sales Data'!$A$1:$A$991,'Grocery and sales Data'!$C$1:$C$991)</f>
        <v>Fruits &amp; Vegetables</v>
      </c>
      <c r="D117" s="9">
        <f>_xlfn.XLOOKUP(A117,'Grocery and sales Data'!$A$1:$A$991,'Grocery and sales Data'!$I$1:$I$991)</f>
        <v>6</v>
      </c>
      <c r="E117">
        <f>_xlfn.XLOOKUP(A117,'Grocery and sales Data'!$A$1:$A$991,'Grocery and sales Data'!$R$1:$R$991)</f>
        <v>576</v>
      </c>
      <c r="F117" t="str">
        <f t="shared" si="1"/>
        <v>Medium</v>
      </c>
    </row>
    <row r="118" spans="1:6" ht="16" x14ac:dyDescent="0.4">
      <c r="A118" s="2" t="s">
        <v>550</v>
      </c>
      <c r="B118" t="str">
        <f>_xlfn.XLOOKUP(A118,'Grocery and sales Data'!$A$1:$A$991,'Grocery and sales Data'!$B$1:$B$991)</f>
        <v>Pineapple</v>
      </c>
      <c r="C118" t="str">
        <f>_xlfn.XLOOKUP(A118,'Grocery and sales Data'!$A$1:$A$991,'Grocery and sales Data'!$C$1:$C$991)</f>
        <v>Fruits &amp; Vegetables</v>
      </c>
      <c r="D118" s="9">
        <f>_xlfn.XLOOKUP(A118,'Grocery and sales Data'!$A$1:$A$991,'Grocery and sales Data'!$I$1:$I$991)</f>
        <v>3.5</v>
      </c>
      <c r="E118">
        <f>_xlfn.XLOOKUP(A118,'Grocery and sales Data'!$A$1:$A$991,'Grocery and sales Data'!$R$1:$R$991)</f>
        <v>154</v>
      </c>
      <c r="F118" t="str">
        <f t="shared" si="1"/>
        <v>Medium</v>
      </c>
    </row>
    <row r="119" spans="1:6" ht="16" x14ac:dyDescent="0.4">
      <c r="A119" s="2" t="s">
        <v>554</v>
      </c>
      <c r="B119" t="str">
        <f>_xlfn.XLOOKUP(A119,'Grocery and sales Data'!$A$1:$A$991,'Grocery and sales Data'!$B$1:$B$991)</f>
        <v>Peach</v>
      </c>
      <c r="C119" t="str">
        <f>_xlfn.XLOOKUP(A119,'Grocery and sales Data'!$A$1:$A$991,'Grocery and sales Data'!$C$1:$C$991)</f>
        <v>Fruits &amp; Vegetables</v>
      </c>
      <c r="D119" s="9">
        <f>_xlfn.XLOOKUP(A119,'Grocery and sales Data'!$A$1:$A$991,'Grocery and sales Data'!$I$1:$I$991)</f>
        <v>4</v>
      </c>
      <c r="E119">
        <f>_xlfn.XLOOKUP(A119,'Grocery and sales Data'!$A$1:$A$991,'Grocery and sales Data'!$R$1:$R$991)</f>
        <v>372</v>
      </c>
      <c r="F119" t="str">
        <f t="shared" si="1"/>
        <v>Medium</v>
      </c>
    </row>
    <row r="120" spans="1:6" ht="16" x14ac:dyDescent="0.4">
      <c r="A120" s="2" t="s">
        <v>559</v>
      </c>
      <c r="B120" t="str">
        <f>_xlfn.XLOOKUP(A120,'Grocery and sales Data'!$A$1:$A$991,'Grocery and sales Data'!$B$1:$B$991)</f>
        <v>Arborio Rice</v>
      </c>
      <c r="C120" t="str">
        <f>_xlfn.XLOOKUP(A120,'Grocery and sales Data'!$A$1:$A$991,'Grocery and sales Data'!$C$1:$C$991)</f>
        <v>Grains &amp; Pulses</v>
      </c>
      <c r="D120" s="9">
        <f>_xlfn.XLOOKUP(A120,'Grocery and sales Data'!$A$1:$A$991,'Grocery and sales Data'!$I$1:$I$991)</f>
        <v>4.5</v>
      </c>
      <c r="E120">
        <f>_xlfn.XLOOKUP(A120,'Grocery and sales Data'!$A$1:$A$991,'Grocery and sales Data'!$R$1:$R$991)</f>
        <v>270</v>
      </c>
      <c r="F120" t="str">
        <f t="shared" si="1"/>
        <v>Medium</v>
      </c>
    </row>
    <row r="121" spans="1:6" ht="16" x14ac:dyDescent="0.4">
      <c r="A121" s="2" t="s">
        <v>563</v>
      </c>
      <c r="B121" t="str">
        <f>_xlfn.XLOOKUP(A121,'Grocery and sales Data'!$A$1:$A$991,'Grocery and sales Data'!$B$1:$B$991)</f>
        <v>Plum</v>
      </c>
      <c r="C121" t="str">
        <f>_xlfn.XLOOKUP(A121,'Grocery and sales Data'!$A$1:$A$991,'Grocery and sales Data'!$C$1:$C$991)</f>
        <v>Fruits &amp; Vegetables</v>
      </c>
      <c r="D121" s="9">
        <f>_xlfn.XLOOKUP(A121,'Grocery and sales Data'!$A$1:$A$991,'Grocery and sales Data'!$I$1:$I$991)</f>
        <v>3.85</v>
      </c>
      <c r="E121">
        <f>_xlfn.XLOOKUP(A121,'Grocery and sales Data'!$A$1:$A$991,'Grocery and sales Data'!$R$1:$R$991)</f>
        <v>234.85</v>
      </c>
      <c r="F121" t="str">
        <f t="shared" si="1"/>
        <v>Medium</v>
      </c>
    </row>
    <row r="122" spans="1:6" ht="16" x14ac:dyDescent="0.4">
      <c r="A122" s="2" t="s">
        <v>567</v>
      </c>
      <c r="B122" t="str">
        <f>_xlfn.XLOOKUP(A122,'Grocery and sales Data'!$A$1:$A$991,'Grocery and sales Data'!$B$1:$B$991)</f>
        <v>Sushi Rice</v>
      </c>
      <c r="C122" t="str">
        <f>_xlfn.XLOOKUP(A122,'Grocery and sales Data'!$A$1:$A$991,'Grocery and sales Data'!$C$1:$C$991)</f>
        <v>Grains &amp; Pulses</v>
      </c>
      <c r="D122" s="9">
        <f>_xlfn.XLOOKUP(A122,'Grocery and sales Data'!$A$1:$A$991,'Grocery and sales Data'!$I$1:$I$991)</f>
        <v>4.3</v>
      </c>
      <c r="E122">
        <f>_xlfn.XLOOKUP(A122,'Grocery and sales Data'!$A$1:$A$991,'Grocery and sales Data'!$R$1:$R$991)</f>
        <v>249.39999999999998</v>
      </c>
      <c r="F122" t="str">
        <f t="shared" si="1"/>
        <v>Medium</v>
      </c>
    </row>
    <row r="123" spans="1:6" ht="16" x14ac:dyDescent="0.4">
      <c r="A123" s="2" t="s">
        <v>571</v>
      </c>
      <c r="B123" t="str">
        <f>_xlfn.XLOOKUP(A123,'Grocery and sales Data'!$A$1:$A$991,'Grocery and sales Data'!$B$1:$B$991)</f>
        <v>Arabica Coffee</v>
      </c>
      <c r="C123" t="str">
        <f>_xlfn.XLOOKUP(A123,'Grocery and sales Data'!$A$1:$A$991,'Grocery and sales Data'!$C$1:$C$991)</f>
        <v>Beverages</v>
      </c>
      <c r="D123" s="9">
        <f>_xlfn.XLOOKUP(A123,'Grocery and sales Data'!$A$1:$A$991,'Grocery and sales Data'!$I$1:$I$991)</f>
        <v>21</v>
      </c>
      <c r="E123">
        <f>_xlfn.XLOOKUP(A123,'Grocery and sales Data'!$A$1:$A$991,'Grocery and sales Data'!$R$1:$R$991)</f>
        <v>1743</v>
      </c>
      <c r="F123" t="str">
        <f t="shared" si="1"/>
        <v>High</v>
      </c>
    </row>
    <row r="124" spans="1:6" ht="16" x14ac:dyDescent="0.4">
      <c r="A124" s="2" t="s">
        <v>574</v>
      </c>
      <c r="B124" t="str">
        <f>_xlfn.XLOOKUP(A124,'Grocery and sales Data'!$A$1:$A$991,'Grocery and sales Data'!$B$1:$B$991)</f>
        <v>Pear</v>
      </c>
      <c r="C124" t="str">
        <f>_xlfn.XLOOKUP(A124,'Grocery and sales Data'!$A$1:$A$991,'Grocery and sales Data'!$C$1:$C$991)</f>
        <v>Fruits &amp; Vegetables</v>
      </c>
      <c r="D124" s="9">
        <f>_xlfn.XLOOKUP(A124,'Grocery and sales Data'!$A$1:$A$991,'Grocery and sales Data'!$I$1:$I$991)</f>
        <v>4.5</v>
      </c>
      <c r="E124">
        <f>_xlfn.XLOOKUP(A124,'Grocery and sales Data'!$A$1:$A$991,'Grocery and sales Data'!$R$1:$R$991)</f>
        <v>108</v>
      </c>
      <c r="F124" t="str">
        <f t="shared" si="1"/>
        <v>Medium</v>
      </c>
    </row>
    <row r="125" spans="1:6" ht="16" x14ac:dyDescent="0.4">
      <c r="A125" s="2" t="s">
        <v>578</v>
      </c>
      <c r="B125" t="str">
        <f>_xlfn.XLOOKUP(A125,'Grocery and sales Data'!$A$1:$A$991,'Grocery and sales Data'!$B$1:$B$991)</f>
        <v>Sourdough Bread</v>
      </c>
      <c r="C125" t="str">
        <f>_xlfn.XLOOKUP(A125,'Grocery and sales Data'!$A$1:$A$991,'Grocery and sales Data'!$C$1:$C$991)</f>
        <v>Bakery</v>
      </c>
      <c r="D125" s="9">
        <f>_xlfn.XLOOKUP(A125,'Grocery and sales Data'!$A$1:$A$991,'Grocery and sales Data'!$I$1:$I$991)</f>
        <v>4</v>
      </c>
      <c r="E125">
        <f>_xlfn.XLOOKUP(A125,'Grocery and sales Data'!$A$1:$A$991,'Grocery and sales Data'!$R$1:$R$991)</f>
        <v>112</v>
      </c>
      <c r="F125" t="str">
        <f t="shared" si="1"/>
        <v>Medium</v>
      </c>
    </row>
    <row r="126" spans="1:6" ht="16" x14ac:dyDescent="0.4">
      <c r="A126" s="2" t="s">
        <v>582</v>
      </c>
      <c r="B126" t="str">
        <f>_xlfn.XLOOKUP(A126,'Grocery and sales Data'!$A$1:$A$991,'Grocery and sales Data'!$B$1:$B$991)</f>
        <v>Pear</v>
      </c>
      <c r="C126" t="str">
        <f>_xlfn.XLOOKUP(A126,'Grocery and sales Data'!$A$1:$A$991,'Grocery and sales Data'!$C$1:$C$991)</f>
        <v>Fruits &amp; Vegetables</v>
      </c>
      <c r="D126" s="9">
        <f>_xlfn.XLOOKUP(A126,'Grocery and sales Data'!$A$1:$A$991,'Grocery and sales Data'!$I$1:$I$991)</f>
        <v>4.5</v>
      </c>
      <c r="E126">
        <f>_xlfn.XLOOKUP(A126,'Grocery and sales Data'!$A$1:$A$991,'Grocery and sales Data'!$R$1:$R$991)</f>
        <v>139.5</v>
      </c>
      <c r="F126" t="str">
        <f t="shared" si="1"/>
        <v>Medium</v>
      </c>
    </row>
    <row r="127" spans="1:6" ht="16" x14ac:dyDescent="0.4">
      <c r="A127" s="2" t="s">
        <v>586</v>
      </c>
      <c r="B127" t="str">
        <f>_xlfn.XLOOKUP(A127,'Grocery and sales Data'!$A$1:$A$991,'Grocery and sales Data'!$B$1:$B$991)</f>
        <v>Heavy Cream</v>
      </c>
      <c r="C127" t="str">
        <f>_xlfn.XLOOKUP(A127,'Grocery and sales Data'!$A$1:$A$991,'Grocery and sales Data'!$C$1:$C$991)</f>
        <v>Dairy</v>
      </c>
      <c r="D127" s="9">
        <f>_xlfn.XLOOKUP(A127,'Grocery and sales Data'!$A$1:$A$991,'Grocery and sales Data'!$I$1:$I$991)</f>
        <v>4.2</v>
      </c>
      <c r="E127">
        <f>_xlfn.XLOOKUP(A127,'Grocery and sales Data'!$A$1:$A$991,'Grocery and sales Data'!$R$1:$R$991)</f>
        <v>117.60000000000001</v>
      </c>
      <c r="F127" t="str">
        <f t="shared" si="1"/>
        <v>Medium</v>
      </c>
    </row>
    <row r="128" spans="1:6" ht="16" x14ac:dyDescent="0.4">
      <c r="A128" s="2" t="s">
        <v>589</v>
      </c>
      <c r="B128" t="str">
        <f>_xlfn.XLOOKUP(A128,'Grocery and sales Data'!$A$1:$A$991,'Grocery and sales Data'!$B$1:$B$991)</f>
        <v>White Rice</v>
      </c>
      <c r="C128" t="str">
        <f>_xlfn.XLOOKUP(A128,'Grocery and sales Data'!$A$1:$A$991,'Grocery and sales Data'!$C$1:$C$991)</f>
        <v>Grains &amp; Pulses</v>
      </c>
      <c r="D128" s="9">
        <f>_xlfn.XLOOKUP(A128,'Grocery and sales Data'!$A$1:$A$991,'Grocery and sales Data'!$I$1:$I$991)</f>
        <v>1.8</v>
      </c>
      <c r="E128">
        <f>_xlfn.XLOOKUP(A128,'Grocery and sales Data'!$A$1:$A$991,'Grocery and sales Data'!$R$1:$R$991)</f>
        <v>111.60000000000001</v>
      </c>
      <c r="F128" t="str">
        <f t="shared" si="1"/>
        <v>Medium</v>
      </c>
    </row>
    <row r="129" spans="1:6" ht="16" x14ac:dyDescent="0.4">
      <c r="A129" s="2" t="s">
        <v>594</v>
      </c>
      <c r="B129" t="str">
        <f>_xlfn.XLOOKUP(A129,'Grocery and sales Data'!$A$1:$A$991,'Grocery and sales Data'!$B$1:$B$991)</f>
        <v>Cauliflower</v>
      </c>
      <c r="C129" t="str">
        <f>_xlfn.XLOOKUP(A129,'Grocery and sales Data'!$A$1:$A$991,'Grocery and sales Data'!$C$1:$C$991)</f>
        <v>Grains &amp; Pulses</v>
      </c>
      <c r="D129" s="9">
        <f>_xlfn.XLOOKUP(A129,'Grocery and sales Data'!$A$1:$A$991,'Grocery and sales Data'!$I$1:$I$991)</f>
        <v>3.2</v>
      </c>
      <c r="E129">
        <f>_xlfn.XLOOKUP(A129,'Grocery and sales Data'!$A$1:$A$991,'Grocery and sales Data'!$R$1:$R$991)</f>
        <v>67.2</v>
      </c>
      <c r="F129" t="str">
        <f t="shared" si="1"/>
        <v>Low</v>
      </c>
    </row>
    <row r="130" spans="1:6" ht="16" x14ac:dyDescent="0.4">
      <c r="A130" s="2" t="s">
        <v>599</v>
      </c>
      <c r="B130" t="str">
        <f>_xlfn.XLOOKUP(A130,'Grocery and sales Data'!$A$1:$A$991,'Grocery and sales Data'!$B$1:$B$991)</f>
        <v>Canola Oil</v>
      </c>
      <c r="C130" t="str">
        <f>_xlfn.XLOOKUP(A130,'Grocery and sales Data'!$A$1:$A$991,'Grocery and sales Data'!$C$1:$C$991)</f>
        <v>Oils &amp; Fats</v>
      </c>
      <c r="D130" s="9">
        <f>_xlfn.XLOOKUP(A130,'Grocery and sales Data'!$A$1:$A$991,'Grocery and sales Data'!$I$1:$I$991)</f>
        <v>2.2999999999999998</v>
      </c>
      <c r="E130">
        <f>_xlfn.XLOOKUP(A130,'Grocery and sales Data'!$A$1:$A$991,'Grocery and sales Data'!$R$1:$R$991)</f>
        <v>98.899999999999991</v>
      </c>
      <c r="F130" t="str">
        <f t="shared" si="1"/>
        <v>Low</v>
      </c>
    </row>
    <row r="131" spans="1:6" ht="16" x14ac:dyDescent="0.4">
      <c r="A131" s="2" t="s">
        <v>603</v>
      </c>
      <c r="B131" t="str">
        <f>_xlfn.XLOOKUP(A131,'Grocery and sales Data'!$A$1:$A$991,'Grocery and sales Data'!$B$1:$B$991)</f>
        <v>Avocado Oil</v>
      </c>
      <c r="C131" t="str">
        <f>_xlfn.XLOOKUP(A131,'Grocery and sales Data'!$A$1:$A$991,'Grocery and sales Data'!$C$1:$C$991)</f>
        <v>Oils &amp; Fats</v>
      </c>
      <c r="D131" s="9">
        <f>_xlfn.XLOOKUP(A131,'Grocery and sales Data'!$A$1:$A$991,'Grocery and sales Data'!$I$1:$I$991)</f>
        <v>10</v>
      </c>
      <c r="E131">
        <f>_xlfn.XLOOKUP(A131,'Grocery and sales Data'!$A$1:$A$991,'Grocery and sales Data'!$R$1:$R$991)</f>
        <v>940</v>
      </c>
      <c r="F131" t="str">
        <f t="shared" ref="F131:F194" si="2">IF(E131&gt;=1000,"High",IF(E131&gt;=100,"Medium","Low"))</f>
        <v>Medium</v>
      </c>
    </row>
    <row r="132" spans="1:6" ht="16" x14ac:dyDescent="0.4">
      <c r="A132" s="2" t="s">
        <v>608</v>
      </c>
      <c r="B132" t="str">
        <f>_xlfn.XLOOKUP(A132,'Grocery and sales Data'!$A$1:$A$991,'Grocery and sales Data'!$B$1:$B$991)</f>
        <v>Bread Flour</v>
      </c>
      <c r="C132" t="str">
        <f>_xlfn.XLOOKUP(A132,'Grocery and sales Data'!$A$1:$A$991,'Grocery and sales Data'!$C$1:$C$991)</f>
        <v>Grains &amp; Pulses</v>
      </c>
      <c r="D132" s="9">
        <f>_xlfn.XLOOKUP(A132,'Grocery and sales Data'!$A$1:$A$991,'Grocery and sales Data'!$I$1:$I$991)</f>
        <v>1.5</v>
      </c>
      <c r="E132">
        <f>_xlfn.XLOOKUP(A132,'Grocery and sales Data'!$A$1:$A$991,'Grocery and sales Data'!$R$1:$R$991)</f>
        <v>73.5</v>
      </c>
      <c r="F132" t="str">
        <f t="shared" si="2"/>
        <v>Low</v>
      </c>
    </row>
    <row r="133" spans="1:6" ht="16" x14ac:dyDescent="0.4">
      <c r="A133" s="2" t="s">
        <v>612</v>
      </c>
      <c r="B133" t="str">
        <f>_xlfn.XLOOKUP(A133,'Grocery and sales Data'!$A$1:$A$991,'Grocery and sales Data'!$B$1:$B$991)</f>
        <v>Gouda Cheese</v>
      </c>
      <c r="C133" t="str">
        <f>_xlfn.XLOOKUP(A133,'Grocery and sales Data'!$A$1:$A$991,'Grocery and sales Data'!$C$1:$C$991)</f>
        <v>Dairy</v>
      </c>
      <c r="D133" s="9">
        <f>_xlfn.XLOOKUP(A133,'Grocery and sales Data'!$A$1:$A$991,'Grocery and sales Data'!$I$1:$I$991)</f>
        <v>7</v>
      </c>
      <c r="E133">
        <f>_xlfn.XLOOKUP(A133,'Grocery and sales Data'!$A$1:$A$991,'Grocery and sales Data'!$R$1:$R$991)</f>
        <v>140</v>
      </c>
      <c r="F133" t="str">
        <f t="shared" si="2"/>
        <v>Medium</v>
      </c>
    </row>
    <row r="134" spans="1:6" ht="16" x14ac:dyDescent="0.4">
      <c r="A134" s="2" t="s">
        <v>617</v>
      </c>
      <c r="B134" t="str">
        <f>_xlfn.XLOOKUP(A134,'Grocery and sales Data'!$A$1:$A$991,'Grocery and sales Data'!$B$1:$B$991)</f>
        <v>Black Rice</v>
      </c>
      <c r="C134" t="str">
        <f>_xlfn.XLOOKUP(A134,'Grocery and sales Data'!$A$1:$A$991,'Grocery and sales Data'!$C$1:$C$991)</f>
        <v>Grains &amp; Pulses</v>
      </c>
      <c r="D134" s="9">
        <f>_xlfn.XLOOKUP(A134,'Grocery and sales Data'!$A$1:$A$991,'Grocery and sales Data'!$I$1:$I$991)</f>
        <v>6</v>
      </c>
      <c r="E134">
        <f>_xlfn.XLOOKUP(A134,'Grocery and sales Data'!$A$1:$A$991,'Grocery and sales Data'!$R$1:$R$991)</f>
        <v>156</v>
      </c>
      <c r="F134" t="str">
        <f t="shared" si="2"/>
        <v>Medium</v>
      </c>
    </row>
    <row r="135" spans="1:6" ht="16" x14ac:dyDescent="0.4">
      <c r="A135" s="2" t="s">
        <v>621</v>
      </c>
      <c r="B135" t="str">
        <f>_xlfn.XLOOKUP(A135,'Grocery and sales Data'!$A$1:$A$991,'Grocery and sales Data'!$B$1:$B$991)</f>
        <v>Greek Yogurt</v>
      </c>
      <c r="C135" t="str">
        <f>_xlfn.XLOOKUP(A135,'Grocery and sales Data'!$A$1:$A$991,'Grocery and sales Data'!$C$1:$C$991)</f>
        <v>Dairy</v>
      </c>
      <c r="D135" s="9">
        <f>_xlfn.XLOOKUP(A135,'Grocery and sales Data'!$A$1:$A$991,'Grocery and sales Data'!$I$1:$I$991)</f>
        <v>3</v>
      </c>
      <c r="E135">
        <f>_xlfn.XLOOKUP(A135,'Grocery and sales Data'!$A$1:$A$991,'Grocery and sales Data'!$R$1:$R$991)</f>
        <v>150</v>
      </c>
      <c r="F135" t="str">
        <f t="shared" si="2"/>
        <v>Medium</v>
      </c>
    </row>
    <row r="136" spans="1:6" ht="16" x14ac:dyDescent="0.4">
      <c r="A136" s="2" t="s">
        <v>624</v>
      </c>
      <c r="B136" t="str">
        <f>_xlfn.XLOOKUP(A136,'Grocery and sales Data'!$A$1:$A$991,'Grocery and sales Data'!$B$1:$B$991)</f>
        <v>Tuna</v>
      </c>
      <c r="C136" t="str">
        <f>_xlfn.XLOOKUP(A136,'Grocery and sales Data'!$A$1:$A$991,'Grocery and sales Data'!$C$1:$C$991)</f>
        <v>Seafood</v>
      </c>
      <c r="D136" s="9">
        <f>_xlfn.XLOOKUP(A136,'Grocery and sales Data'!$A$1:$A$991,'Grocery and sales Data'!$I$1:$I$991)</f>
        <v>18</v>
      </c>
      <c r="E136">
        <f>_xlfn.XLOOKUP(A136,'Grocery and sales Data'!$A$1:$A$991,'Grocery and sales Data'!$R$1:$R$991)</f>
        <v>648</v>
      </c>
      <c r="F136" t="str">
        <f t="shared" si="2"/>
        <v>Medium</v>
      </c>
    </row>
    <row r="137" spans="1:6" ht="16" x14ac:dyDescent="0.4">
      <c r="A137" s="2" t="s">
        <v>629</v>
      </c>
      <c r="B137" t="str">
        <f>_xlfn.XLOOKUP(A137,'Grocery and sales Data'!$A$1:$A$991,'Grocery and sales Data'!$B$1:$B$991)</f>
        <v>Buttermilk</v>
      </c>
      <c r="C137" t="str">
        <f>_xlfn.XLOOKUP(A137,'Grocery and sales Data'!$A$1:$A$991,'Grocery and sales Data'!$C$1:$C$991)</f>
        <v>Dairy</v>
      </c>
      <c r="D137" s="9">
        <f>_xlfn.XLOOKUP(A137,'Grocery and sales Data'!$A$1:$A$991,'Grocery and sales Data'!$I$1:$I$991)</f>
        <v>2.5</v>
      </c>
      <c r="E137">
        <f>_xlfn.XLOOKUP(A137,'Grocery and sales Data'!$A$1:$A$991,'Grocery and sales Data'!$R$1:$R$991)</f>
        <v>120</v>
      </c>
      <c r="F137" t="str">
        <f t="shared" si="2"/>
        <v>Medium</v>
      </c>
    </row>
    <row r="138" spans="1:6" ht="16" x14ac:dyDescent="0.4">
      <c r="A138" s="2" t="s">
        <v>633</v>
      </c>
      <c r="B138" t="str">
        <f>_xlfn.XLOOKUP(A138,'Grocery and sales Data'!$A$1:$A$991,'Grocery and sales Data'!$B$1:$B$991)</f>
        <v>Orange</v>
      </c>
      <c r="C138" t="str">
        <f>_xlfn.XLOOKUP(A138,'Grocery and sales Data'!$A$1:$A$991,'Grocery and sales Data'!$C$1:$C$991)</f>
        <v>Fruits &amp; Vegetables</v>
      </c>
      <c r="D138" s="9">
        <f>_xlfn.XLOOKUP(A138,'Grocery and sales Data'!$A$1:$A$991,'Grocery and sales Data'!$I$1:$I$991)</f>
        <v>3</v>
      </c>
      <c r="E138">
        <f>_xlfn.XLOOKUP(A138,'Grocery and sales Data'!$A$1:$A$991,'Grocery and sales Data'!$R$1:$R$991)</f>
        <v>168</v>
      </c>
      <c r="F138" t="str">
        <f t="shared" si="2"/>
        <v>Medium</v>
      </c>
    </row>
    <row r="139" spans="1:6" ht="16" x14ac:dyDescent="0.4">
      <c r="A139" s="2" t="s">
        <v>637</v>
      </c>
      <c r="B139" t="str">
        <f>_xlfn.XLOOKUP(A139,'Grocery and sales Data'!$A$1:$A$991,'Grocery and sales Data'!$B$1:$B$991)</f>
        <v>Pomegranate</v>
      </c>
      <c r="C139" t="str">
        <f>_xlfn.XLOOKUP(A139,'Grocery and sales Data'!$A$1:$A$991,'Grocery and sales Data'!$C$1:$C$991)</f>
        <v>Fruits &amp; Vegetables</v>
      </c>
      <c r="D139" s="9">
        <f>_xlfn.XLOOKUP(A139,'Grocery and sales Data'!$A$1:$A$991,'Grocery and sales Data'!$I$1:$I$991)</f>
        <v>6</v>
      </c>
      <c r="E139">
        <f>_xlfn.XLOOKUP(A139,'Grocery and sales Data'!$A$1:$A$991,'Grocery and sales Data'!$R$1:$R$991)</f>
        <v>354</v>
      </c>
      <c r="F139" t="str">
        <f t="shared" si="2"/>
        <v>Medium</v>
      </c>
    </row>
    <row r="140" spans="1:6" ht="16" x14ac:dyDescent="0.4">
      <c r="A140" s="2" t="s">
        <v>641</v>
      </c>
      <c r="B140" t="str">
        <f>_xlfn.XLOOKUP(A140,'Grocery and sales Data'!$A$1:$A$991,'Grocery and sales Data'!$B$1:$B$991)</f>
        <v>Tuna</v>
      </c>
      <c r="C140" t="str">
        <f>_xlfn.XLOOKUP(A140,'Grocery and sales Data'!$A$1:$A$991,'Grocery and sales Data'!$C$1:$C$991)</f>
        <v>Seafood</v>
      </c>
      <c r="D140" s="9">
        <f>_xlfn.XLOOKUP(A140,'Grocery and sales Data'!$A$1:$A$991,'Grocery and sales Data'!$I$1:$I$991)</f>
        <v>18</v>
      </c>
      <c r="E140">
        <f>_xlfn.XLOOKUP(A140,'Grocery and sales Data'!$A$1:$A$991,'Grocery and sales Data'!$R$1:$R$991)</f>
        <v>450</v>
      </c>
      <c r="F140" t="str">
        <f t="shared" si="2"/>
        <v>Medium</v>
      </c>
    </row>
    <row r="141" spans="1:6" ht="16" x14ac:dyDescent="0.4">
      <c r="A141" s="2" t="s">
        <v>645</v>
      </c>
      <c r="B141" t="str">
        <f>_xlfn.XLOOKUP(A141,'Grocery and sales Data'!$A$1:$A$991,'Grocery and sales Data'!$B$1:$B$991)</f>
        <v>Sour Cream</v>
      </c>
      <c r="C141" t="str">
        <f>_xlfn.XLOOKUP(A141,'Grocery and sales Data'!$A$1:$A$991,'Grocery and sales Data'!$C$1:$C$991)</f>
        <v>Dairy</v>
      </c>
      <c r="D141" s="9">
        <f>_xlfn.XLOOKUP(A141,'Grocery and sales Data'!$A$1:$A$991,'Grocery and sales Data'!$I$1:$I$991)</f>
        <v>4</v>
      </c>
      <c r="E141">
        <f>_xlfn.XLOOKUP(A141,'Grocery and sales Data'!$A$1:$A$991,'Grocery and sales Data'!$R$1:$R$991)</f>
        <v>336</v>
      </c>
      <c r="F141" t="str">
        <f t="shared" si="2"/>
        <v>Medium</v>
      </c>
    </row>
    <row r="142" spans="1:6" ht="16" x14ac:dyDescent="0.4">
      <c r="A142" s="2" t="s">
        <v>650</v>
      </c>
      <c r="B142" t="str">
        <f>_xlfn.XLOOKUP(A142,'Grocery and sales Data'!$A$1:$A$991,'Grocery and sales Data'!$B$1:$B$991)</f>
        <v>Rice Flour</v>
      </c>
      <c r="C142" t="str">
        <f>_xlfn.XLOOKUP(A142,'Grocery and sales Data'!$A$1:$A$991,'Grocery and sales Data'!$C$1:$C$991)</f>
        <v>Grains &amp; Pulses</v>
      </c>
      <c r="D142" s="9">
        <f>_xlfn.XLOOKUP(A142,'Grocery and sales Data'!$A$1:$A$991,'Grocery and sales Data'!$I$1:$I$991)</f>
        <v>2</v>
      </c>
      <c r="E142">
        <f>_xlfn.XLOOKUP(A142,'Grocery and sales Data'!$A$1:$A$991,'Grocery and sales Data'!$R$1:$R$991)</f>
        <v>72</v>
      </c>
      <c r="F142" t="str">
        <f t="shared" si="2"/>
        <v>Low</v>
      </c>
    </row>
    <row r="143" spans="1:6" ht="16" x14ac:dyDescent="0.4">
      <c r="A143" s="2" t="s">
        <v>654</v>
      </c>
      <c r="B143" t="str">
        <f>_xlfn.XLOOKUP(A143,'Grocery and sales Data'!$A$1:$A$991,'Grocery and sales Data'!$B$1:$B$991)</f>
        <v>Long Grain Rice</v>
      </c>
      <c r="C143" t="str">
        <f>_xlfn.XLOOKUP(A143,'Grocery and sales Data'!$A$1:$A$991,'Grocery and sales Data'!$C$1:$C$991)</f>
        <v>Grains &amp; Pulses</v>
      </c>
      <c r="D143" s="9">
        <f>_xlfn.XLOOKUP(A143,'Grocery and sales Data'!$A$1:$A$991,'Grocery and sales Data'!$I$1:$I$991)</f>
        <v>1.5</v>
      </c>
      <c r="E143">
        <f>_xlfn.XLOOKUP(A143,'Grocery and sales Data'!$A$1:$A$991,'Grocery and sales Data'!$R$1:$R$991)</f>
        <v>114</v>
      </c>
      <c r="F143" t="str">
        <f t="shared" si="2"/>
        <v>Medium</v>
      </c>
    </row>
    <row r="144" spans="1:6" ht="16" x14ac:dyDescent="0.4">
      <c r="A144" s="2" t="s">
        <v>658</v>
      </c>
      <c r="B144" t="str">
        <f>_xlfn.XLOOKUP(A144,'Grocery and sales Data'!$A$1:$A$991,'Grocery and sales Data'!$B$1:$B$991)</f>
        <v>Bell Pepper</v>
      </c>
      <c r="C144" t="str">
        <f>_xlfn.XLOOKUP(A144,'Grocery and sales Data'!$A$1:$A$991,'Grocery and sales Data'!$C$1:$C$991)</f>
        <v>Fruits &amp; Vegetables</v>
      </c>
      <c r="D144" s="9">
        <f>_xlfn.XLOOKUP(A144,'Grocery and sales Data'!$A$1:$A$991,'Grocery and sales Data'!$I$1:$I$991)</f>
        <v>4.5</v>
      </c>
      <c r="E144">
        <f>_xlfn.XLOOKUP(A144,'Grocery and sales Data'!$A$1:$A$991,'Grocery and sales Data'!$R$1:$R$991)</f>
        <v>103.5</v>
      </c>
      <c r="F144" t="str">
        <f t="shared" si="2"/>
        <v>Medium</v>
      </c>
    </row>
    <row r="145" spans="1:6" ht="16" x14ac:dyDescent="0.4">
      <c r="A145" s="2" t="s">
        <v>661</v>
      </c>
      <c r="B145" t="str">
        <f>_xlfn.XLOOKUP(A145,'Grocery and sales Data'!$A$1:$A$991,'Grocery and sales Data'!$B$1:$B$991)</f>
        <v>Bell Pepper</v>
      </c>
      <c r="C145" t="str">
        <f>_xlfn.XLOOKUP(A145,'Grocery and sales Data'!$A$1:$A$991,'Grocery and sales Data'!$C$1:$C$991)</f>
        <v>Fruits &amp; Vegetables</v>
      </c>
      <c r="D145" s="9">
        <f>_xlfn.XLOOKUP(A145,'Grocery and sales Data'!$A$1:$A$991,'Grocery and sales Data'!$I$1:$I$991)</f>
        <v>4.5</v>
      </c>
      <c r="E145">
        <f>_xlfn.XLOOKUP(A145,'Grocery and sales Data'!$A$1:$A$991,'Grocery and sales Data'!$R$1:$R$991)</f>
        <v>310.5</v>
      </c>
      <c r="F145" t="str">
        <f t="shared" si="2"/>
        <v>Medium</v>
      </c>
    </row>
    <row r="146" spans="1:6" ht="16" x14ac:dyDescent="0.4">
      <c r="A146" s="2" t="s">
        <v>665</v>
      </c>
      <c r="B146" t="str">
        <f>_xlfn.XLOOKUP(A146,'Grocery and sales Data'!$A$1:$A$991,'Grocery and sales Data'!$B$1:$B$991)</f>
        <v>Pineapple</v>
      </c>
      <c r="C146" t="str">
        <f>_xlfn.XLOOKUP(A146,'Grocery and sales Data'!$A$1:$A$991,'Grocery and sales Data'!$C$1:$C$991)</f>
        <v>Fruits &amp; Vegetables</v>
      </c>
      <c r="D146" s="9">
        <f>_xlfn.XLOOKUP(A146,'Grocery and sales Data'!$A$1:$A$991,'Grocery and sales Data'!$I$1:$I$991)</f>
        <v>3.5</v>
      </c>
      <c r="E146">
        <f>_xlfn.XLOOKUP(A146,'Grocery and sales Data'!$A$1:$A$991,'Grocery and sales Data'!$R$1:$R$991)</f>
        <v>283.5</v>
      </c>
      <c r="F146" t="str">
        <f t="shared" si="2"/>
        <v>Medium</v>
      </c>
    </row>
    <row r="147" spans="1:6" ht="16" x14ac:dyDescent="0.4">
      <c r="A147" s="2" t="s">
        <v>668</v>
      </c>
      <c r="B147" t="str">
        <f>_xlfn.XLOOKUP(A147,'Grocery and sales Data'!$A$1:$A$991,'Grocery and sales Data'!$B$1:$B$991)</f>
        <v>Cod</v>
      </c>
      <c r="C147" t="str">
        <f>_xlfn.XLOOKUP(A147,'Grocery and sales Data'!$A$1:$A$991,'Grocery and sales Data'!$C$1:$C$991)</f>
        <v>Seafood</v>
      </c>
      <c r="D147" s="9">
        <f>_xlfn.XLOOKUP(A147,'Grocery and sales Data'!$A$1:$A$991,'Grocery and sales Data'!$I$1:$I$991)</f>
        <v>8</v>
      </c>
      <c r="E147">
        <f>_xlfn.XLOOKUP(A147,'Grocery and sales Data'!$A$1:$A$991,'Grocery and sales Data'!$R$1:$R$991)</f>
        <v>328</v>
      </c>
      <c r="F147" t="str">
        <f t="shared" si="2"/>
        <v>Medium</v>
      </c>
    </row>
    <row r="148" spans="1:6" ht="16" x14ac:dyDescent="0.4">
      <c r="A148" s="2" t="s">
        <v>672</v>
      </c>
      <c r="B148" t="str">
        <f>_xlfn.XLOOKUP(A148,'Grocery and sales Data'!$A$1:$A$991,'Grocery and sales Data'!$B$1:$B$991)</f>
        <v>Green Tea</v>
      </c>
      <c r="C148" t="str">
        <f>_xlfn.XLOOKUP(A148,'Grocery and sales Data'!$A$1:$A$991,'Grocery and sales Data'!$C$1:$C$991)</f>
        <v>Beverages</v>
      </c>
      <c r="D148" s="9">
        <f>_xlfn.XLOOKUP(A148,'Grocery and sales Data'!$A$1:$A$991,'Grocery and sales Data'!$I$1:$I$991)</f>
        <v>8</v>
      </c>
      <c r="E148">
        <f>_xlfn.XLOOKUP(A148,'Grocery and sales Data'!$A$1:$A$991,'Grocery and sales Data'!$R$1:$R$991)</f>
        <v>744</v>
      </c>
      <c r="F148" t="str">
        <f t="shared" si="2"/>
        <v>Medium</v>
      </c>
    </row>
    <row r="149" spans="1:6" ht="16" x14ac:dyDescent="0.4">
      <c r="A149" s="2" t="s">
        <v>677</v>
      </c>
      <c r="B149" t="str">
        <f>_xlfn.XLOOKUP(A149,'Grocery and sales Data'!$A$1:$A$991,'Grocery and sales Data'!$B$1:$B$991)</f>
        <v>Sardines</v>
      </c>
      <c r="C149" t="str">
        <f>_xlfn.XLOOKUP(A149,'Grocery and sales Data'!$A$1:$A$991,'Grocery and sales Data'!$C$1:$C$991)</f>
        <v>Seafood</v>
      </c>
      <c r="D149" s="9">
        <f>_xlfn.XLOOKUP(A149,'Grocery and sales Data'!$A$1:$A$991,'Grocery and sales Data'!$I$1:$I$991)</f>
        <v>6</v>
      </c>
      <c r="E149">
        <f>_xlfn.XLOOKUP(A149,'Grocery and sales Data'!$A$1:$A$991,'Grocery and sales Data'!$R$1:$R$991)</f>
        <v>132</v>
      </c>
      <c r="F149" t="str">
        <f t="shared" si="2"/>
        <v>Medium</v>
      </c>
    </row>
    <row r="150" spans="1:6" ht="16" x14ac:dyDescent="0.4">
      <c r="A150" s="2" t="s">
        <v>680</v>
      </c>
      <c r="B150" t="str">
        <f>_xlfn.XLOOKUP(A150,'Grocery and sales Data'!$A$1:$A$991,'Grocery and sales Data'!$B$1:$B$991)</f>
        <v>Sourdough Bread</v>
      </c>
      <c r="C150" t="str">
        <f>_xlfn.XLOOKUP(A150,'Grocery and sales Data'!$A$1:$A$991,'Grocery and sales Data'!$C$1:$C$991)</f>
        <v>Bakery</v>
      </c>
      <c r="D150" s="9">
        <f>_xlfn.XLOOKUP(A150,'Grocery and sales Data'!$A$1:$A$991,'Grocery and sales Data'!$I$1:$I$991)</f>
        <v>4</v>
      </c>
      <c r="E150">
        <f>_xlfn.XLOOKUP(A150,'Grocery and sales Data'!$A$1:$A$991,'Grocery and sales Data'!$R$1:$R$991)</f>
        <v>300</v>
      </c>
      <c r="F150" t="str">
        <f t="shared" si="2"/>
        <v>Medium</v>
      </c>
    </row>
    <row r="151" spans="1:6" ht="16" x14ac:dyDescent="0.4">
      <c r="A151" s="2" t="s">
        <v>683</v>
      </c>
      <c r="B151" t="str">
        <f>_xlfn.XLOOKUP(A151,'Grocery and sales Data'!$A$1:$A$991,'Grocery and sales Data'!$B$1:$B$991)</f>
        <v>Short Grain Rice</v>
      </c>
      <c r="C151" t="str">
        <f>_xlfn.XLOOKUP(A151,'Grocery and sales Data'!$A$1:$A$991,'Grocery and sales Data'!$C$1:$C$991)</f>
        <v>Grains &amp; Pulses</v>
      </c>
      <c r="D151" s="9">
        <f>_xlfn.XLOOKUP(A151,'Grocery and sales Data'!$A$1:$A$991,'Grocery and sales Data'!$I$1:$I$991)</f>
        <v>3</v>
      </c>
      <c r="E151">
        <f>_xlfn.XLOOKUP(A151,'Grocery and sales Data'!$A$1:$A$991,'Grocery and sales Data'!$R$1:$R$991)</f>
        <v>132</v>
      </c>
      <c r="F151" t="str">
        <f t="shared" si="2"/>
        <v>Medium</v>
      </c>
    </row>
    <row r="152" spans="1:6" ht="16" x14ac:dyDescent="0.4">
      <c r="A152" s="2" t="s">
        <v>687</v>
      </c>
      <c r="B152" t="str">
        <f>_xlfn.XLOOKUP(A152,'Grocery and sales Data'!$A$1:$A$991,'Grocery and sales Data'!$B$1:$B$991)</f>
        <v>Powdered Sugar</v>
      </c>
      <c r="C152" t="str">
        <f>_xlfn.XLOOKUP(A152,'Grocery and sales Data'!$A$1:$A$991,'Grocery and sales Data'!$C$1:$C$991)</f>
        <v>Grains &amp; Pulses</v>
      </c>
      <c r="D152" s="9">
        <f>_xlfn.XLOOKUP(A152,'Grocery and sales Data'!$A$1:$A$991,'Grocery and sales Data'!$I$1:$I$991)</f>
        <v>2.5</v>
      </c>
      <c r="E152">
        <f>_xlfn.XLOOKUP(A152,'Grocery and sales Data'!$A$1:$A$991,'Grocery and sales Data'!$R$1:$R$991)</f>
        <v>172.5</v>
      </c>
      <c r="F152" t="str">
        <f t="shared" si="2"/>
        <v>Medium</v>
      </c>
    </row>
    <row r="153" spans="1:6" ht="16" x14ac:dyDescent="0.4">
      <c r="A153" s="2" t="s">
        <v>692</v>
      </c>
      <c r="B153" t="str">
        <f>_xlfn.XLOOKUP(A153,'Grocery and sales Data'!$A$1:$A$991,'Grocery and sales Data'!$B$1:$B$991)</f>
        <v>Swiss Cheese</v>
      </c>
      <c r="C153" t="str">
        <f>_xlfn.XLOOKUP(A153,'Grocery and sales Data'!$A$1:$A$991,'Grocery and sales Data'!$C$1:$C$991)</f>
        <v>Dairy</v>
      </c>
      <c r="D153" s="9">
        <f>_xlfn.XLOOKUP(A153,'Grocery and sales Data'!$A$1:$A$991,'Grocery and sales Data'!$I$1:$I$991)</f>
        <v>8.1</v>
      </c>
      <c r="E153">
        <f>_xlfn.XLOOKUP(A153,'Grocery and sales Data'!$A$1:$A$991,'Grocery and sales Data'!$R$1:$R$991)</f>
        <v>437.4</v>
      </c>
      <c r="F153" t="str">
        <f t="shared" si="2"/>
        <v>Medium</v>
      </c>
    </row>
    <row r="154" spans="1:6" ht="16" x14ac:dyDescent="0.4">
      <c r="A154" s="2" t="s">
        <v>696</v>
      </c>
      <c r="B154" t="str">
        <f>_xlfn.XLOOKUP(A154,'Grocery and sales Data'!$A$1:$A$991,'Grocery and sales Data'!$B$1:$B$991)</f>
        <v>Tuna</v>
      </c>
      <c r="C154" t="str">
        <f>_xlfn.XLOOKUP(A154,'Grocery and sales Data'!$A$1:$A$991,'Grocery and sales Data'!$C$1:$C$991)</f>
        <v>Seafood</v>
      </c>
      <c r="D154" s="9">
        <f>_xlfn.XLOOKUP(A154,'Grocery and sales Data'!$A$1:$A$991,'Grocery and sales Data'!$I$1:$I$991)</f>
        <v>18</v>
      </c>
      <c r="E154">
        <f>_xlfn.XLOOKUP(A154,'Grocery and sales Data'!$A$1:$A$991,'Grocery and sales Data'!$R$1:$R$991)</f>
        <v>720</v>
      </c>
      <c r="F154" t="str">
        <f t="shared" si="2"/>
        <v>Medium</v>
      </c>
    </row>
    <row r="155" spans="1:6" ht="16" x14ac:dyDescent="0.4">
      <c r="A155" s="2" t="s">
        <v>700</v>
      </c>
      <c r="B155" t="str">
        <f>_xlfn.XLOOKUP(A155,'Grocery and sales Data'!$A$1:$A$991,'Grocery and sales Data'!$B$1:$B$991)</f>
        <v>Cucumber</v>
      </c>
      <c r="C155" t="str">
        <f>_xlfn.XLOOKUP(A155,'Grocery and sales Data'!$A$1:$A$991,'Grocery and sales Data'!$C$1:$C$991)</f>
        <v>Fruits &amp; Vegetables</v>
      </c>
      <c r="D155" s="9">
        <f>_xlfn.XLOOKUP(A155,'Grocery and sales Data'!$A$1:$A$991,'Grocery and sales Data'!$I$1:$I$991)</f>
        <v>1.8</v>
      </c>
      <c r="E155">
        <f>_xlfn.XLOOKUP(A155,'Grocery and sales Data'!$A$1:$A$991,'Grocery and sales Data'!$R$1:$R$991)</f>
        <v>163.80000000000001</v>
      </c>
      <c r="F155" t="str">
        <f t="shared" si="2"/>
        <v>Medium</v>
      </c>
    </row>
    <row r="156" spans="1:6" ht="16" x14ac:dyDescent="0.4">
      <c r="A156" s="2" t="s">
        <v>703</v>
      </c>
      <c r="B156" t="str">
        <f>_xlfn.XLOOKUP(A156,'Grocery and sales Data'!$A$1:$A$991,'Grocery and sales Data'!$B$1:$B$991)</f>
        <v>Eggplant</v>
      </c>
      <c r="C156" t="str">
        <f>_xlfn.XLOOKUP(A156,'Grocery and sales Data'!$A$1:$A$991,'Grocery and sales Data'!$C$1:$C$991)</f>
        <v>Fruits &amp; Vegetables</v>
      </c>
      <c r="D156" s="9">
        <f>_xlfn.XLOOKUP(A156,'Grocery and sales Data'!$A$1:$A$991,'Grocery and sales Data'!$I$1:$I$991)</f>
        <v>3</v>
      </c>
      <c r="E156">
        <f>_xlfn.XLOOKUP(A156,'Grocery and sales Data'!$A$1:$A$991,'Grocery and sales Data'!$R$1:$R$991)</f>
        <v>138</v>
      </c>
      <c r="F156" t="str">
        <f t="shared" si="2"/>
        <v>Medium</v>
      </c>
    </row>
    <row r="157" spans="1:6" ht="16" x14ac:dyDescent="0.4">
      <c r="A157" s="2" t="s">
        <v>706</v>
      </c>
      <c r="B157" t="str">
        <f>_xlfn.XLOOKUP(A157,'Grocery and sales Data'!$A$1:$A$991,'Grocery and sales Data'!$B$1:$B$991)</f>
        <v>Garlic</v>
      </c>
      <c r="C157" t="str">
        <f>_xlfn.XLOOKUP(A157,'Grocery and sales Data'!$A$1:$A$991,'Grocery and sales Data'!$C$1:$C$991)</f>
        <v>Fruits &amp; Vegetables</v>
      </c>
      <c r="D157" s="9">
        <f>_xlfn.XLOOKUP(A157,'Grocery and sales Data'!$A$1:$A$991,'Grocery and sales Data'!$I$1:$I$991)</f>
        <v>7</v>
      </c>
      <c r="E157">
        <f>_xlfn.XLOOKUP(A157,'Grocery and sales Data'!$A$1:$A$991,'Grocery and sales Data'!$R$1:$R$991)</f>
        <v>364</v>
      </c>
      <c r="F157" t="str">
        <f t="shared" si="2"/>
        <v>Medium</v>
      </c>
    </row>
    <row r="158" spans="1:6" ht="16" x14ac:dyDescent="0.4">
      <c r="A158" s="2" t="s">
        <v>710</v>
      </c>
      <c r="B158" t="str">
        <f>_xlfn.XLOOKUP(A158,'Grocery and sales Data'!$A$1:$A$991,'Grocery and sales Data'!$B$1:$B$991)</f>
        <v>Vegetable Oil</v>
      </c>
      <c r="C158" t="str">
        <f>_xlfn.XLOOKUP(A158,'Grocery and sales Data'!$A$1:$A$991,'Grocery and sales Data'!$C$1:$C$991)</f>
        <v>Oils &amp; Fats</v>
      </c>
      <c r="D158" s="9">
        <f>_xlfn.XLOOKUP(A158,'Grocery and sales Data'!$A$1:$A$991,'Grocery and sales Data'!$I$1:$I$991)</f>
        <v>2</v>
      </c>
      <c r="E158">
        <f>_xlfn.XLOOKUP(A158,'Grocery and sales Data'!$A$1:$A$991,'Grocery and sales Data'!$R$1:$R$991)</f>
        <v>178</v>
      </c>
      <c r="F158" t="str">
        <f t="shared" si="2"/>
        <v>Medium</v>
      </c>
    </row>
    <row r="159" spans="1:6" ht="16" x14ac:dyDescent="0.4">
      <c r="A159" s="2" t="s">
        <v>715</v>
      </c>
      <c r="B159" t="str">
        <f>_xlfn.XLOOKUP(A159,'Grocery and sales Data'!$A$1:$A$991,'Grocery and sales Data'!$B$1:$B$991)</f>
        <v>Whipped Cream</v>
      </c>
      <c r="C159" t="str">
        <f>_xlfn.XLOOKUP(A159,'Grocery and sales Data'!$A$1:$A$991,'Grocery and sales Data'!$C$1:$C$991)</f>
        <v>Dairy</v>
      </c>
      <c r="D159" s="9">
        <f>_xlfn.XLOOKUP(A159,'Grocery and sales Data'!$A$1:$A$991,'Grocery and sales Data'!$I$1:$I$991)</f>
        <v>4</v>
      </c>
      <c r="E159">
        <f>_xlfn.XLOOKUP(A159,'Grocery and sales Data'!$A$1:$A$991,'Grocery and sales Data'!$R$1:$R$991)</f>
        <v>172</v>
      </c>
      <c r="F159" t="str">
        <f t="shared" si="2"/>
        <v>Medium</v>
      </c>
    </row>
    <row r="160" spans="1:6" ht="16" x14ac:dyDescent="0.4">
      <c r="A160" s="2" t="s">
        <v>719</v>
      </c>
      <c r="B160" t="str">
        <f>_xlfn.XLOOKUP(A160,'Grocery and sales Data'!$A$1:$A$991,'Grocery and sales Data'!$B$1:$B$991)</f>
        <v>Cheddar Cheese</v>
      </c>
      <c r="C160" t="str">
        <f>_xlfn.XLOOKUP(A160,'Grocery and sales Data'!$A$1:$A$991,'Grocery and sales Data'!$C$1:$C$991)</f>
        <v>Dairy</v>
      </c>
      <c r="D160" s="9">
        <f>_xlfn.XLOOKUP(A160,'Grocery and sales Data'!$A$1:$A$991,'Grocery and sales Data'!$I$1:$I$991)</f>
        <v>9</v>
      </c>
      <c r="E160">
        <f>_xlfn.XLOOKUP(A160,'Grocery and sales Data'!$A$1:$A$991,'Grocery and sales Data'!$R$1:$R$991)</f>
        <v>711</v>
      </c>
      <c r="F160" t="str">
        <f t="shared" si="2"/>
        <v>Medium</v>
      </c>
    </row>
    <row r="161" spans="1:6" ht="16" x14ac:dyDescent="0.4">
      <c r="A161" s="2" t="s">
        <v>724</v>
      </c>
      <c r="B161" t="str">
        <f>_xlfn.XLOOKUP(A161,'Grocery and sales Data'!$A$1:$A$991,'Grocery and sales Data'!$B$1:$B$991)</f>
        <v>Coconut</v>
      </c>
      <c r="C161" t="str">
        <f>_xlfn.XLOOKUP(A161,'Grocery and sales Data'!$A$1:$A$991,'Grocery and sales Data'!$C$1:$C$991)</f>
        <v>Fruits &amp; Vegetables</v>
      </c>
      <c r="D161" s="9">
        <f>_xlfn.XLOOKUP(A161,'Grocery and sales Data'!$A$1:$A$991,'Grocery and sales Data'!$I$1:$I$991)</f>
        <v>5</v>
      </c>
      <c r="E161">
        <f>_xlfn.XLOOKUP(A161,'Grocery and sales Data'!$A$1:$A$991,'Grocery and sales Data'!$R$1:$R$991)</f>
        <v>205</v>
      </c>
      <c r="F161" t="str">
        <f t="shared" si="2"/>
        <v>Medium</v>
      </c>
    </row>
    <row r="162" spans="1:6" ht="16" x14ac:dyDescent="0.4">
      <c r="A162" s="2" t="s">
        <v>728</v>
      </c>
      <c r="B162" t="str">
        <f>_xlfn.XLOOKUP(A162,'Grocery and sales Data'!$A$1:$A$991,'Grocery and sales Data'!$B$1:$B$991)</f>
        <v>Egg (Turkey)</v>
      </c>
      <c r="C162" t="str">
        <f>_xlfn.XLOOKUP(A162,'Grocery and sales Data'!$A$1:$A$991,'Grocery and sales Data'!$C$1:$C$991)</f>
        <v>Dairy</v>
      </c>
      <c r="D162" s="9">
        <f>_xlfn.XLOOKUP(A162,'Grocery and sales Data'!$A$1:$A$991,'Grocery and sales Data'!$I$1:$I$991)</f>
        <v>2.5</v>
      </c>
      <c r="E162">
        <f>_xlfn.XLOOKUP(A162,'Grocery and sales Data'!$A$1:$A$991,'Grocery and sales Data'!$R$1:$R$991)</f>
        <v>127.5</v>
      </c>
      <c r="F162" t="str">
        <f t="shared" si="2"/>
        <v>Medium</v>
      </c>
    </row>
    <row r="163" spans="1:6" ht="16" x14ac:dyDescent="0.4">
      <c r="A163" s="2" t="s">
        <v>733</v>
      </c>
      <c r="B163" t="str">
        <f>_xlfn.XLOOKUP(A163,'Grocery and sales Data'!$A$1:$A$991,'Grocery and sales Data'!$B$1:$B$991)</f>
        <v>Herbal Tea</v>
      </c>
      <c r="C163" t="str">
        <f>_xlfn.XLOOKUP(A163,'Grocery and sales Data'!$A$1:$A$991,'Grocery and sales Data'!$C$1:$C$991)</f>
        <v>Beverages</v>
      </c>
      <c r="D163" s="9">
        <f>_xlfn.XLOOKUP(A163,'Grocery and sales Data'!$A$1:$A$991,'Grocery and sales Data'!$I$1:$I$991)</f>
        <v>31</v>
      </c>
      <c r="E163">
        <f>_xlfn.XLOOKUP(A163,'Grocery and sales Data'!$A$1:$A$991,'Grocery and sales Data'!$R$1:$R$991)</f>
        <v>2170</v>
      </c>
      <c r="F163" t="str">
        <f t="shared" si="2"/>
        <v>High</v>
      </c>
    </row>
    <row r="164" spans="1:6" ht="16" x14ac:dyDescent="0.4">
      <c r="A164" s="2" t="s">
        <v>737</v>
      </c>
      <c r="B164" t="str">
        <f>_xlfn.XLOOKUP(A164,'Grocery and sales Data'!$A$1:$A$991,'Grocery and sales Data'!$B$1:$B$991)</f>
        <v>Sesame Oil</v>
      </c>
      <c r="C164" t="str">
        <f>_xlfn.XLOOKUP(A164,'Grocery and sales Data'!$A$1:$A$991,'Grocery and sales Data'!$C$1:$C$991)</f>
        <v>Oils &amp; Fats</v>
      </c>
      <c r="D164" s="9">
        <f>_xlfn.XLOOKUP(A164,'Grocery and sales Data'!$A$1:$A$991,'Grocery and sales Data'!$I$1:$I$991)</f>
        <v>6.5</v>
      </c>
      <c r="E164">
        <f>_xlfn.XLOOKUP(A164,'Grocery and sales Data'!$A$1:$A$991,'Grocery and sales Data'!$R$1:$R$991)</f>
        <v>188.5</v>
      </c>
      <c r="F164" t="str">
        <f t="shared" si="2"/>
        <v>Medium</v>
      </c>
    </row>
    <row r="165" spans="1:6" ht="16" x14ac:dyDescent="0.4">
      <c r="A165" s="2" t="s">
        <v>741</v>
      </c>
      <c r="B165" t="str">
        <f>_xlfn.XLOOKUP(A165,'Grocery and sales Data'!$A$1:$A$991,'Grocery and sales Data'!$B$1:$B$991)</f>
        <v>Black Rice</v>
      </c>
      <c r="C165" t="str">
        <f>_xlfn.XLOOKUP(A165,'Grocery and sales Data'!$A$1:$A$991,'Grocery and sales Data'!$C$1:$C$991)</f>
        <v>Grains &amp; Pulses</v>
      </c>
      <c r="D165" s="9">
        <f>_xlfn.XLOOKUP(A165,'Grocery and sales Data'!$A$1:$A$991,'Grocery and sales Data'!$I$1:$I$991)</f>
        <v>6.15</v>
      </c>
      <c r="E165">
        <f>_xlfn.XLOOKUP(A165,'Grocery and sales Data'!$A$1:$A$991,'Grocery and sales Data'!$R$1:$R$991)</f>
        <v>553.5</v>
      </c>
      <c r="F165" t="str">
        <f t="shared" si="2"/>
        <v>Medium</v>
      </c>
    </row>
    <row r="166" spans="1:6" ht="16" x14ac:dyDescent="0.4">
      <c r="A166" s="2" t="s">
        <v>745</v>
      </c>
      <c r="B166" t="str">
        <f>_xlfn.XLOOKUP(A166,'Grocery and sales Data'!$A$1:$A$991,'Grocery and sales Data'!$B$1:$B$991)</f>
        <v>Orange</v>
      </c>
      <c r="C166" t="str">
        <f>_xlfn.XLOOKUP(A166,'Grocery and sales Data'!$A$1:$A$991,'Grocery and sales Data'!$C$1:$C$991)</f>
        <v>Fruits &amp; Vegetables</v>
      </c>
      <c r="D166" s="9">
        <f>_xlfn.XLOOKUP(A166,'Grocery and sales Data'!$A$1:$A$991,'Grocery and sales Data'!$I$1:$I$991)</f>
        <v>3</v>
      </c>
      <c r="E166">
        <f>_xlfn.XLOOKUP(A166,'Grocery and sales Data'!$A$1:$A$991,'Grocery and sales Data'!$R$1:$R$991)</f>
        <v>264</v>
      </c>
      <c r="F166" t="str">
        <f t="shared" si="2"/>
        <v>Medium</v>
      </c>
    </row>
    <row r="167" spans="1:6" ht="16" x14ac:dyDescent="0.4">
      <c r="A167" s="2" t="s">
        <v>748</v>
      </c>
      <c r="B167" t="str">
        <f>_xlfn.XLOOKUP(A167,'Grocery and sales Data'!$A$1:$A$991,'Grocery and sales Data'!$B$1:$B$991)</f>
        <v>Black Tea</v>
      </c>
      <c r="C167" t="str">
        <f>_xlfn.XLOOKUP(A167,'Grocery and sales Data'!$A$1:$A$991,'Grocery and sales Data'!$C$1:$C$991)</f>
        <v>Beverages</v>
      </c>
      <c r="D167" s="9">
        <f>_xlfn.XLOOKUP(A167,'Grocery and sales Data'!$A$1:$A$991,'Grocery and sales Data'!$I$1:$I$991)</f>
        <v>5</v>
      </c>
      <c r="E167">
        <f>_xlfn.XLOOKUP(A167,'Grocery and sales Data'!$A$1:$A$991,'Grocery and sales Data'!$R$1:$R$991)</f>
        <v>260</v>
      </c>
      <c r="F167" t="str">
        <f t="shared" si="2"/>
        <v>Medium</v>
      </c>
    </row>
    <row r="168" spans="1:6" ht="16" x14ac:dyDescent="0.4">
      <c r="A168" s="2" t="s">
        <v>751</v>
      </c>
      <c r="B168" t="str">
        <f>_xlfn.XLOOKUP(A168,'Grocery and sales Data'!$A$1:$A$991,'Grocery and sales Data'!$B$1:$B$991)</f>
        <v>Asparagus</v>
      </c>
      <c r="C168" t="str">
        <f>_xlfn.XLOOKUP(A168,'Grocery and sales Data'!$A$1:$A$991,'Grocery and sales Data'!$C$1:$C$991)</f>
        <v>Fruits &amp; Vegetables</v>
      </c>
      <c r="D168" s="9">
        <f>_xlfn.XLOOKUP(A168,'Grocery and sales Data'!$A$1:$A$991,'Grocery and sales Data'!$I$1:$I$991)</f>
        <v>5</v>
      </c>
      <c r="E168">
        <f>_xlfn.XLOOKUP(A168,'Grocery and sales Data'!$A$1:$A$991,'Grocery and sales Data'!$R$1:$R$991)</f>
        <v>490</v>
      </c>
      <c r="F168" t="str">
        <f t="shared" si="2"/>
        <v>Medium</v>
      </c>
    </row>
    <row r="169" spans="1:6" ht="16" x14ac:dyDescent="0.4">
      <c r="A169" s="2" t="s">
        <v>756</v>
      </c>
      <c r="B169" t="str">
        <f>_xlfn.XLOOKUP(A169,'Grocery and sales Data'!$A$1:$A$991,'Grocery and sales Data'!$B$1:$B$991)</f>
        <v>Palm Oil</v>
      </c>
      <c r="C169" t="str">
        <f>_xlfn.XLOOKUP(A169,'Grocery and sales Data'!$A$1:$A$991,'Grocery and sales Data'!$C$1:$C$991)</f>
        <v>Oils &amp; Fats</v>
      </c>
      <c r="D169" s="9">
        <f>_xlfn.XLOOKUP(A169,'Grocery and sales Data'!$A$1:$A$991,'Grocery and sales Data'!$I$1:$I$991)</f>
        <v>1.8</v>
      </c>
      <c r="E169">
        <f>_xlfn.XLOOKUP(A169,'Grocery and sales Data'!$A$1:$A$991,'Grocery and sales Data'!$R$1:$R$991)</f>
        <v>127.8</v>
      </c>
      <c r="F169" t="str">
        <f t="shared" si="2"/>
        <v>Medium</v>
      </c>
    </row>
    <row r="170" spans="1:6" ht="16" x14ac:dyDescent="0.4">
      <c r="A170" s="2" t="s">
        <v>760</v>
      </c>
      <c r="B170" t="str">
        <f>_xlfn.XLOOKUP(A170,'Grocery and sales Data'!$A$1:$A$991,'Grocery and sales Data'!$B$1:$B$991)</f>
        <v>Swiss Cheese</v>
      </c>
      <c r="C170" t="str">
        <f>_xlfn.XLOOKUP(A170,'Grocery and sales Data'!$A$1:$A$991,'Grocery and sales Data'!$C$1:$C$991)</f>
        <v>Dairy</v>
      </c>
      <c r="D170" s="9">
        <f>_xlfn.XLOOKUP(A170,'Grocery and sales Data'!$A$1:$A$991,'Grocery and sales Data'!$I$1:$I$991)</f>
        <v>8</v>
      </c>
      <c r="E170">
        <f>_xlfn.XLOOKUP(A170,'Grocery and sales Data'!$A$1:$A$991,'Grocery and sales Data'!$R$1:$R$991)</f>
        <v>336</v>
      </c>
      <c r="F170" t="str">
        <f t="shared" si="2"/>
        <v>Medium</v>
      </c>
    </row>
    <row r="171" spans="1:6" ht="16" x14ac:dyDescent="0.4">
      <c r="A171" s="2" t="s">
        <v>764</v>
      </c>
      <c r="B171" t="str">
        <f>_xlfn.XLOOKUP(A171,'Grocery and sales Data'!$A$1:$A$991,'Grocery and sales Data'!$B$1:$B$991)</f>
        <v>Mango</v>
      </c>
      <c r="C171" t="str">
        <f>_xlfn.XLOOKUP(A171,'Grocery and sales Data'!$A$1:$A$991,'Grocery and sales Data'!$C$1:$C$991)</f>
        <v>Fruits &amp; Vegetables</v>
      </c>
      <c r="D171" s="9">
        <f>_xlfn.XLOOKUP(A171,'Grocery and sales Data'!$A$1:$A$991,'Grocery and sales Data'!$I$1:$I$991)</f>
        <v>4.8</v>
      </c>
      <c r="E171">
        <f>_xlfn.XLOOKUP(A171,'Grocery and sales Data'!$A$1:$A$991,'Grocery and sales Data'!$R$1:$R$991)</f>
        <v>220.79999999999998</v>
      </c>
      <c r="F171" t="str">
        <f t="shared" si="2"/>
        <v>Medium</v>
      </c>
    </row>
    <row r="172" spans="1:6" ht="16" x14ac:dyDescent="0.4">
      <c r="A172" s="2" t="s">
        <v>768</v>
      </c>
      <c r="B172" t="str">
        <f>_xlfn.XLOOKUP(A172,'Grocery and sales Data'!$A$1:$A$991,'Grocery and sales Data'!$B$1:$B$991)</f>
        <v>Egg (Turkey)</v>
      </c>
      <c r="C172" t="str">
        <f>_xlfn.XLOOKUP(A172,'Grocery and sales Data'!$A$1:$A$991,'Grocery and sales Data'!$C$1:$C$991)</f>
        <v>Dairy</v>
      </c>
      <c r="D172" s="9">
        <f>_xlfn.XLOOKUP(A172,'Grocery and sales Data'!$A$1:$A$991,'Grocery and sales Data'!$I$1:$I$991)</f>
        <v>2.5</v>
      </c>
      <c r="E172">
        <f>_xlfn.XLOOKUP(A172,'Grocery and sales Data'!$A$1:$A$991,'Grocery and sales Data'!$R$1:$R$991)</f>
        <v>172.5</v>
      </c>
      <c r="F172" t="str">
        <f t="shared" si="2"/>
        <v>Medium</v>
      </c>
    </row>
    <row r="173" spans="1:6" ht="16" x14ac:dyDescent="0.4">
      <c r="A173" s="2" t="s">
        <v>771</v>
      </c>
      <c r="B173" t="str">
        <f>_xlfn.XLOOKUP(A173,'Grocery and sales Data'!$A$1:$A$991,'Grocery and sales Data'!$B$1:$B$991)</f>
        <v>Whole Wheat Flour</v>
      </c>
      <c r="C173" t="str">
        <f>_xlfn.XLOOKUP(A173,'Grocery and sales Data'!$A$1:$A$991,'Grocery and sales Data'!$C$1:$C$991)</f>
        <v>Grains &amp; Pulses</v>
      </c>
      <c r="D173" s="9">
        <f>_xlfn.XLOOKUP(A173,'Grocery and sales Data'!$A$1:$A$991,'Grocery and sales Data'!$I$1:$I$991)</f>
        <v>2.75</v>
      </c>
      <c r="E173">
        <f>_xlfn.XLOOKUP(A173,'Grocery and sales Data'!$A$1:$A$991,'Grocery and sales Data'!$R$1:$R$991)</f>
        <v>82.5</v>
      </c>
      <c r="F173" t="str">
        <f t="shared" si="2"/>
        <v>Low</v>
      </c>
    </row>
    <row r="174" spans="1:6" ht="16" x14ac:dyDescent="0.4">
      <c r="A174" s="2" t="s">
        <v>775</v>
      </c>
      <c r="B174" t="str">
        <f>_xlfn.XLOOKUP(A174,'Grocery and sales Data'!$A$1:$A$991,'Grocery and sales Data'!$B$1:$B$991)</f>
        <v>Robusta Coffee</v>
      </c>
      <c r="C174" t="str">
        <f>_xlfn.XLOOKUP(A174,'Grocery and sales Data'!$A$1:$A$991,'Grocery and sales Data'!$C$1:$C$991)</f>
        <v>Beverages</v>
      </c>
      <c r="D174" s="9">
        <f>_xlfn.XLOOKUP(A174,'Grocery and sales Data'!$A$1:$A$991,'Grocery and sales Data'!$I$1:$I$991)</f>
        <v>10</v>
      </c>
      <c r="E174">
        <f>_xlfn.XLOOKUP(A174,'Grocery and sales Data'!$A$1:$A$991,'Grocery and sales Data'!$R$1:$R$991)</f>
        <v>620</v>
      </c>
      <c r="F174" t="str">
        <f t="shared" si="2"/>
        <v>Medium</v>
      </c>
    </row>
    <row r="175" spans="1:6" ht="16" x14ac:dyDescent="0.4">
      <c r="A175" s="2" t="s">
        <v>780</v>
      </c>
      <c r="B175" t="str">
        <f>_xlfn.XLOOKUP(A175,'Grocery and sales Data'!$A$1:$A$991,'Grocery and sales Data'!$B$1:$B$991)</f>
        <v>Watermelon</v>
      </c>
      <c r="C175" t="str">
        <f>_xlfn.XLOOKUP(A175,'Grocery and sales Data'!$A$1:$A$991,'Grocery and sales Data'!$C$1:$C$991)</f>
        <v>Fruits &amp; Vegetables</v>
      </c>
      <c r="D175" s="9">
        <f>_xlfn.XLOOKUP(A175,'Grocery and sales Data'!$A$1:$A$991,'Grocery and sales Data'!$I$1:$I$991)</f>
        <v>3</v>
      </c>
      <c r="E175">
        <f>_xlfn.XLOOKUP(A175,'Grocery and sales Data'!$A$1:$A$991,'Grocery and sales Data'!$R$1:$R$991)</f>
        <v>270</v>
      </c>
      <c r="F175" t="str">
        <f t="shared" si="2"/>
        <v>Medium</v>
      </c>
    </row>
    <row r="176" spans="1:6" ht="16" x14ac:dyDescent="0.4">
      <c r="A176" s="2" t="s">
        <v>785</v>
      </c>
      <c r="B176" t="str">
        <f>_xlfn.XLOOKUP(A176,'Grocery and sales Data'!$A$1:$A$991,'Grocery and sales Data'!$B$1:$B$991)</f>
        <v>Green Coffee</v>
      </c>
      <c r="C176" t="str">
        <f>_xlfn.XLOOKUP(A176,'Grocery and sales Data'!$A$1:$A$991,'Grocery and sales Data'!$C$1:$C$991)</f>
        <v>Beverages</v>
      </c>
      <c r="D176" s="9">
        <f>_xlfn.XLOOKUP(A176,'Grocery and sales Data'!$A$1:$A$991,'Grocery and sales Data'!$I$1:$I$991)</f>
        <v>12.5</v>
      </c>
      <c r="E176">
        <f>_xlfn.XLOOKUP(A176,'Grocery and sales Data'!$A$1:$A$991,'Grocery and sales Data'!$R$1:$R$991)</f>
        <v>412.5</v>
      </c>
      <c r="F176" t="str">
        <f t="shared" si="2"/>
        <v>Medium</v>
      </c>
    </row>
    <row r="177" spans="1:6" ht="16" x14ac:dyDescent="0.4">
      <c r="A177" s="2" t="s">
        <v>789</v>
      </c>
      <c r="B177" t="str">
        <f>_xlfn.XLOOKUP(A177,'Grocery and sales Data'!$A$1:$A$991,'Grocery and sales Data'!$B$1:$B$991)</f>
        <v>Cream</v>
      </c>
      <c r="C177" t="str">
        <f>_xlfn.XLOOKUP(A177,'Grocery and sales Data'!$A$1:$A$991,'Grocery and sales Data'!$C$1:$C$991)</f>
        <v>Dairy</v>
      </c>
      <c r="D177" s="9">
        <f>_xlfn.XLOOKUP(A177,'Grocery and sales Data'!$A$1:$A$991,'Grocery and sales Data'!$I$1:$I$991)</f>
        <v>2.5</v>
      </c>
      <c r="E177">
        <f>_xlfn.XLOOKUP(A177,'Grocery and sales Data'!$A$1:$A$991,'Grocery and sales Data'!$R$1:$R$991)</f>
        <v>160</v>
      </c>
      <c r="F177" t="str">
        <f t="shared" si="2"/>
        <v>Medium</v>
      </c>
    </row>
    <row r="178" spans="1:6" ht="16" x14ac:dyDescent="0.4">
      <c r="A178" s="2" t="s">
        <v>792</v>
      </c>
      <c r="B178" t="str">
        <f>_xlfn.XLOOKUP(A178,'Grocery and sales Data'!$A$1:$A$991,'Grocery and sales Data'!$B$1:$B$991)</f>
        <v>Oatmeal Biscuit</v>
      </c>
      <c r="C178" t="str">
        <f>_xlfn.XLOOKUP(A178,'Grocery and sales Data'!$A$1:$A$991,'Grocery and sales Data'!$C$1:$C$991)</f>
        <v>Bakery</v>
      </c>
      <c r="D178" s="9">
        <f>_xlfn.XLOOKUP(A178,'Grocery and sales Data'!$A$1:$A$991,'Grocery and sales Data'!$I$1:$I$991)</f>
        <v>5</v>
      </c>
      <c r="E178">
        <f>_xlfn.XLOOKUP(A178,'Grocery and sales Data'!$A$1:$A$991,'Grocery and sales Data'!$R$1:$R$991)</f>
        <v>385</v>
      </c>
      <c r="F178" t="str">
        <f t="shared" si="2"/>
        <v>Medium</v>
      </c>
    </row>
    <row r="179" spans="1:6" ht="16" x14ac:dyDescent="0.4">
      <c r="A179" s="2" t="s">
        <v>796</v>
      </c>
      <c r="B179" t="str">
        <f>_xlfn.XLOOKUP(A179,'Grocery and sales Data'!$A$1:$A$991,'Grocery and sales Data'!$B$1:$B$991)</f>
        <v>Green Tea</v>
      </c>
      <c r="C179" t="str">
        <f>_xlfn.XLOOKUP(A179,'Grocery and sales Data'!$A$1:$A$991,'Grocery and sales Data'!$C$1:$C$991)</f>
        <v>Beverages</v>
      </c>
      <c r="D179" s="9">
        <f>_xlfn.XLOOKUP(A179,'Grocery and sales Data'!$A$1:$A$991,'Grocery and sales Data'!$I$1:$I$991)</f>
        <v>8</v>
      </c>
      <c r="E179">
        <f>_xlfn.XLOOKUP(A179,'Grocery and sales Data'!$A$1:$A$991,'Grocery and sales Data'!$R$1:$R$991)</f>
        <v>480</v>
      </c>
      <c r="F179" t="str">
        <f t="shared" si="2"/>
        <v>Medium</v>
      </c>
    </row>
    <row r="180" spans="1:6" ht="16" x14ac:dyDescent="0.4">
      <c r="A180" s="2" t="s">
        <v>800</v>
      </c>
      <c r="B180" t="str">
        <f>_xlfn.XLOOKUP(A180,'Grocery and sales Data'!$A$1:$A$991,'Grocery and sales Data'!$B$1:$B$991)</f>
        <v>Anchovies</v>
      </c>
      <c r="C180" t="str">
        <f>_xlfn.XLOOKUP(A180,'Grocery and sales Data'!$A$1:$A$991,'Grocery and sales Data'!$C$1:$C$991)</f>
        <v>Seafood</v>
      </c>
      <c r="D180" s="9">
        <f>_xlfn.XLOOKUP(A180,'Grocery and sales Data'!$A$1:$A$991,'Grocery and sales Data'!$I$1:$I$991)</f>
        <v>10</v>
      </c>
      <c r="E180">
        <f>_xlfn.XLOOKUP(A180,'Grocery and sales Data'!$A$1:$A$991,'Grocery and sales Data'!$R$1:$R$991)</f>
        <v>980</v>
      </c>
      <c r="F180" t="str">
        <f t="shared" si="2"/>
        <v>Medium</v>
      </c>
    </row>
    <row r="181" spans="1:6" ht="16" x14ac:dyDescent="0.4">
      <c r="A181" s="2" t="s">
        <v>805</v>
      </c>
      <c r="B181" t="str">
        <f>_xlfn.XLOOKUP(A181,'Grocery and sales Data'!$A$1:$A$991,'Grocery and sales Data'!$B$1:$B$991)</f>
        <v>Cheddar Cheese</v>
      </c>
      <c r="C181" t="str">
        <f>_xlfn.XLOOKUP(A181,'Grocery and sales Data'!$A$1:$A$991,'Grocery and sales Data'!$C$1:$C$991)</f>
        <v>Dairy</v>
      </c>
      <c r="D181" s="9">
        <f>_xlfn.XLOOKUP(A181,'Grocery and sales Data'!$A$1:$A$991,'Grocery and sales Data'!$I$1:$I$991)</f>
        <v>9</v>
      </c>
      <c r="E181">
        <f>_xlfn.XLOOKUP(A181,'Grocery and sales Data'!$A$1:$A$991,'Grocery and sales Data'!$R$1:$R$991)</f>
        <v>360</v>
      </c>
      <c r="F181" t="str">
        <f t="shared" si="2"/>
        <v>Medium</v>
      </c>
    </row>
    <row r="182" spans="1:6" ht="16" x14ac:dyDescent="0.4">
      <c r="A182" s="2" t="s">
        <v>809</v>
      </c>
      <c r="B182" t="str">
        <f>_xlfn.XLOOKUP(A182,'Grocery and sales Data'!$A$1:$A$991,'Grocery and sales Data'!$B$1:$B$991)</f>
        <v>Avocado Oil</v>
      </c>
      <c r="C182" t="str">
        <f>_xlfn.XLOOKUP(A182,'Grocery and sales Data'!$A$1:$A$991,'Grocery and sales Data'!$C$1:$C$991)</f>
        <v>Oils &amp; Fats</v>
      </c>
      <c r="D182" s="9">
        <f>_xlfn.XLOOKUP(A182,'Grocery and sales Data'!$A$1:$A$991,'Grocery and sales Data'!$I$1:$I$991)</f>
        <v>10</v>
      </c>
      <c r="E182">
        <f>_xlfn.XLOOKUP(A182,'Grocery and sales Data'!$A$1:$A$991,'Grocery and sales Data'!$R$1:$R$991)</f>
        <v>240</v>
      </c>
      <c r="F182" t="str">
        <f t="shared" si="2"/>
        <v>Medium</v>
      </c>
    </row>
    <row r="183" spans="1:6" ht="16" x14ac:dyDescent="0.4">
      <c r="A183" s="2" t="s">
        <v>813</v>
      </c>
      <c r="B183" t="str">
        <f>_xlfn.XLOOKUP(A183,'Grocery and sales Data'!$A$1:$A$991,'Grocery and sales Data'!$B$1:$B$991)</f>
        <v>Arabica Coffee</v>
      </c>
      <c r="C183" t="str">
        <f>_xlfn.XLOOKUP(A183,'Grocery and sales Data'!$A$1:$A$991,'Grocery and sales Data'!$C$1:$C$991)</f>
        <v>Beverages</v>
      </c>
      <c r="D183" s="9">
        <f>_xlfn.XLOOKUP(A183,'Grocery and sales Data'!$A$1:$A$991,'Grocery and sales Data'!$I$1:$I$991)</f>
        <v>21</v>
      </c>
      <c r="E183">
        <f>_xlfn.XLOOKUP(A183,'Grocery and sales Data'!$A$1:$A$991,'Grocery and sales Data'!$R$1:$R$991)</f>
        <v>420</v>
      </c>
      <c r="F183" t="str">
        <f t="shared" si="2"/>
        <v>Medium</v>
      </c>
    </row>
    <row r="184" spans="1:6" ht="16" x14ac:dyDescent="0.4">
      <c r="A184" s="2" t="s">
        <v>816</v>
      </c>
      <c r="B184" t="str">
        <f>_xlfn.XLOOKUP(A184,'Grocery and sales Data'!$A$1:$A$991,'Grocery and sales Data'!$B$1:$B$991)</f>
        <v>Trout</v>
      </c>
      <c r="C184" t="str">
        <f>_xlfn.XLOOKUP(A184,'Grocery and sales Data'!$A$1:$A$991,'Grocery and sales Data'!$C$1:$C$991)</f>
        <v>Seafood</v>
      </c>
      <c r="D184" s="9">
        <f>_xlfn.XLOOKUP(A184,'Grocery and sales Data'!$A$1:$A$991,'Grocery and sales Data'!$I$1:$I$991)</f>
        <v>12</v>
      </c>
      <c r="E184">
        <f>_xlfn.XLOOKUP(A184,'Grocery and sales Data'!$A$1:$A$991,'Grocery and sales Data'!$R$1:$R$991)</f>
        <v>1068</v>
      </c>
      <c r="F184" t="str">
        <f t="shared" si="2"/>
        <v>High</v>
      </c>
    </row>
    <row r="185" spans="1:6" ht="16" x14ac:dyDescent="0.4">
      <c r="A185" s="2" t="s">
        <v>820</v>
      </c>
      <c r="B185" t="str">
        <f>_xlfn.XLOOKUP(A185,'Grocery and sales Data'!$A$1:$A$991,'Grocery and sales Data'!$B$1:$B$991)</f>
        <v>Cod</v>
      </c>
      <c r="C185" t="str">
        <f>_xlfn.XLOOKUP(A185,'Grocery and sales Data'!$A$1:$A$991,'Grocery and sales Data'!$C$1:$C$991)</f>
        <v>Seafood</v>
      </c>
      <c r="D185" s="9">
        <f>_xlfn.XLOOKUP(A185,'Grocery and sales Data'!$A$1:$A$991,'Grocery and sales Data'!$I$1:$I$991)</f>
        <v>8</v>
      </c>
      <c r="E185">
        <f>_xlfn.XLOOKUP(A185,'Grocery and sales Data'!$A$1:$A$991,'Grocery and sales Data'!$R$1:$R$991)</f>
        <v>792</v>
      </c>
      <c r="F185" t="str">
        <f t="shared" si="2"/>
        <v>Medium</v>
      </c>
    </row>
    <row r="186" spans="1:6" ht="16" x14ac:dyDescent="0.4">
      <c r="A186" s="2" t="s">
        <v>824</v>
      </c>
      <c r="B186" t="str">
        <f>_xlfn.XLOOKUP(A186,'Grocery and sales Data'!$A$1:$A$991,'Grocery and sales Data'!$B$1:$B$991)</f>
        <v>Rye Bread</v>
      </c>
      <c r="C186" t="str">
        <f>_xlfn.XLOOKUP(A186,'Grocery and sales Data'!$A$1:$A$991,'Grocery and sales Data'!$C$1:$C$991)</f>
        <v>Bakery</v>
      </c>
      <c r="D186" s="9">
        <f>_xlfn.XLOOKUP(A186,'Grocery and sales Data'!$A$1:$A$991,'Grocery and sales Data'!$I$1:$I$991)</f>
        <v>3</v>
      </c>
      <c r="E186">
        <f>_xlfn.XLOOKUP(A186,'Grocery and sales Data'!$A$1:$A$991,'Grocery and sales Data'!$R$1:$R$991)</f>
        <v>294</v>
      </c>
      <c r="F186" t="str">
        <f t="shared" si="2"/>
        <v>Medium</v>
      </c>
    </row>
    <row r="187" spans="1:6" ht="16" x14ac:dyDescent="0.4">
      <c r="A187" s="2" t="s">
        <v>828</v>
      </c>
      <c r="B187" t="str">
        <f>_xlfn.XLOOKUP(A187,'Grocery and sales Data'!$A$1:$A$991,'Grocery and sales Data'!$B$1:$B$991)</f>
        <v>Basmati Rice</v>
      </c>
      <c r="C187" t="str">
        <f>_xlfn.XLOOKUP(A187,'Grocery and sales Data'!$A$1:$A$991,'Grocery and sales Data'!$C$1:$C$991)</f>
        <v>Grains &amp; Pulses</v>
      </c>
      <c r="D187" s="9">
        <f>_xlfn.XLOOKUP(A187,'Grocery and sales Data'!$A$1:$A$991,'Grocery and sales Data'!$I$1:$I$991)</f>
        <v>4.5</v>
      </c>
      <c r="E187">
        <f>_xlfn.XLOOKUP(A187,'Grocery and sales Data'!$A$1:$A$991,'Grocery and sales Data'!$R$1:$R$991)</f>
        <v>310.5</v>
      </c>
      <c r="F187" t="str">
        <f t="shared" si="2"/>
        <v>Medium</v>
      </c>
    </row>
    <row r="188" spans="1:6" ht="16" x14ac:dyDescent="0.4">
      <c r="A188" s="2" t="s">
        <v>833</v>
      </c>
      <c r="B188" t="str">
        <f>_xlfn.XLOOKUP(A188,'Grocery and sales Data'!$A$1:$A$991,'Grocery and sales Data'!$B$1:$B$991)</f>
        <v>White Sugar</v>
      </c>
      <c r="C188" t="str">
        <f>_xlfn.XLOOKUP(A188,'Grocery and sales Data'!$A$1:$A$991,'Grocery and sales Data'!$C$1:$C$991)</f>
        <v>Grains &amp; Pulses</v>
      </c>
      <c r="D188" s="9">
        <f>_xlfn.XLOOKUP(A188,'Grocery and sales Data'!$A$1:$A$991,'Grocery and sales Data'!$I$1:$I$991)</f>
        <v>2</v>
      </c>
      <c r="E188">
        <f>_xlfn.XLOOKUP(A188,'Grocery and sales Data'!$A$1:$A$991,'Grocery and sales Data'!$R$1:$R$991)</f>
        <v>40</v>
      </c>
      <c r="F188" t="str">
        <f t="shared" si="2"/>
        <v>Low</v>
      </c>
    </row>
    <row r="189" spans="1:6" ht="16" x14ac:dyDescent="0.4">
      <c r="A189" s="2" t="s">
        <v>836</v>
      </c>
      <c r="B189" t="str">
        <f>_xlfn.XLOOKUP(A189,'Grocery and sales Data'!$A$1:$A$991,'Grocery and sales Data'!$B$1:$B$991)</f>
        <v>Sourdough Bread</v>
      </c>
      <c r="C189" t="str">
        <f>_xlfn.XLOOKUP(A189,'Grocery and sales Data'!$A$1:$A$991,'Grocery and sales Data'!$C$1:$C$991)</f>
        <v>Bakery</v>
      </c>
      <c r="D189" s="9">
        <f>_xlfn.XLOOKUP(A189,'Grocery and sales Data'!$A$1:$A$991,'Grocery and sales Data'!$I$1:$I$991)</f>
        <v>4.5</v>
      </c>
      <c r="E189">
        <f>_xlfn.XLOOKUP(A189,'Grocery and sales Data'!$A$1:$A$991,'Grocery and sales Data'!$R$1:$R$991)</f>
        <v>144</v>
      </c>
      <c r="F189" t="str">
        <f t="shared" si="2"/>
        <v>Medium</v>
      </c>
    </row>
    <row r="190" spans="1:6" ht="16" x14ac:dyDescent="0.4">
      <c r="A190" s="2" t="s">
        <v>839</v>
      </c>
      <c r="B190" t="str">
        <f>_xlfn.XLOOKUP(A190,'Grocery and sales Data'!$A$1:$A$991,'Grocery and sales Data'!$B$1:$B$991)</f>
        <v>White Tea</v>
      </c>
      <c r="C190" t="str">
        <f>_xlfn.XLOOKUP(A190,'Grocery and sales Data'!$A$1:$A$991,'Grocery and sales Data'!$C$1:$C$991)</f>
        <v>Beverages</v>
      </c>
      <c r="D190" s="9">
        <f>_xlfn.XLOOKUP(A190,'Grocery and sales Data'!$A$1:$A$991,'Grocery and sales Data'!$I$1:$I$991)</f>
        <v>25</v>
      </c>
      <c r="E190">
        <f>_xlfn.XLOOKUP(A190,'Grocery and sales Data'!$A$1:$A$991,'Grocery and sales Data'!$R$1:$R$991)</f>
        <v>875</v>
      </c>
      <c r="F190" t="str">
        <f t="shared" si="2"/>
        <v>Medium</v>
      </c>
    </row>
    <row r="191" spans="1:6" ht="16" x14ac:dyDescent="0.4">
      <c r="A191" s="2" t="s">
        <v>843</v>
      </c>
      <c r="B191" t="str">
        <f>_xlfn.XLOOKUP(A191,'Grocery and sales Data'!$A$1:$A$991,'Grocery and sales Data'!$B$1:$B$991)</f>
        <v>White Bread</v>
      </c>
      <c r="C191" t="str">
        <f>_xlfn.XLOOKUP(A191,'Grocery and sales Data'!$A$1:$A$991,'Grocery and sales Data'!$C$1:$C$991)</f>
        <v>Bakery</v>
      </c>
      <c r="D191" s="9">
        <f>_xlfn.XLOOKUP(A191,'Grocery and sales Data'!$A$1:$A$991,'Grocery and sales Data'!$I$1:$I$991)</f>
        <v>2.5</v>
      </c>
      <c r="E191">
        <f>_xlfn.XLOOKUP(A191,'Grocery and sales Data'!$A$1:$A$991,'Grocery and sales Data'!$R$1:$R$991)</f>
        <v>190</v>
      </c>
      <c r="F191" t="str">
        <f t="shared" si="2"/>
        <v>Medium</v>
      </c>
    </row>
    <row r="192" spans="1:6" ht="16" x14ac:dyDescent="0.4">
      <c r="A192" s="2" t="s">
        <v>847</v>
      </c>
      <c r="B192" t="str">
        <f>_xlfn.XLOOKUP(A192,'Grocery and sales Data'!$A$1:$A$991,'Grocery and sales Data'!$B$1:$B$991)</f>
        <v>Mozzarella Cheese</v>
      </c>
      <c r="C192" t="str">
        <f>_xlfn.XLOOKUP(A192,'Grocery and sales Data'!$A$1:$A$991,'Grocery and sales Data'!$C$1:$C$991)</f>
        <v>Dairy</v>
      </c>
      <c r="D192" s="9">
        <f>_xlfn.XLOOKUP(A192,'Grocery and sales Data'!$A$1:$A$991,'Grocery and sales Data'!$I$1:$I$991)</f>
        <v>7</v>
      </c>
      <c r="E192">
        <f>_xlfn.XLOOKUP(A192,'Grocery and sales Data'!$A$1:$A$991,'Grocery and sales Data'!$R$1:$R$991)</f>
        <v>504</v>
      </c>
      <c r="F192" t="str">
        <f t="shared" si="2"/>
        <v>Medium</v>
      </c>
    </row>
    <row r="193" spans="1:6" ht="16" x14ac:dyDescent="0.4">
      <c r="A193" s="2" t="s">
        <v>851</v>
      </c>
      <c r="B193" t="str">
        <f>_xlfn.XLOOKUP(A193,'Grocery and sales Data'!$A$1:$A$991,'Grocery and sales Data'!$B$1:$B$991)</f>
        <v>Peanut Oil</v>
      </c>
      <c r="C193" t="str">
        <f>_xlfn.XLOOKUP(A193,'Grocery and sales Data'!$A$1:$A$991,'Grocery and sales Data'!$C$1:$C$991)</f>
        <v>Oils &amp; Fats</v>
      </c>
      <c r="D193" s="9">
        <f>_xlfn.XLOOKUP(A193,'Grocery and sales Data'!$A$1:$A$991,'Grocery and sales Data'!$I$1:$I$991)</f>
        <v>4</v>
      </c>
      <c r="E193">
        <f>_xlfn.XLOOKUP(A193,'Grocery and sales Data'!$A$1:$A$991,'Grocery and sales Data'!$R$1:$R$991)</f>
        <v>376</v>
      </c>
      <c r="F193" t="str">
        <f t="shared" si="2"/>
        <v>Medium</v>
      </c>
    </row>
    <row r="194" spans="1:6" ht="16" x14ac:dyDescent="0.4">
      <c r="A194" s="2" t="s">
        <v>854</v>
      </c>
      <c r="B194" t="str">
        <f>_xlfn.XLOOKUP(A194,'Grocery and sales Data'!$A$1:$A$991,'Grocery and sales Data'!$B$1:$B$991)</f>
        <v>Gouda Cheese</v>
      </c>
      <c r="C194" t="str">
        <f>_xlfn.XLOOKUP(A194,'Grocery and sales Data'!$A$1:$A$991,'Grocery and sales Data'!$C$1:$C$991)</f>
        <v>Dairy</v>
      </c>
      <c r="D194" s="9">
        <f>_xlfn.XLOOKUP(A194,'Grocery and sales Data'!$A$1:$A$991,'Grocery and sales Data'!$I$1:$I$991)</f>
        <v>7</v>
      </c>
      <c r="E194">
        <f>_xlfn.XLOOKUP(A194,'Grocery and sales Data'!$A$1:$A$991,'Grocery and sales Data'!$R$1:$R$991)</f>
        <v>301</v>
      </c>
      <c r="F194" t="str">
        <f t="shared" si="2"/>
        <v>Medium</v>
      </c>
    </row>
    <row r="195" spans="1:6" ht="16" x14ac:dyDescent="0.4">
      <c r="A195" s="2" t="s">
        <v>857</v>
      </c>
      <c r="B195" t="str">
        <f>_xlfn.XLOOKUP(A195,'Grocery and sales Data'!$A$1:$A$991,'Grocery and sales Data'!$B$1:$B$991)</f>
        <v>Chocolate Biscuit</v>
      </c>
      <c r="C195" t="str">
        <f>_xlfn.XLOOKUP(A195,'Grocery and sales Data'!$A$1:$A$991,'Grocery and sales Data'!$C$1:$C$991)</f>
        <v>Bakery</v>
      </c>
      <c r="D195" s="9">
        <f>_xlfn.XLOOKUP(A195,'Grocery and sales Data'!$A$1:$A$991,'Grocery and sales Data'!$I$1:$I$991)</f>
        <v>5</v>
      </c>
      <c r="E195">
        <f>_xlfn.XLOOKUP(A195,'Grocery and sales Data'!$A$1:$A$991,'Grocery and sales Data'!$R$1:$R$991)</f>
        <v>440</v>
      </c>
      <c r="F195" t="str">
        <f t="shared" ref="F195:F258" si="3">IF(E195&gt;=1000,"High",IF(E195&gt;=100,"Medium","Low"))</f>
        <v>Medium</v>
      </c>
    </row>
    <row r="196" spans="1:6" ht="16" x14ac:dyDescent="0.4">
      <c r="A196" s="2" t="s">
        <v>861</v>
      </c>
      <c r="B196" t="str">
        <f>_xlfn.XLOOKUP(A196,'Grocery and sales Data'!$A$1:$A$991,'Grocery and sales Data'!$B$1:$B$991)</f>
        <v>Pomegranate</v>
      </c>
      <c r="C196" t="str">
        <f>_xlfn.XLOOKUP(A196,'Grocery and sales Data'!$A$1:$A$991,'Grocery and sales Data'!$C$1:$C$991)</f>
        <v>Fruits &amp; Vegetables</v>
      </c>
      <c r="D196" s="9">
        <f>_xlfn.XLOOKUP(A196,'Grocery and sales Data'!$A$1:$A$991,'Grocery and sales Data'!$I$1:$I$991)</f>
        <v>6</v>
      </c>
      <c r="E196">
        <f>_xlfn.XLOOKUP(A196,'Grocery and sales Data'!$A$1:$A$991,'Grocery and sales Data'!$R$1:$R$991)</f>
        <v>516</v>
      </c>
      <c r="F196" t="str">
        <f t="shared" si="3"/>
        <v>Medium</v>
      </c>
    </row>
    <row r="197" spans="1:6" ht="16" x14ac:dyDescent="0.4">
      <c r="A197" s="2" t="s">
        <v>864</v>
      </c>
      <c r="B197" t="str">
        <f>_xlfn.XLOOKUP(A197,'Grocery and sales Data'!$A$1:$A$991,'Grocery and sales Data'!$B$1:$B$991)</f>
        <v>Sunflower Oil</v>
      </c>
      <c r="C197" t="str">
        <f>_xlfn.XLOOKUP(A197,'Grocery and sales Data'!$A$1:$A$991,'Grocery and sales Data'!$C$1:$C$991)</f>
        <v>Oils &amp; Fats</v>
      </c>
      <c r="D197" s="9">
        <f>_xlfn.XLOOKUP(A197,'Grocery and sales Data'!$A$1:$A$991,'Grocery and sales Data'!$I$1:$I$991)</f>
        <v>2.5</v>
      </c>
      <c r="E197">
        <f>_xlfn.XLOOKUP(A197,'Grocery and sales Data'!$A$1:$A$991,'Grocery and sales Data'!$R$1:$R$991)</f>
        <v>62.5</v>
      </c>
      <c r="F197" t="str">
        <f t="shared" si="3"/>
        <v>Low</v>
      </c>
    </row>
    <row r="198" spans="1:6" ht="16" x14ac:dyDescent="0.4">
      <c r="A198" s="2" t="s">
        <v>868</v>
      </c>
      <c r="B198" t="str">
        <f>_xlfn.XLOOKUP(A198,'Grocery and sales Data'!$A$1:$A$991,'Grocery and sales Data'!$B$1:$B$991)</f>
        <v>Jasmine Rice</v>
      </c>
      <c r="C198" t="str">
        <f>_xlfn.XLOOKUP(A198,'Grocery and sales Data'!$A$1:$A$991,'Grocery and sales Data'!$C$1:$C$991)</f>
        <v>Grains &amp; Pulses</v>
      </c>
      <c r="D198" s="9">
        <f>_xlfn.XLOOKUP(A198,'Grocery and sales Data'!$A$1:$A$991,'Grocery and sales Data'!$I$1:$I$991)</f>
        <v>4.75</v>
      </c>
      <c r="E198">
        <f>_xlfn.XLOOKUP(A198,'Grocery and sales Data'!$A$1:$A$991,'Grocery and sales Data'!$R$1:$R$991)</f>
        <v>166.25</v>
      </c>
      <c r="F198" t="str">
        <f t="shared" si="3"/>
        <v>Medium</v>
      </c>
    </row>
    <row r="199" spans="1:6" ht="16" x14ac:dyDescent="0.4">
      <c r="A199" s="2" t="s">
        <v>871</v>
      </c>
      <c r="B199" t="str">
        <f>_xlfn.XLOOKUP(A199,'Grocery and sales Data'!$A$1:$A$991,'Grocery and sales Data'!$B$1:$B$991)</f>
        <v>Haddock</v>
      </c>
      <c r="C199" t="str">
        <f>_xlfn.XLOOKUP(A199,'Grocery and sales Data'!$A$1:$A$991,'Grocery and sales Data'!$C$1:$C$991)</f>
        <v>Seafood</v>
      </c>
      <c r="D199" s="9">
        <f>_xlfn.XLOOKUP(A199,'Grocery and sales Data'!$A$1:$A$991,'Grocery and sales Data'!$I$1:$I$991)</f>
        <v>9</v>
      </c>
      <c r="E199">
        <f>_xlfn.XLOOKUP(A199,'Grocery and sales Data'!$A$1:$A$991,'Grocery and sales Data'!$R$1:$R$991)</f>
        <v>702</v>
      </c>
      <c r="F199" t="str">
        <f t="shared" si="3"/>
        <v>Medium</v>
      </c>
    </row>
    <row r="200" spans="1:6" ht="16" x14ac:dyDescent="0.4">
      <c r="A200" s="2" t="s">
        <v>875</v>
      </c>
      <c r="B200" t="str">
        <f>_xlfn.XLOOKUP(A200,'Grocery and sales Data'!$A$1:$A$991,'Grocery and sales Data'!$B$1:$B$991)</f>
        <v>Black Rice</v>
      </c>
      <c r="C200" t="str">
        <f>_xlfn.XLOOKUP(A200,'Grocery and sales Data'!$A$1:$A$991,'Grocery and sales Data'!$C$1:$C$991)</f>
        <v>Grains &amp; Pulses</v>
      </c>
      <c r="D200" s="9">
        <f>_xlfn.XLOOKUP(A200,'Grocery and sales Data'!$A$1:$A$991,'Grocery and sales Data'!$I$1:$I$991)</f>
        <v>6</v>
      </c>
      <c r="E200">
        <f>_xlfn.XLOOKUP(A200,'Grocery and sales Data'!$A$1:$A$991,'Grocery and sales Data'!$R$1:$R$991)</f>
        <v>222</v>
      </c>
      <c r="F200" t="str">
        <f t="shared" si="3"/>
        <v>Medium</v>
      </c>
    </row>
    <row r="201" spans="1:6" ht="16" x14ac:dyDescent="0.4">
      <c r="A201" s="2" t="s">
        <v>878</v>
      </c>
      <c r="B201" t="str">
        <f>_xlfn.XLOOKUP(A201,'Grocery and sales Data'!$A$1:$A$991,'Grocery and sales Data'!$B$1:$B$991)</f>
        <v>Rye Bread</v>
      </c>
      <c r="C201" t="str">
        <f>_xlfn.XLOOKUP(A201,'Grocery and sales Data'!$A$1:$A$991,'Grocery and sales Data'!$C$1:$C$991)</f>
        <v>Bakery</v>
      </c>
      <c r="D201" s="9">
        <f>_xlfn.XLOOKUP(A201,'Grocery and sales Data'!$A$1:$A$991,'Grocery and sales Data'!$I$1:$I$991)</f>
        <v>2.8</v>
      </c>
      <c r="E201">
        <f>_xlfn.XLOOKUP(A201,'Grocery and sales Data'!$A$1:$A$991,'Grocery and sales Data'!$R$1:$R$991)</f>
        <v>86.8</v>
      </c>
      <c r="F201" t="str">
        <f t="shared" si="3"/>
        <v>Low</v>
      </c>
    </row>
    <row r="202" spans="1:6" ht="16" x14ac:dyDescent="0.4">
      <c r="A202" s="2" t="s">
        <v>881</v>
      </c>
      <c r="B202" t="str">
        <f>_xlfn.XLOOKUP(A202,'Grocery and sales Data'!$A$1:$A$991,'Grocery and sales Data'!$B$1:$B$991)</f>
        <v>Lime</v>
      </c>
      <c r="C202" t="str">
        <f>_xlfn.XLOOKUP(A202,'Grocery and sales Data'!$A$1:$A$991,'Grocery and sales Data'!$C$1:$C$991)</f>
        <v>Fruits &amp; Vegetables</v>
      </c>
      <c r="D202" s="9">
        <f>_xlfn.XLOOKUP(A202,'Grocery and sales Data'!$A$1:$A$991,'Grocery and sales Data'!$I$1:$I$991)</f>
        <v>2</v>
      </c>
      <c r="E202">
        <f>_xlfn.XLOOKUP(A202,'Grocery and sales Data'!$A$1:$A$991,'Grocery and sales Data'!$R$1:$R$991)</f>
        <v>86</v>
      </c>
      <c r="F202" t="str">
        <f t="shared" si="3"/>
        <v>Low</v>
      </c>
    </row>
    <row r="203" spans="1:6" ht="16" x14ac:dyDescent="0.4">
      <c r="A203" s="2" t="s">
        <v>885</v>
      </c>
      <c r="B203" t="str">
        <f>_xlfn.XLOOKUP(A203,'Grocery and sales Data'!$A$1:$A$991,'Grocery and sales Data'!$B$1:$B$991)</f>
        <v>Pomegranate</v>
      </c>
      <c r="C203" t="str">
        <f>_xlfn.XLOOKUP(A203,'Grocery and sales Data'!$A$1:$A$991,'Grocery and sales Data'!$C$1:$C$991)</f>
        <v>Fruits &amp; Vegetables</v>
      </c>
      <c r="D203" s="9">
        <f>_xlfn.XLOOKUP(A203,'Grocery and sales Data'!$A$1:$A$991,'Grocery and sales Data'!$I$1:$I$991)</f>
        <v>6</v>
      </c>
      <c r="E203">
        <f>_xlfn.XLOOKUP(A203,'Grocery and sales Data'!$A$1:$A$991,'Grocery and sales Data'!$R$1:$R$991)</f>
        <v>192</v>
      </c>
      <c r="F203" t="str">
        <f t="shared" si="3"/>
        <v>Medium</v>
      </c>
    </row>
    <row r="204" spans="1:6" ht="16" x14ac:dyDescent="0.4">
      <c r="A204" s="2" t="s">
        <v>888</v>
      </c>
      <c r="B204" t="str">
        <f>_xlfn.XLOOKUP(A204,'Grocery and sales Data'!$A$1:$A$991,'Grocery and sales Data'!$B$1:$B$991)</f>
        <v>Robusta Coffee</v>
      </c>
      <c r="C204" t="str">
        <f>_xlfn.XLOOKUP(A204,'Grocery and sales Data'!$A$1:$A$991,'Grocery and sales Data'!$C$1:$C$991)</f>
        <v>Beverages</v>
      </c>
      <c r="D204" s="9">
        <f>_xlfn.XLOOKUP(A204,'Grocery and sales Data'!$A$1:$A$991,'Grocery and sales Data'!$I$1:$I$991)</f>
        <v>10</v>
      </c>
      <c r="E204">
        <f>_xlfn.XLOOKUP(A204,'Grocery and sales Data'!$A$1:$A$991,'Grocery and sales Data'!$R$1:$R$991)</f>
        <v>390</v>
      </c>
      <c r="F204" t="str">
        <f t="shared" si="3"/>
        <v>Medium</v>
      </c>
    </row>
    <row r="205" spans="1:6" ht="16" x14ac:dyDescent="0.4">
      <c r="A205" s="2" t="s">
        <v>892</v>
      </c>
      <c r="B205" t="str">
        <f>_xlfn.XLOOKUP(A205,'Grocery and sales Data'!$A$1:$A$991,'Grocery and sales Data'!$B$1:$B$991)</f>
        <v>Multigrain Bread</v>
      </c>
      <c r="C205" t="str">
        <f>_xlfn.XLOOKUP(A205,'Grocery and sales Data'!$A$1:$A$991,'Grocery and sales Data'!$C$1:$C$991)</f>
        <v>Bakery</v>
      </c>
      <c r="D205" s="9">
        <f>_xlfn.XLOOKUP(A205,'Grocery and sales Data'!$A$1:$A$991,'Grocery and sales Data'!$I$1:$I$991)</f>
        <v>3.5</v>
      </c>
      <c r="E205">
        <f>_xlfn.XLOOKUP(A205,'Grocery and sales Data'!$A$1:$A$991,'Grocery and sales Data'!$R$1:$R$991)</f>
        <v>238</v>
      </c>
      <c r="F205" t="str">
        <f t="shared" si="3"/>
        <v>Medium</v>
      </c>
    </row>
    <row r="206" spans="1:6" ht="16" x14ac:dyDescent="0.4">
      <c r="A206" s="2" t="s">
        <v>896</v>
      </c>
      <c r="B206" t="str">
        <f>_xlfn.XLOOKUP(A206,'Grocery and sales Data'!$A$1:$A$991,'Grocery and sales Data'!$B$1:$B$991)</f>
        <v>Cucumber</v>
      </c>
      <c r="C206" t="str">
        <f>_xlfn.XLOOKUP(A206,'Grocery and sales Data'!$A$1:$A$991,'Grocery and sales Data'!$C$1:$C$991)</f>
        <v>Fruits &amp; Vegetables</v>
      </c>
      <c r="D206" s="9">
        <f>_xlfn.XLOOKUP(A206,'Grocery and sales Data'!$A$1:$A$991,'Grocery and sales Data'!$I$1:$I$991)</f>
        <v>1.75</v>
      </c>
      <c r="E206">
        <f>_xlfn.XLOOKUP(A206,'Grocery and sales Data'!$A$1:$A$991,'Grocery and sales Data'!$R$1:$R$991)</f>
        <v>85.75</v>
      </c>
      <c r="F206" t="str">
        <f t="shared" si="3"/>
        <v>Low</v>
      </c>
    </row>
    <row r="207" spans="1:6" ht="16" x14ac:dyDescent="0.4">
      <c r="A207" s="2" t="s">
        <v>900</v>
      </c>
      <c r="B207" t="str">
        <f>_xlfn.XLOOKUP(A207,'Grocery and sales Data'!$A$1:$A$991,'Grocery and sales Data'!$B$1:$B$991)</f>
        <v>Olive Oil</v>
      </c>
      <c r="C207" t="str">
        <f>_xlfn.XLOOKUP(A207,'Grocery and sales Data'!$A$1:$A$991,'Grocery and sales Data'!$C$1:$C$991)</f>
        <v>Oils &amp; Fats</v>
      </c>
      <c r="D207" s="9">
        <f>_xlfn.XLOOKUP(A207,'Grocery and sales Data'!$A$1:$A$991,'Grocery and sales Data'!$I$1:$I$991)</f>
        <v>6</v>
      </c>
      <c r="E207">
        <f>_xlfn.XLOOKUP(A207,'Grocery and sales Data'!$A$1:$A$991,'Grocery and sales Data'!$R$1:$R$991)</f>
        <v>600</v>
      </c>
      <c r="F207" t="str">
        <f t="shared" si="3"/>
        <v>Medium</v>
      </c>
    </row>
    <row r="208" spans="1:6" ht="16" x14ac:dyDescent="0.4">
      <c r="A208" s="2" t="s">
        <v>903</v>
      </c>
      <c r="B208" t="str">
        <f>_xlfn.XLOOKUP(A208,'Grocery and sales Data'!$A$1:$A$991,'Grocery and sales Data'!$B$1:$B$991)</f>
        <v>Mushrooms</v>
      </c>
      <c r="C208" t="str">
        <f>_xlfn.XLOOKUP(A208,'Grocery and sales Data'!$A$1:$A$991,'Grocery and sales Data'!$C$1:$C$991)</f>
        <v>Fruits &amp; Vegetables</v>
      </c>
      <c r="D208" s="9">
        <f>_xlfn.XLOOKUP(A208,'Grocery and sales Data'!$A$1:$A$991,'Grocery and sales Data'!$I$1:$I$991)</f>
        <v>6</v>
      </c>
      <c r="E208">
        <f>_xlfn.XLOOKUP(A208,'Grocery and sales Data'!$A$1:$A$991,'Grocery and sales Data'!$R$1:$R$991)</f>
        <v>312</v>
      </c>
      <c r="F208" t="str">
        <f t="shared" si="3"/>
        <v>Medium</v>
      </c>
    </row>
    <row r="209" spans="1:6" ht="16" x14ac:dyDescent="0.4">
      <c r="A209" s="2" t="s">
        <v>906</v>
      </c>
      <c r="B209" t="str">
        <f>_xlfn.XLOOKUP(A209,'Grocery and sales Data'!$A$1:$A$991,'Grocery and sales Data'!$B$1:$B$991)</f>
        <v>Egg (Goose)</v>
      </c>
      <c r="C209" t="str">
        <f>_xlfn.XLOOKUP(A209,'Grocery and sales Data'!$A$1:$A$991,'Grocery and sales Data'!$C$1:$C$991)</f>
        <v>Dairy</v>
      </c>
      <c r="D209" s="9">
        <f>_xlfn.XLOOKUP(A209,'Grocery and sales Data'!$A$1:$A$991,'Grocery and sales Data'!$I$1:$I$991)</f>
        <v>2.5</v>
      </c>
      <c r="E209">
        <f>_xlfn.XLOOKUP(A209,'Grocery and sales Data'!$A$1:$A$991,'Grocery and sales Data'!$R$1:$R$991)</f>
        <v>147.5</v>
      </c>
      <c r="F209" t="str">
        <f t="shared" si="3"/>
        <v>Medium</v>
      </c>
    </row>
    <row r="210" spans="1:6" ht="16" x14ac:dyDescent="0.4">
      <c r="A210" s="2" t="s">
        <v>910</v>
      </c>
      <c r="B210" t="str">
        <f>_xlfn.XLOOKUP(A210,'Grocery and sales Data'!$A$1:$A$991,'Grocery and sales Data'!$B$1:$B$991)</f>
        <v>Greek Yogurt</v>
      </c>
      <c r="C210" t="str">
        <f>_xlfn.XLOOKUP(A210,'Grocery and sales Data'!$A$1:$A$991,'Grocery and sales Data'!$C$1:$C$991)</f>
        <v>Fruits &amp; Vegetables</v>
      </c>
      <c r="D210" s="9">
        <f>_xlfn.XLOOKUP(A210,'Grocery and sales Data'!$A$1:$A$991,'Grocery and sales Data'!$I$1:$I$991)</f>
        <v>51.17</v>
      </c>
      <c r="E210">
        <f>_xlfn.XLOOKUP(A210,'Grocery and sales Data'!$A$1:$A$991,'Grocery and sales Data'!$R$1:$R$991)</f>
        <v>4707.6400000000003</v>
      </c>
      <c r="F210" t="str">
        <f t="shared" si="3"/>
        <v>High</v>
      </c>
    </row>
    <row r="211" spans="1:6" ht="16" x14ac:dyDescent="0.4">
      <c r="A211" s="2" t="s">
        <v>913</v>
      </c>
      <c r="B211" t="str">
        <f>_xlfn.XLOOKUP(A211,'Grocery and sales Data'!$A$1:$A$991,'Grocery and sales Data'!$B$1:$B$991)</f>
        <v>Peach</v>
      </c>
      <c r="C211" t="str">
        <f>_xlfn.XLOOKUP(A211,'Grocery and sales Data'!$A$1:$A$991,'Grocery and sales Data'!$C$1:$C$991)</f>
        <v>Fruits &amp; Vegetables</v>
      </c>
      <c r="D211" s="9">
        <f>_xlfn.XLOOKUP(A211,'Grocery and sales Data'!$A$1:$A$991,'Grocery and sales Data'!$I$1:$I$991)</f>
        <v>4</v>
      </c>
      <c r="E211">
        <f>_xlfn.XLOOKUP(A211,'Grocery and sales Data'!$A$1:$A$991,'Grocery and sales Data'!$R$1:$R$991)</f>
        <v>280</v>
      </c>
      <c r="F211" t="str">
        <f t="shared" si="3"/>
        <v>Medium</v>
      </c>
    </row>
    <row r="212" spans="1:6" ht="16" x14ac:dyDescent="0.4">
      <c r="A212" s="2" t="s">
        <v>917</v>
      </c>
      <c r="B212" t="str">
        <f>_xlfn.XLOOKUP(A212,'Grocery and sales Data'!$A$1:$A$991,'Grocery and sales Data'!$B$1:$B$991)</f>
        <v>White Tea</v>
      </c>
      <c r="C212" t="str">
        <f>_xlfn.XLOOKUP(A212,'Grocery and sales Data'!$A$1:$A$991,'Grocery and sales Data'!$C$1:$C$991)</f>
        <v>Beverages</v>
      </c>
      <c r="D212" s="9">
        <f>_xlfn.XLOOKUP(A212,'Grocery and sales Data'!$A$1:$A$991,'Grocery and sales Data'!$I$1:$I$991)</f>
        <v>25.5</v>
      </c>
      <c r="E212">
        <f>_xlfn.XLOOKUP(A212,'Grocery and sales Data'!$A$1:$A$991,'Grocery and sales Data'!$R$1:$R$991)</f>
        <v>739.5</v>
      </c>
      <c r="F212" t="str">
        <f t="shared" si="3"/>
        <v>Medium</v>
      </c>
    </row>
    <row r="213" spans="1:6" ht="16" x14ac:dyDescent="0.4">
      <c r="A213" s="2" t="s">
        <v>920</v>
      </c>
      <c r="B213" t="str">
        <f>_xlfn.XLOOKUP(A213,'Grocery and sales Data'!$A$1:$A$991,'Grocery and sales Data'!$B$1:$B$991)</f>
        <v>Sushi Rice</v>
      </c>
      <c r="C213" t="str">
        <f>_xlfn.XLOOKUP(A213,'Grocery and sales Data'!$A$1:$A$991,'Grocery and sales Data'!$C$1:$C$991)</f>
        <v>Grains &amp; Pulses</v>
      </c>
      <c r="D213" s="9">
        <f>_xlfn.XLOOKUP(A213,'Grocery and sales Data'!$A$1:$A$991,'Grocery and sales Data'!$I$1:$I$991)</f>
        <v>4.25</v>
      </c>
      <c r="E213">
        <f>_xlfn.XLOOKUP(A213,'Grocery and sales Data'!$A$1:$A$991,'Grocery and sales Data'!$R$1:$R$991)</f>
        <v>178.5</v>
      </c>
      <c r="F213" t="str">
        <f t="shared" si="3"/>
        <v>Medium</v>
      </c>
    </row>
    <row r="214" spans="1:6" ht="16" x14ac:dyDescent="0.4">
      <c r="A214" s="2" t="s">
        <v>923</v>
      </c>
      <c r="B214" t="str">
        <f>_xlfn.XLOOKUP(A214,'Grocery and sales Data'!$A$1:$A$991,'Grocery and sales Data'!$B$1:$B$991)</f>
        <v>Strawberries</v>
      </c>
      <c r="C214" t="str">
        <f>_xlfn.XLOOKUP(A214,'Grocery and sales Data'!$A$1:$A$991,'Grocery and sales Data'!$C$1:$C$991)</f>
        <v>Fruits &amp; Vegetables</v>
      </c>
      <c r="D214" s="9">
        <f>_xlfn.XLOOKUP(A214,'Grocery and sales Data'!$A$1:$A$991,'Grocery and sales Data'!$I$1:$I$991)</f>
        <v>5.9</v>
      </c>
      <c r="E214">
        <f>_xlfn.XLOOKUP(A214,'Grocery and sales Data'!$A$1:$A$991,'Grocery and sales Data'!$R$1:$R$991)</f>
        <v>271.40000000000003</v>
      </c>
      <c r="F214" t="str">
        <f t="shared" si="3"/>
        <v>Medium</v>
      </c>
    </row>
    <row r="215" spans="1:6" ht="16" x14ac:dyDescent="0.4">
      <c r="A215" s="2" t="s">
        <v>927</v>
      </c>
      <c r="B215" t="str">
        <f>_xlfn.XLOOKUP(A215,'Grocery and sales Data'!$A$1:$A$991,'Grocery and sales Data'!$B$1:$B$991)</f>
        <v>Mushrooms</v>
      </c>
      <c r="C215" t="str">
        <f>_xlfn.XLOOKUP(A215,'Grocery and sales Data'!$A$1:$A$991,'Grocery and sales Data'!$C$1:$C$991)</f>
        <v>Fruits &amp; Vegetables</v>
      </c>
      <c r="D215" s="9">
        <f>_xlfn.XLOOKUP(A215,'Grocery and sales Data'!$A$1:$A$991,'Grocery and sales Data'!$I$1:$I$991)</f>
        <v>6.5</v>
      </c>
      <c r="E215">
        <f>_xlfn.XLOOKUP(A215,'Grocery and sales Data'!$A$1:$A$991,'Grocery and sales Data'!$R$1:$R$991)</f>
        <v>572</v>
      </c>
      <c r="F215" t="str">
        <f t="shared" si="3"/>
        <v>Medium</v>
      </c>
    </row>
    <row r="216" spans="1:6" ht="16" x14ac:dyDescent="0.4">
      <c r="A216" s="2" t="s">
        <v>931</v>
      </c>
      <c r="B216" t="str">
        <f>_xlfn.XLOOKUP(A216,'Grocery and sales Data'!$A$1:$A$991,'Grocery and sales Data'!$B$1:$B$991)</f>
        <v>Broccoli</v>
      </c>
      <c r="C216" t="str">
        <f>_xlfn.XLOOKUP(A216,'Grocery and sales Data'!$A$1:$A$991,'Grocery and sales Data'!$C$1:$C$991)</f>
        <v>Fruits &amp; Vegetables</v>
      </c>
      <c r="D216" s="9">
        <f>_xlfn.XLOOKUP(A216,'Grocery and sales Data'!$A$1:$A$991,'Grocery and sales Data'!$I$1:$I$991)</f>
        <v>4</v>
      </c>
      <c r="E216">
        <f>_xlfn.XLOOKUP(A216,'Grocery and sales Data'!$A$1:$A$991,'Grocery and sales Data'!$R$1:$R$991)</f>
        <v>276</v>
      </c>
      <c r="F216" t="str">
        <f t="shared" si="3"/>
        <v>Medium</v>
      </c>
    </row>
    <row r="217" spans="1:6" ht="16" x14ac:dyDescent="0.4">
      <c r="A217" s="2" t="s">
        <v>935</v>
      </c>
      <c r="B217" t="str">
        <f>_xlfn.XLOOKUP(A217,'Grocery and sales Data'!$A$1:$A$991,'Grocery and sales Data'!$B$1:$B$991)</f>
        <v>White Bread</v>
      </c>
      <c r="C217" t="str">
        <f>_xlfn.XLOOKUP(A217,'Grocery and sales Data'!$A$1:$A$991,'Grocery and sales Data'!$C$1:$C$991)</f>
        <v>Bakery</v>
      </c>
      <c r="D217" s="9">
        <f>_xlfn.XLOOKUP(A217,'Grocery and sales Data'!$A$1:$A$991,'Grocery and sales Data'!$I$1:$I$991)</f>
        <v>2.5</v>
      </c>
      <c r="E217">
        <f>_xlfn.XLOOKUP(A217,'Grocery and sales Data'!$A$1:$A$991,'Grocery and sales Data'!$R$1:$R$991)</f>
        <v>140</v>
      </c>
      <c r="F217" t="str">
        <f t="shared" si="3"/>
        <v>Medium</v>
      </c>
    </row>
    <row r="218" spans="1:6" ht="16" x14ac:dyDescent="0.4">
      <c r="A218" s="2" t="s">
        <v>938</v>
      </c>
      <c r="B218" t="str">
        <f>_xlfn.XLOOKUP(A218,'Grocery and sales Data'!$A$1:$A$991,'Grocery and sales Data'!$B$1:$B$991)</f>
        <v>Greek Yogurt</v>
      </c>
      <c r="C218" t="str">
        <f>_xlfn.XLOOKUP(A218,'Grocery and sales Data'!$A$1:$A$991,'Grocery and sales Data'!$C$1:$C$991)</f>
        <v>Dairy</v>
      </c>
      <c r="D218" s="9">
        <f>_xlfn.XLOOKUP(A218,'Grocery and sales Data'!$A$1:$A$991,'Grocery and sales Data'!$I$1:$I$991)</f>
        <v>3</v>
      </c>
      <c r="E218">
        <f>_xlfn.XLOOKUP(A218,'Grocery and sales Data'!$A$1:$A$991,'Grocery and sales Data'!$R$1:$R$991)</f>
        <v>210</v>
      </c>
      <c r="F218" t="str">
        <f t="shared" si="3"/>
        <v>Medium</v>
      </c>
    </row>
    <row r="219" spans="1:6" ht="16" x14ac:dyDescent="0.4">
      <c r="A219" s="2" t="s">
        <v>942</v>
      </c>
      <c r="B219" t="str">
        <f>_xlfn.XLOOKUP(A219,'Grocery and sales Data'!$A$1:$A$991,'Grocery and sales Data'!$B$1:$B$991)</f>
        <v>Canola Oil</v>
      </c>
      <c r="C219" t="str">
        <f>_xlfn.XLOOKUP(A219,'Grocery and sales Data'!$A$1:$A$991,'Grocery and sales Data'!$C$1:$C$991)</f>
        <v>Oils &amp; Fats</v>
      </c>
      <c r="D219" s="9">
        <f>_xlfn.XLOOKUP(A219,'Grocery and sales Data'!$A$1:$A$991,'Grocery and sales Data'!$I$1:$I$991)</f>
        <v>2.2999999999999998</v>
      </c>
      <c r="E219">
        <f>_xlfn.XLOOKUP(A219,'Grocery and sales Data'!$A$1:$A$991,'Grocery and sales Data'!$R$1:$R$991)</f>
        <v>211.6</v>
      </c>
      <c r="F219" t="str">
        <f t="shared" si="3"/>
        <v>Medium</v>
      </c>
    </row>
    <row r="220" spans="1:6" ht="16" x14ac:dyDescent="0.4">
      <c r="A220" s="2" t="s">
        <v>946</v>
      </c>
      <c r="B220" t="str">
        <f>_xlfn.XLOOKUP(A220,'Grocery and sales Data'!$A$1:$A$991,'Grocery and sales Data'!$B$1:$B$991)</f>
        <v>Lime</v>
      </c>
      <c r="C220" t="str">
        <f>_xlfn.XLOOKUP(A220,'Grocery and sales Data'!$A$1:$A$991,'Grocery and sales Data'!$C$1:$C$991)</f>
        <v>Fruits &amp; Vegetables</v>
      </c>
      <c r="D220" s="9">
        <f>_xlfn.XLOOKUP(A220,'Grocery and sales Data'!$A$1:$A$991,'Grocery and sales Data'!$I$1:$I$991)</f>
        <v>2</v>
      </c>
      <c r="E220">
        <f>_xlfn.XLOOKUP(A220,'Grocery and sales Data'!$A$1:$A$991,'Grocery and sales Data'!$R$1:$R$991)</f>
        <v>162</v>
      </c>
      <c r="F220" t="str">
        <f t="shared" si="3"/>
        <v>Medium</v>
      </c>
    </row>
    <row r="221" spans="1:6" ht="16" x14ac:dyDescent="0.4">
      <c r="A221" s="2" t="s">
        <v>950</v>
      </c>
      <c r="B221" t="str">
        <f>_xlfn.XLOOKUP(A221,'Grocery and sales Data'!$A$1:$A$991,'Grocery and sales Data'!$B$1:$B$991)</f>
        <v>Canola Oil</v>
      </c>
      <c r="C221" t="str">
        <f>_xlfn.XLOOKUP(A221,'Grocery and sales Data'!$A$1:$A$991,'Grocery and sales Data'!$C$1:$C$991)</f>
        <v>Oils &amp; Fats</v>
      </c>
      <c r="D221" s="9">
        <f>_xlfn.XLOOKUP(A221,'Grocery and sales Data'!$A$1:$A$991,'Grocery and sales Data'!$I$1:$I$991)</f>
        <v>2.2999999999999998</v>
      </c>
      <c r="E221">
        <f>_xlfn.XLOOKUP(A221,'Grocery and sales Data'!$A$1:$A$991,'Grocery and sales Data'!$R$1:$R$991)</f>
        <v>108.1</v>
      </c>
      <c r="F221" t="str">
        <f t="shared" si="3"/>
        <v>Medium</v>
      </c>
    </row>
    <row r="222" spans="1:6" ht="16" x14ac:dyDescent="0.4">
      <c r="A222" s="2" t="s">
        <v>954</v>
      </c>
      <c r="B222" t="str">
        <f>_xlfn.XLOOKUP(A222,'Grocery and sales Data'!$A$1:$A$991,'Grocery and sales Data'!$B$1:$B$991)</f>
        <v>Blueberries</v>
      </c>
      <c r="C222" t="str">
        <f>_xlfn.XLOOKUP(A222,'Grocery and sales Data'!$A$1:$A$991,'Grocery and sales Data'!$C$1:$C$991)</f>
        <v>Fruits &amp; Vegetables</v>
      </c>
      <c r="D222" s="9">
        <f>_xlfn.XLOOKUP(A222,'Grocery and sales Data'!$A$1:$A$991,'Grocery and sales Data'!$I$1:$I$991)</f>
        <v>10</v>
      </c>
      <c r="E222">
        <f>_xlfn.XLOOKUP(A222,'Grocery and sales Data'!$A$1:$A$991,'Grocery and sales Data'!$R$1:$R$991)</f>
        <v>370</v>
      </c>
      <c r="F222" t="str">
        <f t="shared" si="3"/>
        <v>Medium</v>
      </c>
    </row>
    <row r="223" spans="1:6" ht="16" x14ac:dyDescent="0.4">
      <c r="A223" s="2" t="s">
        <v>958</v>
      </c>
      <c r="B223" t="str">
        <f>_xlfn.XLOOKUP(A223,'Grocery and sales Data'!$A$1:$A$991,'Grocery and sales Data'!$B$1:$B$991)</f>
        <v>Mozzarella Cheese</v>
      </c>
      <c r="C223" t="str">
        <f>_xlfn.XLOOKUP(A223,'Grocery and sales Data'!$A$1:$A$991,'Grocery and sales Data'!$C$1:$C$991)</f>
        <v>Dairy</v>
      </c>
      <c r="D223" s="9">
        <f>_xlfn.XLOOKUP(A223,'Grocery and sales Data'!$A$1:$A$991,'Grocery and sales Data'!$I$1:$I$991)</f>
        <v>7.2</v>
      </c>
      <c r="E223">
        <f>_xlfn.XLOOKUP(A223,'Grocery and sales Data'!$A$1:$A$991,'Grocery and sales Data'!$R$1:$R$991)</f>
        <v>403.2</v>
      </c>
      <c r="F223" t="str">
        <f t="shared" si="3"/>
        <v>Medium</v>
      </c>
    </row>
    <row r="224" spans="1:6" ht="16" x14ac:dyDescent="0.4">
      <c r="A224" s="2" t="s">
        <v>961</v>
      </c>
      <c r="B224" t="str">
        <f>_xlfn.XLOOKUP(A224,'Grocery and sales Data'!$A$1:$A$991,'Grocery and sales Data'!$B$1:$B$991)</f>
        <v>Tuna</v>
      </c>
      <c r="C224" t="str">
        <f>_xlfn.XLOOKUP(A224,'Grocery and sales Data'!$A$1:$A$991,'Grocery and sales Data'!$C$1:$C$991)</f>
        <v>Seafood</v>
      </c>
      <c r="D224" s="9">
        <f>_xlfn.XLOOKUP(A224,'Grocery and sales Data'!$A$1:$A$991,'Grocery and sales Data'!$I$1:$I$991)</f>
        <v>18</v>
      </c>
      <c r="E224">
        <f>_xlfn.XLOOKUP(A224,'Grocery and sales Data'!$A$1:$A$991,'Grocery and sales Data'!$R$1:$R$991)</f>
        <v>1368</v>
      </c>
      <c r="F224" t="str">
        <f t="shared" si="3"/>
        <v>High</v>
      </c>
    </row>
    <row r="225" spans="1:6" ht="16" x14ac:dyDescent="0.4">
      <c r="A225" s="2" t="s">
        <v>965</v>
      </c>
      <c r="B225" t="str">
        <f>_xlfn.XLOOKUP(A225,'Grocery and sales Data'!$A$1:$A$991,'Grocery and sales Data'!$B$1:$B$991)</f>
        <v>White Tea</v>
      </c>
      <c r="C225" t="str">
        <f>_xlfn.XLOOKUP(A225,'Grocery and sales Data'!$A$1:$A$991,'Grocery and sales Data'!$C$1:$C$991)</f>
        <v>Beverages</v>
      </c>
      <c r="D225" s="9">
        <f>_xlfn.XLOOKUP(A225,'Grocery and sales Data'!$A$1:$A$991,'Grocery and sales Data'!$I$1:$I$991)</f>
        <v>25</v>
      </c>
      <c r="E225">
        <f>_xlfn.XLOOKUP(A225,'Grocery and sales Data'!$A$1:$A$991,'Grocery and sales Data'!$R$1:$R$991)</f>
        <v>1825</v>
      </c>
      <c r="F225" t="str">
        <f t="shared" si="3"/>
        <v>High</v>
      </c>
    </row>
    <row r="226" spans="1:6" ht="16" x14ac:dyDescent="0.4">
      <c r="A226" s="2" t="s">
        <v>968</v>
      </c>
      <c r="B226" t="str">
        <f>_xlfn.XLOOKUP(A226,'Grocery and sales Data'!$A$1:$A$991,'Grocery and sales Data'!$B$1:$B$991)</f>
        <v>Black Coffee</v>
      </c>
      <c r="C226" t="str">
        <f>_xlfn.XLOOKUP(A226,'Grocery and sales Data'!$A$1:$A$991,'Grocery and sales Data'!$C$1:$C$991)</f>
        <v>Beverages</v>
      </c>
      <c r="D226" s="9">
        <f>_xlfn.XLOOKUP(A226,'Grocery and sales Data'!$A$1:$A$991,'Grocery and sales Data'!$I$1:$I$991)</f>
        <v>15</v>
      </c>
      <c r="E226">
        <f>_xlfn.XLOOKUP(A226,'Grocery and sales Data'!$A$1:$A$991,'Grocery and sales Data'!$R$1:$R$991)</f>
        <v>1410</v>
      </c>
      <c r="F226" t="str">
        <f t="shared" si="3"/>
        <v>High</v>
      </c>
    </row>
    <row r="227" spans="1:6" ht="16" x14ac:dyDescent="0.4">
      <c r="A227" s="2" t="s">
        <v>971</v>
      </c>
      <c r="B227" t="str">
        <f>_xlfn.XLOOKUP(A227,'Grocery and sales Data'!$A$1:$A$991,'Grocery and sales Data'!$B$1:$B$991)</f>
        <v>Bread Flour</v>
      </c>
      <c r="C227" t="str">
        <f>_xlfn.XLOOKUP(A227,'Grocery and sales Data'!$A$1:$A$991,'Grocery and sales Data'!$C$1:$C$991)</f>
        <v>Grains &amp; Pulses</v>
      </c>
      <c r="D227" s="9">
        <f>_xlfn.XLOOKUP(A227,'Grocery and sales Data'!$A$1:$A$991,'Grocery and sales Data'!$I$1:$I$991)</f>
        <v>1.5</v>
      </c>
      <c r="E227">
        <f>_xlfn.XLOOKUP(A227,'Grocery and sales Data'!$A$1:$A$991,'Grocery and sales Data'!$R$1:$R$991)</f>
        <v>52.5</v>
      </c>
      <c r="F227" t="str">
        <f t="shared" si="3"/>
        <v>Low</v>
      </c>
    </row>
    <row r="228" spans="1:6" ht="16" x14ac:dyDescent="0.4">
      <c r="A228" s="2" t="s">
        <v>975</v>
      </c>
      <c r="B228" t="str">
        <f>_xlfn.XLOOKUP(A228,'Grocery and sales Data'!$A$1:$A$991,'Grocery and sales Data'!$B$1:$B$991)</f>
        <v>Feta Cheese</v>
      </c>
      <c r="C228" t="str">
        <f>_xlfn.XLOOKUP(A228,'Grocery and sales Data'!$A$1:$A$991,'Grocery and sales Data'!$C$1:$C$991)</f>
        <v>Dairy</v>
      </c>
      <c r="D228" s="9">
        <f>_xlfn.XLOOKUP(A228,'Grocery and sales Data'!$A$1:$A$991,'Grocery and sales Data'!$I$1:$I$991)</f>
        <v>7</v>
      </c>
      <c r="E228">
        <f>_xlfn.XLOOKUP(A228,'Grocery and sales Data'!$A$1:$A$991,'Grocery and sales Data'!$R$1:$R$991)</f>
        <v>644</v>
      </c>
      <c r="F228" t="str">
        <f t="shared" si="3"/>
        <v>Medium</v>
      </c>
    </row>
    <row r="229" spans="1:6" ht="16" x14ac:dyDescent="0.4">
      <c r="A229" s="2" t="s">
        <v>979</v>
      </c>
      <c r="B229" t="str">
        <f>_xlfn.XLOOKUP(A229,'Grocery and sales Data'!$A$1:$A$991,'Grocery and sales Data'!$B$1:$B$991)</f>
        <v>Kiwi</v>
      </c>
      <c r="C229" t="str">
        <f>_xlfn.XLOOKUP(A229,'Grocery and sales Data'!$A$1:$A$991,'Grocery and sales Data'!$C$1:$C$991)</f>
        <v>Fruits &amp; Vegetables</v>
      </c>
      <c r="D229" s="9">
        <f>_xlfn.XLOOKUP(A229,'Grocery and sales Data'!$A$1:$A$991,'Grocery and sales Data'!$I$1:$I$991)</f>
        <v>6</v>
      </c>
      <c r="E229">
        <f>_xlfn.XLOOKUP(A229,'Grocery and sales Data'!$A$1:$A$991,'Grocery and sales Data'!$R$1:$R$991)</f>
        <v>282</v>
      </c>
      <c r="F229" t="str">
        <f t="shared" si="3"/>
        <v>Medium</v>
      </c>
    </row>
    <row r="230" spans="1:6" ht="16" x14ac:dyDescent="0.4">
      <c r="A230" s="2" t="s">
        <v>983</v>
      </c>
      <c r="B230" t="str">
        <f>_xlfn.XLOOKUP(A230,'Grocery and sales Data'!$A$1:$A$991,'Grocery and sales Data'!$B$1:$B$991)</f>
        <v>Digestive Biscuit</v>
      </c>
      <c r="C230" t="str">
        <f>_xlfn.XLOOKUP(A230,'Grocery and sales Data'!$A$1:$A$991,'Grocery and sales Data'!$C$1:$C$991)</f>
        <v>Bakery</v>
      </c>
      <c r="D230" s="9">
        <f>_xlfn.XLOOKUP(A230,'Grocery and sales Data'!$A$1:$A$991,'Grocery and sales Data'!$I$1:$I$991)</f>
        <v>4</v>
      </c>
      <c r="E230">
        <f>_xlfn.XLOOKUP(A230,'Grocery and sales Data'!$A$1:$A$991,'Grocery and sales Data'!$R$1:$R$991)</f>
        <v>228</v>
      </c>
      <c r="F230" t="str">
        <f t="shared" si="3"/>
        <v>Medium</v>
      </c>
    </row>
    <row r="231" spans="1:6" ht="16" x14ac:dyDescent="0.4">
      <c r="A231" s="2" t="s">
        <v>988</v>
      </c>
      <c r="B231" t="str">
        <f>_xlfn.XLOOKUP(A231,'Grocery and sales Data'!$A$1:$A$991,'Grocery and sales Data'!$B$1:$B$991)</f>
        <v>Arabica Coffee</v>
      </c>
      <c r="C231" t="str">
        <f>_xlfn.XLOOKUP(A231,'Grocery and sales Data'!$A$1:$A$991,'Grocery and sales Data'!$C$1:$C$991)</f>
        <v>Beverages</v>
      </c>
      <c r="D231" s="9">
        <f>_xlfn.XLOOKUP(A231,'Grocery and sales Data'!$A$1:$A$991,'Grocery and sales Data'!$I$1:$I$991)</f>
        <v>20</v>
      </c>
      <c r="E231">
        <f>_xlfn.XLOOKUP(A231,'Grocery and sales Data'!$A$1:$A$991,'Grocery and sales Data'!$R$1:$R$991)</f>
        <v>1480</v>
      </c>
      <c r="F231" t="str">
        <f t="shared" si="3"/>
        <v>High</v>
      </c>
    </row>
    <row r="232" spans="1:6" ht="16" x14ac:dyDescent="0.4">
      <c r="A232" s="2" t="s">
        <v>991</v>
      </c>
      <c r="B232" t="str">
        <f>_xlfn.XLOOKUP(A232,'Grocery and sales Data'!$A$1:$A$991,'Grocery and sales Data'!$B$1:$B$991)</f>
        <v>Lemon</v>
      </c>
      <c r="C232" t="str">
        <f>_xlfn.XLOOKUP(A232,'Grocery and sales Data'!$A$1:$A$991,'Grocery and sales Data'!$C$1:$C$991)</f>
        <v>Fruits &amp; Vegetables</v>
      </c>
      <c r="D232" s="9">
        <f>_xlfn.XLOOKUP(A232,'Grocery and sales Data'!$A$1:$A$991,'Grocery and sales Data'!$I$1:$I$991)</f>
        <v>2.5</v>
      </c>
      <c r="E232">
        <f>_xlfn.XLOOKUP(A232,'Grocery and sales Data'!$A$1:$A$991,'Grocery and sales Data'!$R$1:$R$991)</f>
        <v>177.5</v>
      </c>
      <c r="F232" t="str">
        <f t="shared" si="3"/>
        <v>Medium</v>
      </c>
    </row>
    <row r="233" spans="1:6" ht="16" x14ac:dyDescent="0.4">
      <c r="A233" s="2" t="s">
        <v>994</v>
      </c>
      <c r="B233" t="str">
        <f>_xlfn.XLOOKUP(A233,'Grocery and sales Data'!$A$1:$A$991,'Grocery and sales Data'!$B$1:$B$991)</f>
        <v>Arabica Coffee</v>
      </c>
      <c r="C233" t="str">
        <f>_xlfn.XLOOKUP(A233,'Grocery and sales Data'!$A$1:$A$991,'Grocery and sales Data'!$C$1:$C$991)</f>
        <v>Beverages</v>
      </c>
      <c r="D233" s="9">
        <f>_xlfn.XLOOKUP(A233,'Grocery and sales Data'!$A$1:$A$991,'Grocery and sales Data'!$I$1:$I$991)</f>
        <v>20</v>
      </c>
      <c r="E233">
        <f>_xlfn.XLOOKUP(A233,'Grocery and sales Data'!$A$1:$A$991,'Grocery and sales Data'!$R$1:$R$991)</f>
        <v>1180</v>
      </c>
      <c r="F233" t="str">
        <f t="shared" si="3"/>
        <v>High</v>
      </c>
    </row>
    <row r="234" spans="1:6" ht="16" x14ac:dyDescent="0.4">
      <c r="A234" s="2" t="s">
        <v>998</v>
      </c>
      <c r="B234" t="str">
        <f>_xlfn.XLOOKUP(A234,'Grocery and sales Data'!$A$1:$A$991,'Grocery and sales Data'!$B$1:$B$991)</f>
        <v>Broccoli</v>
      </c>
      <c r="C234" t="str">
        <f>_xlfn.XLOOKUP(A234,'Grocery and sales Data'!$A$1:$A$991,'Grocery and sales Data'!$C$1:$C$991)</f>
        <v>Fruits &amp; Vegetables</v>
      </c>
      <c r="D234" s="9">
        <f>_xlfn.XLOOKUP(A234,'Grocery and sales Data'!$A$1:$A$991,'Grocery and sales Data'!$I$1:$I$991)</f>
        <v>4</v>
      </c>
      <c r="E234">
        <f>_xlfn.XLOOKUP(A234,'Grocery and sales Data'!$A$1:$A$991,'Grocery and sales Data'!$R$1:$R$991)</f>
        <v>344</v>
      </c>
      <c r="F234" t="str">
        <f t="shared" si="3"/>
        <v>Medium</v>
      </c>
    </row>
    <row r="235" spans="1:6" ht="16" x14ac:dyDescent="0.4">
      <c r="A235" s="2" t="s">
        <v>1002</v>
      </c>
      <c r="B235" t="str">
        <f>_xlfn.XLOOKUP(A235,'Grocery and sales Data'!$A$1:$A$991,'Grocery and sales Data'!$B$1:$B$991)</f>
        <v>Kale</v>
      </c>
      <c r="C235" t="str">
        <f>_xlfn.XLOOKUP(A235,'Grocery and sales Data'!$A$1:$A$991,'Grocery and sales Data'!$C$1:$C$991)</f>
        <v>Fruits &amp; Vegetables</v>
      </c>
      <c r="D235" s="9">
        <f>_xlfn.XLOOKUP(A235,'Grocery and sales Data'!$A$1:$A$991,'Grocery and sales Data'!$I$1:$I$991)</f>
        <v>4</v>
      </c>
      <c r="E235">
        <f>_xlfn.XLOOKUP(A235,'Grocery and sales Data'!$A$1:$A$991,'Grocery and sales Data'!$R$1:$R$991)</f>
        <v>192</v>
      </c>
      <c r="F235" t="str">
        <f t="shared" si="3"/>
        <v>Medium</v>
      </c>
    </row>
    <row r="236" spans="1:6" ht="16" x14ac:dyDescent="0.4">
      <c r="A236" s="2" t="s">
        <v>1007</v>
      </c>
      <c r="B236" t="str">
        <f>_xlfn.XLOOKUP(A236,'Grocery and sales Data'!$A$1:$A$991,'Grocery and sales Data'!$B$1:$B$991)</f>
        <v>Bread Flour</v>
      </c>
      <c r="C236" t="str">
        <f>_xlfn.XLOOKUP(A236,'Grocery and sales Data'!$A$1:$A$991,'Grocery and sales Data'!$C$1:$C$991)</f>
        <v>Grains &amp; Pulses</v>
      </c>
      <c r="D236" s="9">
        <f>_xlfn.XLOOKUP(A236,'Grocery and sales Data'!$A$1:$A$991,'Grocery and sales Data'!$I$1:$I$991)</f>
        <v>1.5</v>
      </c>
      <c r="E236">
        <f>_xlfn.XLOOKUP(A236,'Grocery and sales Data'!$A$1:$A$991,'Grocery and sales Data'!$R$1:$R$991)</f>
        <v>48</v>
      </c>
      <c r="F236" t="str">
        <f t="shared" si="3"/>
        <v>Low</v>
      </c>
    </row>
    <row r="237" spans="1:6" ht="16" x14ac:dyDescent="0.4">
      <c r="A237" s="2" t="s">
        <v>1010</v>
      </c>
      <c r="B237" t="str">
        <f>_xlfn.XLOOKUP(A237,'Grocery and sales Data'!$A$1:$A$991,'Grocery and sales Data'!$B$1:$B$991)</f>
        <v>Herbal Tea</v>
      </c>
      <c r="C237" t="str">
        <f>_xlfn.XLOOKUP(A237,'Grocery and sales Data'!$A$1:$A$991,'Grocery and sales Data'!$C$1:$C$991)</f>
        <v>Beverages</v>
      </c>
      <c r="D237" s="9">
        <f>_xlfn.XLOOKUP(A237,'Grocery and sales Data'!$A$1:$A$991,'Grocery and sales Data'!$I$1:$I$991)</f>
        <v>30</v>
      </c>
      <c r="E237">
        <f>_xlfn.XLOOKUP(A237,'Grocery and sales Data'!$A$1:$A$991,'Grocery and sales Data'!$R$1:$R$991)</f>
        <v>2070</v>
      </c>
      <c r="F237" t="str">
        <f t="shared" si="3"/>
        <v>High</v>
      </c>
    </row>
    <row r="238" spans="1:6" ht="16" x14ac:dyDescent="0.4">
      <c r="A238" s="2" t="s">
        <v>1014</v>
      </c>
      <c r="B238" t="str">
        <f>_xlfn.XLOOKUP(A238,'Grocery and sales Data'!$A$1:$A$991,'Grocery and sales Data'!$B$1:$B$991)</f>
        <v>Blueberries</v>
      </c>
      <c r="C238" t="str">
        <f>_xlfn.XLOOKUP(A238,'Grocery and sales Data'!$A$1:$A$991,'Grocery and sales Data'!$C$1:$C$991)</f>
        <v>Fruits &amp; Vegetables</v>
      </c>
      <c r="D238" s="9">
        <f>_xlfn.XLOOKUP(A238,'Grocery and sales Data'!$A$1:$A$991,'Grocery and sales Data'!$I$1:$I$991)</f>
        <v>10</v>
      </c>
      <c r="E238">
        <f>_xlfn.XLOOKUP(A238,'Grocery and sales Data'!$A$1:$A$991,'Grocery and sales Data'!$R$1:$R$991)</f>
        <v>400</v>
      </c>
      <c r="F238" t="str">
        <f t="shared" si="3"/>
        <v>Medium</v>
      </c>
    </row>
    <row r="239" spans="1:6" ht="16" x14ac:dyDescent="0.4">
      <c r="A239" s="2" t="s">
        <v>1017</v>
      </c>
      <c r="B239" t="str">
        <f>_xlfn.XLOOKUP(A239,'Grocery and sales Data'!$A$1:$A$991,'Grocery and sales Data'!$B$1:$B$991)</f>
        <v>Digestive Biscuit</v>
      </c>
      <c r="C239" t="str">
        <f>_xlfn.XLOOKUP(A239,'Grocery and sales Data'!$A$1:$A$991,'Grocery and sales Data'!$C$1:$C$991)</f>
        <v>Bakery</v>
      </c>
      <c r="D239" s="9">
        <f>_xlfn.XLOOKUP(A239,'Grocery and sales Data'!$A$1:$A$991,'Grocery and sales Data'!$I$1:$I$991)</f>
        <v>4</v>
      </c>
      <c r="E239">
        <f>_xlfn.XLOOKUP(A239,'Grocery and sales Data'!$A$1:$A$991,'Grocery and sales Data'!$R$1:$R$991)</f>
        <v>392</v>
      </c>
      <c r="F239" t="str">
        <f t="shared" si="3"/>
        <v>Medium</v>
      </c>
    </row>
    <row r="240" spans="1:6" ht="16" x14ac:dyDescent="0.4">
      <c r="A240" s="2" t="s">
        <v>1020</v>
      </c>
      <c r="B240" t="str">
        <f>_xlfn.XLOOKUP(A240,'Grocery and sales Data'!$A$1:$A$991,'Grocery and sales Data'!$B$1:$B$991)</f>
        <v>Gouda Cheese</v>
      </c>
      <c r="C240" t="str">
        <f>_xlfn.XLOOKUP(A240,'Grocery and sales Data'!$A$1:$A$991,'Grocery and sales Data'!$C$1:$C$991)</f>
        <v>Dairy</v>
      </c>
      <c r="D240" s="9">
        <f>_xlfn.XLOOKUP(A240,'Grocery and sales Data'!$A$1:$A$991,'Grocery and sales Data'!$I$1:$I$991)</f>
        <v>7</v>
      </c>
      <c r="E240">
        <f>_xlfn.XLOOKUP(A240,'Grocery and sales Data'!$A$1:$A$991,'Grocery and sales Data'!$R$1:$R$991)</f>
        <v>371</v>
      </c>
      <c r="F240" t="str">
        <f t="shared" si="3"/>
        <v>Medium</v>
      </c>
    </row>
    <row r="241" spans="1:6" ht="16" x14ac:dyDescent="0.4">
      <c r="A241" s="2" t="s">
        <v>1023</v>
      </c>
      <c r="B241" t="str">
        <f>_xlfn.XLOOKUP(A241,'Grocery and sales Data'!$A$1:$A$991,'Grocery and sales Data'!$B$1:$B$991)</f>
        <v>Almond Flour</v>
      </c>
      <c r="C241" t="str">
        <f>_xlfn.XLOOKUP(A241,'Grocery and sales Data'!$A$1:$A$991,'Grocery and sales Data'!$C$1:$C$991)</f>
        <v>Grains &amp; Pulses</v>
      </c>
      <c r="D241" s="9">
        <f>_xlfn.XLOOKUP(A241,'Grocery and sales Data'!$A$1:$A$991,'Grocery and sales Data'!$I$1:$I$991)</f>
        <v>9.5</v>
      </c>
      <c r="E241">
        <f>_xlfn.XLOOKUP(A241,'Grocery and sales Data'!$A$1:$A$991,'Grocery and sales Data'!$R$1:$R$991)</f>
        <v>408.5</v>
      </c>
      <c r="F241" t="str">
        <f t="shared" si="3"/>
        <v>Medium</v>
      </c>
    </row>
    <row r="242" spans="1:6" ht="16" x14ac:dyDescent="0.4">
      <c r="A242" s="2" t="s">
        <v>1027</v>
      </c>
      <c r="B242" t="str">
        <f>_xlfn.XLOOKUP(A242,'Grocery and sales Data'!$A$1:$A$991,'Grocery and sales Data'!$B$1:$B$991)</f>
        <v>Chocolate Biscuit</v>
      </c>
      <c r="C242" t="str">
        <f>_xlfn.XLOOKUP(A242,'Grocery and sales Data'!$A$1:$A$991,'Grocery and sales Data'!$C$1:$C$991)</f>
        <v>Bakery</v>
      </c>
      <c r="D242" s="9">
        <f>_xlfn.XLOOKUP(A242,'Grocery and sales Data'!$A$1:$A$991,'Grocery and sales Data'!$I$1:$I$991)</f>
        <v>5</v>
      </c>
      <c r="E242">
        <f>_xlfn.XLOOKUP(A242,'Grocery and sales Data'!$A$1:$A$991,'Grocery and sales Data'!$R$1:$R$991)</f>
        <v>225</v>
      </c>
      <c r="F242" t="str">
        <f t="shared" si="3"/>
        <v>Medium</v>
      </c>
    </row>
    <row r="243" spans="1:6" ht="16" x14ac:dyDescent="0.4">
      <c r="A243" s="2" t="s">
        <v>1031</v>
      </c>
      <c r="B243" t="str">
        <f>_xlfn.XLOOKUP(A243,'Grocery and sales Data'!$A$1:$A$991,'Grocery and sales Data'!$B$1:$B$991)</f>
        <v>Haddock</v>
      </c>
      <c r="C243" t="str">
        <f>_xlfn.XLOOKUP(A243,'Grocery and sales Data'!$A$1:$A$991,'Grocery and sales Data'!$C$1:$C$991)</f>
        <v>Seafood</v>
      </c>
      <c r="D243" s="9">
        <f>_xlfn.XLOOKUP(A243,'Grocery and sales Data'!$A$1:$A$991,'Grocery and sales Data'!$I$1:$I$991)</f>
        <v>9</v>
      </c>
      <c r="E243">
        <f>_xlfn.XLOOKUP(A243,'Grocery and sales Data'!$A$1:$A$991,'Grocery and sales Data'!$R$1:$R$991)</f>
        <v>900</v>
      </c>
      <c r="F243" t="str">
        <f t="shared" si="3"/>
        <v>Medium</v>
      </c>
    </row>
    <row r="244" spans="1:6" ht="16" x14ac:dyDescent="0.4">
      <c r="A244" s="2" t="s">
        <v>1035</v>
      </c>
      <c r="B244" t="str">
        <f>_xlfn.XLOOKUP(A244,'Grocery and sales Data'!$A$1:$A$991,'Grocery and sales Data'!$B$1:$B$991)</f>
        <v>Egg (Duck)</v>
      </c>
      <c r="C244" t="str">
        <f>_xlfn.XLOOKUP(A244,'Grocery and sales Data'!$A$1:$A$991,'Grocery and sales Data'!$C$1:$C$991)</f>
        <v>Dairy</v>
      </c>
      <c r="D244" s="9">
        <f>_xlfn.XLOOKUP(A244,'Grocery and sales Data'!$A$1:$A$991,'Grocery and sales Data'!$I$1:$I$991)</f>
        <v>1</v>
      </c>
      <c r="E244">
        <f>_xlfn.XLOOKUP(A244,'Grocery and sales Data'!$A$1:$A$991,'Grocery and sales Data'!$R$1:$R$991)</f>
        <v>84</v>
      </c>
      <c r="F244" t="str">
        <f t="shared" si="3"/>
        <v>Low</v>
      </c>
    </row>
    <row r="245" spans="1:6" ht="16" x14ac:dyDescent="0.4">
      <c r="A245" s="2" t="s">
        <v>1039</v>
      </c>
      <c r="B245" t="str">
        <f>_xlfn.XLOOKUP(A245,'Grocery and sales Data'!$A$1:$A$991,'Grocery and sales Data'!$B$1:$B$991)</f>
        <v>Peach</v>
      </c>
      <c r="C245" t="str">
        <f>_xlfn.XLOOKUP(A245,'Grocery and sales Data'!$A$1:$A$991,'Grocery and sales Data'!$C$1:$C$991)</f>
        <v>Fruits &amp; Vegetables</v>
      </c>
      <c r="D245" s="9">
        <f>_xlfn.XLOOKUP(A245,'Grocery and sales Data'!$A$1:$A$991,'Grocery and sales Data'!$I$1:$I$991)</f>
        <v>4</v>
      </c>
      <c r="E245">
        <f>_xlfn.XLOOKUP(A245,'Grocery and sales Data'!$A$1:$A$991,'Grocery and sales Data'!$R$1:$R$991)</f>
        <v>148</v>
      </c>
      <c r="F245" t="str">
        <f t="shared" si="3"/>
        <v>Medium</v>
      </c>
    </row>
    <row r="246" spans="1:6" ht="16" x14ac:dyDescent="0.4">
      <c r="A246" s="2" t="s">
        <v>1042</v>
      </c>
      <c r="B246" t="str">
        <f>_xlfn.XLOOKUP(A246,'Grocery and sales Data'!$A$1:$A$991,'Grocery and sales Data'!$B$1:$B$991)</f>
        <v>Mackerel</v>
      </c>
      <c r="C246" t="str">
        <f>_xlfn.XLOOKUP(A246,'Grocery and sales Data'!$A$1:$A$991,'Grocery and sales Data'!$C$1:$C$991)</f>
        <v>Seafood</v>
      </c>
      <c r="D246" s="9">
        <f>_xlfn.XLOOKUP(A246,'Grocery and sales Data'!$A$1:$A$991,'Grocery and sales Data'!$I$1:$I$991)</f>
        <v>7.5</v>
      </c>
      <c r="E246">
        <f>_xlfn.XLOOKUP(A246,'Grocery and sales Data'!$A$1:$A$991,'Grocery and sales Data'!$R$1:$R$991)</f>
        <v>390</v>
      </c>
      <c r="F246" t="str">
        <f t="shared" si="3"/>
        <v>Medium</v>
      </c>
    </row>
    <row r="247" spans="1:6" ht="16" x14ac:dyDescent="0.4">
      <c r="A247" s="2" t="s">
        <v>1047</v>
      </c>
      <c r="B247" t="str">
        <f>_xlfn.XLOOKUP(A247,'Grocery and sales Data'!$A$1:$A$991,'Grocery and sales Data'!$B$1:$B$991)</f>
        <v>Egg (Goose)</v>
      </c>
      <c r="C247" t="str">
        <f>_xlfn.XLOOKUP(A247,'Grocery and sales Data'!$A$1:$A$991,'Grocery and sales Data'!$C$1:$C$991)</f>
        <v>Dairy</v>
      </c>
      <c r="D247" s="9">
        <f>_xlfn.XLOOKUP(A247,'Grocery and sales Data'!$A$1:$A$991,'Grocery and sales Data'!$I$1:$I$991)</f>
        <v>2.5</v>
      </c>
      <c r="E247">
        <f>_xlfn.XLOOKUP(A247,'Grocery and sales Data'!$A$1:$A$991,'Grocery and sales Data'!$R$1:$R$991)</f>
        <v>82.5</v>
      </c>
      <c r="F247" t="str">
        <f t="shared" si="3"/>
        <v>Low</v>
      </c>
    </row>
    <row r="248" spans="1:6" ht="16" x14ac:dyDescent="0.4">
      <c r="A248" s="2" t="s">
        <v>1051</v>
      </c>
      <c r="B248" t="str">
        <f>_xlfn.XLOOKUP(A248,'Grocery and sales Data'!$A$1:$A$991,'Grocery and sales Data'!$B$1:$B$991)</f>
        <v>Zucchini</v>
      </c>
      <c r="C248" t="str">
        <f>_xlfn.XLOOKUP(A248,'Grocery and sales Data'!$A$1:$A$991,'Grocery and sales Data'!$C$1:$C$991)</f>
        <v>Fruits &amp; Vegetables</v>
      </c>
      <c r="D248" s="9">
        <f>_xlfn.XLOOKUP(A248,'Grocery and sales Data'!$A$1:$A$991,'Grocery and sales Data'!$I$1:$I$991)</f>
        <v>2.5</v>
      </c>
      <c r="E248">
        <f>_xlfn.XLOOKUP(A248,'Grocery and sales Data'!$A$1:$A$991,'Grocery and sales Data'!$R$1:$R$991)</f>
        <v>132.5</v>
      </c>
      <c r="F248" t="str">
        <f t="shared" si="3"/>
        <v>Medium</v>
      </c>
    </row>
    <row r="249" spans="1:6" ht="16" x14ac:dyDescent="0.4">
      <c r="A249" s="2" t="s">
        <v>1054</v>
      </c>
      <c r="B249" t="str">
        <f>_xlfn.XLOOKUP(A249,'Grocery and sales Data'!$A$1:$A$991,'Grocery and sales Data'!$B$1:$B$991)</f>
        <v>Bell Pepper</v>
      </c>
      <c r="C249" t="str">
        <f>_xlfn.XLOOKUP(A249,'Grocery and sales Data'!$A$1:$A$991,'Grocery and sales Data'!$C$1:$C$991)</f>
        <v>Fruits &amp; Vegetables</v>
      </c>
      <c r="D249" s="9">
        <f>_xlfn.XLOOKUP(A249,'Grocery and sales Data'!$A$1:$A$991,'Grocery and sales Data'!$I$1:$I$991)</f>
        <v>4.5999999999999996</v>
      </c>
      <c r="E249">
        <f>_xlfn.XLOOKUP(A249,'Grocery and sales Data'!$A$1:$A$991,'Grocery and sales Data'!$R$1:$R$991)</f>
        <v>441.59999999999997</v>
      </c>
      <c r="F249" t="str">
        <f t="shared" si="3"/>
        <v>Medium</v>
      </c>
    </row>
    <row r="250" spans="1:6" ht="16" x14ac:dyDescent="0.4">
      <c r="A250" s="2" t="s">
        <v>1057</v>
      </c>
      <c r="B250" t="str">
        <f>_xlfn.XLOOKUP(A250,'Grocery and sales Data'!$A$1:$A$991,'Grocery and sales Data'!$B$1:$B$991)</f>
        <v>Cheese</v>
      </c>
      <c r="C250" t="str">
        <f>_xlfn.XLOOKUP(A250,'Grocery and sales Data'!$A$1:$A$991,'Grocery and sales Data'!$C$1:$C$991)</f>
        <v>Dairy</v>
      </c>
      <c r="D250" s="9">
        <f>_xlfn.XLOOKUP(A250,'Grocery and sales Data'!$A$1:$A$991,'Grocery and sales Data'!$I$1:$I$991)</f>
        <v>9.5</v>
      </c>
      <c r="E250">
        <f>_xlfn.XLOOKUP(A250,'Grocery and sales Data'!$A$1:$A$991,'Grocery and sales Data'!$R$1:$R$991)</f>
        <v>570</v>
      </c>
      <c r="F250" t="str">
        <f t="shared" si="3"/>
        <v>Medium</v>
      </c>
    </row>
    <row r="251" spans="1:6" ht="16" x14ac:dyDescent="0.4">
      <c r="A251" s="2" t="s">
        <v>1060</v>
      </c>
      <c r="B251" t="str">
        <f>_xlfn.XLOOKUP(A251,'Grocery and sales Data'!$A$1:$A$991,'Grocery and sales Data'!$B$1:$B$991)</f>
        <v>Zucchini</v>
      </c>
      <c r="C251" t="str">
        <f>_xlfn.XLOOKUP(A251,'Grocery and sales Data'!$A$1:$A$991,'Grocery and sales Data'!$C$1:$C$991)</f>
        <v>Fruits &amp; Vegetables</v>
      </c>
      <c r="D251" s="9">
        <f>_xlfn.XLOOKUP(A251,'Grocery and sales Data'!$A$1:$A$991,'Grocery and sales Data'!$I$1:$I$991)</f>
        <v>2.5</v>
      </c>
      <c r="E251">
        <f>_xlfn.XLOOKUP(A251,'Grocery and sales Data'!$A$1:$A$991,'Grocery and sales Data'!$R$1:$R$991)</f>
        <v>135</v>
      </c>
      <c r="F251" t="str">
        <f t="shared" si="3"/>
        <v>Medium</v>
      </c>
    </row>
    <row r="252" spans="1:6" ht="16" x14ac:dyDescent="0.4">
      <c r="A252" s="2" t="s">
        <v>1063</v>
      </c>
      <c r="B252" t="str">
        <f>_xlfn.XLOOKUP(A252,'Grocery and sales Data'!$A$1:$A$991,'Grocery and sales Data'!$B$1:$B$991)</f>
        <v>Orange</v>
      </c>
      <c r="C252" t="str">
        <f>_xlfn.XLOOKUP(A252,'Grocery and sales Data'!$A$1:$A$991,'Grocery and sales Data'!$C$1:$C$991)</f>
        <v>Fruits &amp; Vegetables</v>
      </c>
      <c r="D252" s="9">
        <f>_xlfn.XLOOKUP(A252,'Grocery and sales Data'!$A$1:$A$991,'Grocery and sales Data'!$I$1:$I$991)</f>
        <v>3.1</v>
      </c>
      <c r="E252">
        <f>_xlfn.XLOOKUP(A252,'Grocery and sales Data'!$A$1:$A$991,'Grocery and sales Data'!$R$1:$R$991)</f>
        <v>244.9</v>
      </c>
      <c r="F252" t="str">
        <f t="shared" si="3"/>
        <v>Medium</v>
      </c>
    </row>
    <row r="253" spans="1:6" ht="16" x14ac:dyDescent="0.4">
      <c r="A253" s="2" t="s">
        <v>1067</v>
      </c>
      <c r="B253" t="str">
        <f>_xlfn.XLOOKUP(A253,'Grocery and sales Data'!$A$1:$A$991,'Grocery and sales Data'!$B$1:$B$991)</f>
        <v>Kiwi</v>
      </c>
      <c r="C253" t="str">
        <f>_xlfn.XLOOKUP(A253,'Grocery and sales Data'!$A$1:$A$991,'Grocery and sales Data'!$C$1:$C$991)</f>
        <v>Fruits &amp; Vegetables</v>
      </c>
      <c r="D253" s="9">
        <f>_xlfn.XLOOKUP(A253,'Grocery and sales Data'!$A$1:$A$991,'Grocery and sales Data'!$I$1:$I$991)</f>
        <v>6</v>
      </c>
      <c r="E253">
        <f>_xlfn.XLOOKUP(A253,'Grocery and sales Data'!$A$1:$A$991,'Grocery and sales Data'!$R$1:$R$991)</f>
        <v>420</v>
      </c>
      <c r="F253" t="str">
        <f t="shared" si="3"/>
        <v>Medium</v>
      </c>
    </row>
    <row r="254" spans="1:6" ht="16" x14ac:dyDescent="0.4">
      <c r="A254" s="2" t="s">
        <v>1070</v>
      </c>
      <c r="B254" t="str">
        <f>_xlfn.XLOOKUP(A254,'Grocery and sales Data'!$A$1:$A$991,'Grocery and sales Data'!$B$1:$B$991)</f>
        <v>Coconut</v>
      </c>
      <c r="C254" t="str">
        <f>_xlfn.XLOOKUP(A254,'Grocery and sales Data'!$A$1:$A$991,'Grocery and sales Data'!$C$1:$C$991)</f>
        <v>Fruits &amp; Vegetables</v>
      </c>
      <c r="D254" s="9">
        <f>_xlfn.XLOOKUP(A254,'Grocery and sales Data'!$A$1:$A$991,'Grocery and sales Data'!$I$1:$I$991)</f>
        <v>5</v>
      </c>
      <c r="E254">
        <f>_xlfn.XLOOKUP(A254,'Grocery and sales Data'!$A$1:$A$991,'Grocery and sales Data'!$R$1:$R$991)</f>
        <v>480</v>
      </c>
      <c r="F254" t="str">
        <f t="shared" si="3"/>
        <v>Medium</v>
      </c>
    </row>
    <row r="255" spans="1:6" ht="16" x14ac:dyDescent="0.4">
      <c r="A255" s="2" t="s">
        <v>1074</v>
      </c>
      <c r="B255" t="str">
        <f>_xlfn.XLOOKUP(A255,'Grocery and sales Data'!$A$1:$A$991,'Grocery and sales Data'!$B$1:$B$991)</f>
        <v>Butter</v>
      </c>
      <c r="C255" t="str">
        <f>_xlfn.XLOOKUP(A255,'Grocery and sales Data'!$A$1:$A$991,'Grocery and sales Data'!$C$1:$C$991)</f>
        <v>Dairy</v>
      </c>
      <c r="D255" s="9">
        <f>_xlfn.XLOOKUP(A255,'Grocery and sales Data'!$A$1:$A$991,'Grocery and sales Data'!$I$1:$I$991)</f>
        <v>3</v>
      </c>
      <c r="E255">
        <f>_xlfn.XLOOKUP(A255,'Grocery and sales Data'!$A$1:$A$991,'Grocery and sales Data'!$R$1:$R$991)</f>
        <v>135</v>
      </c>
      <c r="F255" t="str">
        <f t="shared" si="3"/>
        <v>Medium</v>
      </c>
    </row>
    <row r="256" spans="1:6" ht="16" x14ac:dyDescent="0.4">
      <c r="A256" s="2" t="s">
        <v>1077</v>
      </c>
      <c r="B256" t="str">
        <f>_xlfn.XLOOKUP(A256,'Grocery and sales Data'!$A$1:$A$991,'Grocery and sales Data'!$B$1:$B$991)</f>
        <v>Bread Flour</v>
      </c>
      <c r="C256" t="str">
        <f>_xlfn.XLOOKUP(A256,'Grocery and sales Data'!$A$1:$A$991,'Grocery and sales Data'!$C$1:$C$991)</f>
        <v>Grains &amp; Pulses</v>
      </c>
      <c r="D256" s="9">
        <f>_xlfn.XLOOKUP(A256,'Grocery and sales Data'!$A$1:$A$991,'Grocery and sales Data'!$I$1:$I$991)</f>
        <v>1.5</v>
      </c>
      <c r="E256">
        <f>_xlfn.XLOOKUP(A256,'Grocery and sales Data'!$A$1:$A$991,'Grocery and sales Data'!$R$1:$R$991)</f>
        <v>79.5</v>
      </c>
      <c r="F256" t="str">
        <f t="shared" si="3"/>
        <v>Low</v>
      </c>
    </row>
    <row r="257" spans="1:6" ht="16" x14ac:dyDescent="0.4">
      <c r="A257" s="2" t="s">
        <v>1081</v>
      </c>
      <c r="B257" t="str">
        <f>_xlfn.XLOOKUP(A257,'Grocery and sales Data'!$A$1:$A$991,'Grocery and sales Data'!$B$1:$B$991)</f>
        <v>Broccoli</v>
      </c>
      <c r="C257" t="str">
        <f>_xlfn.XLOOKUP(A257,'Grocery and sales Data'!$A$1:$A$991,'Grocery and sales Data'!$C$1:$C$991)</f>
        <v>Fruits &amp; Vegetables</v>
      </c>
      <c r="D257" s="9">
        <f>_xlfn.XLOOKUP(A257,'Grocery and sales Data'!$A$1:$A$991,'Grocery and sales Data'!$I$1:$I$991)</f>
        <v>4</v>
      </c>
      <c r="E257">
        <f>_xlfn.XLOOKUP(A257,'Grocery and sales Data'!$A$1:$A$991,'Grocery and sales Data'!$R$1:$R$991)</f>
        <v>208</v>
      </c>
      <c r="F257" t="str">
        <f t="shared" si="3"/>
        <v>Medium</v>
      </c>
    </row>
    <row r="258" spans="1:6" ht="16" x14ac:dyDescent="0.4">
      <c r="A258" s="2" t="s">
        <v>1085</v>
      </c>
      <c r="B258" t="str">
        <f>_xlfn.XLOOKUP(A258,'Grocery and sales Data'!$A$1:$A$991,'Grocery and sales Data'!$B$1:$B$991)</f>
        <v>Sushi Rice</v>
      </c>
      <c r="C258" t="str">
        <f>_xlfn.XLOOKUP(A258,'Grocery and sales Data'!$A$1:$A$991,'Grocery and sales Data'!$C$1:$C$991)</f>
        <v>Grains &amp; Pulses</v>
      </c>
      <c r="D258" s="9">
        <f>_xlfn.XLOOKUP(A258,'Grocery and sales Data'!$A$1:$A$991,'Grocery and sales Data'!$I$1:$I$991)</f>
        <v>4.5</v>
      </c>
      <c r="E258">
        <f>_xlfn.XLOOKUP(A258,'Grocery and sales Data'!$A$1:$A$991,'Grocery and sales Data'!$R$1:$R$991)</f>
        <v>175.5</v>
      </c>
      <c r="F258" t="str">
        <f t="shared" si="3"/>
        <v>Medium</v>
      </c>
    </row>
    <row r="259" spans="1:6" ht="16" x14ac:dyDescent="0.4">
      <c r="A259" s="2" t="s">
        <v>1089</v>
      </c>
      <c r="B259" t="str">
        <f>_xlfn.XLOOKUP(A259,'Grocery and sales Data'!$A$1:$A$991,'Grocery and sales Data'!$B$1:$B$991)</f>
        <v>Rice Flour</v>
      </c>
      <c r="C259" t="str">
        <f>_xlfn.XLOOKUP(A259,'Grocery and sales Data'!$A$1:$A$991,'Grocery and sales Data'!$C$1:$C$991)</f>
        <v>Grains &amp; Pulses</v>
      </c>
      <c r="D259" s="9">
        <f>_xlfn.XLOOKUP(A259,'Grocery and sales Data'!$A$1:$A$991,'Grocery and sales Data'!$I$1:$I$991)</f>
        <v>2</v>
      </c>
      <c r="E259">
        <f>_xlfn.XLOOKUP(A259,'Grocery and sales Data'!$A$1:$A$991,'Grocery and sales Data'!$R$1:$R$991)</f>
        <v>76</v>
      </c>
      <c r="F259" t="str">
        <f t="shared" ref="F259:F322" si="4">IF(E259&gt;=1000,"High",IF(E259&gt;=100,"Medium","Low"))</f>
        <v>Low</v>
      </c>
    </row>
    <row r="260" spans="1:6" ht="16" x14ac:dyDescent="0.4">
      <c r="A260" s="2" t="s">
        <v>1092</v>
      </c>
      <c r="B260" t="str">
        <f>_xlfn.XLOOKUP(A260,'Grocery and sales Data'!$A$1:$A$991,'Grocery and sales Data'!$B$1:$B$991)</f>
        <v>Pear</v>
      </c>
      <c r="C260" t="str">
        <f>_xlfn.XLOOKUP(A260,'Grocery and sales Data'!$A$1:$A$991,'Grocery and sales Data'!$C$1:$C$991)</f>
        <v>Fruits &amp; Vegetables</v>
      </c>
      <c r="D260" s="9">
        <f>_xlfn.XLOOKUP(A260,'Grocery and sales Data'!$A$1:$A$991,'Grocery and sales Data'!$I$1:$I$991)</f>
        <v>4.5</v>
      </c>
      <c r="E260">
        <f>_xlfn.XLOOKUP(A260,'Grocery and sales Data'!$A$1:$A$991,'Grocery and sales Data'!$R$1:$R$991)</f>
        <v>256.5</v>
      </c>
      <c r="F260" t="str">
        <f t="shared" si="4"/>
        <v>Medium</v>
      </c>
    </row>
    <row r="261" spans="1:6" ht="16" x14ac:dyDescent="0.4">
      <c r="A261" s="2" t="s">
        <v>1096</v>
      </c>
      <c r="B261" t="str">
        <f>_xlfn.XLOOKUP(A261,'Grocery and sales Data'!$A$1:$A$991,'Grocery and sales Data'!$B$1:$B$991)</f>
        <v>Feta Cheese</v>
      </c>
      <c r="C261" t="str">
        <f>_xlfn.XLOOKUP(A261,'Grocery and sales Data'!$A$1:$A$991,'Grocery and sales Data'!$C$1:$C$991)</f>
        <v>Dairy</v>
      </c>
      <c r="D261" s="9">
        <f>_xlfn.XLOOKUP(A261,'Grocery and sales Data'!$A$1:$A$991,'Grocery and sales Data'!$I$1:$I$991)</f>
        <v>7</v>
      </c>
      <c r="E261">
        <f>_xlfn.XLOOKUP(A261,'Grocery and sales Data'!$A$1:$A$991,'Grocery and sales Data'!$R$1:$R$991)</f>
        <v>665</v>
      </c>
      <c r="F261" t="str">
        <f t="shared" si="4"/>
        <v>Medium</v>
      </c>
    </row>
    <row r="262" spans="1:6" ht="16" x14ac:dyDescent="0.4">
      <c r="A262" s="2" t="s">
        <v>1099</v>
      </c>
      <c r="B262" t="str">
        <f>_xlfn.XLOOKUP(A262,'Grocery and sales Data'!$A$1:$A$991,'Grocery and sales Data'!$B$1:$B$991)</f>
        <v>Milk</v>
      </c>
      <c r="C262" t="str">
        <f>_xlfn.XLOOKUP(A262,'Grocery and sales Data'!$A$1:$A$991,'Grocery and sales Data'!$C$1:$C$991)</f>
        <v>Dairy</v>
      </c>
      <c r="D262" s="9">
        <f>_xlfn.XLOOKUP(A262,'Grocery and sales Data'!$A$1:$A$991,'Grocery and sales Data'!$I$1:$I$991)</f>
        <v>1</v>
      </c>
      <c r="E262">
        <f>_xlfn.XLOOKUP(A262,'Grocery and sales Data'!$A$1:$A$991,'Grocery and sales Data'!$R$1:$R$991)</f>
        <v>84</v>
      </c>
      <c r="F262" t="str">
        <f t="shared" si="4"/>
        <v>Low</v>
      </c>
    </row>
    <row r="263" spans="1:6" ht="16" x14ac:dyDescent="0.4">
      <c r="A263" s="2" t="s">
        <v>1104</v>
      </c>
      <c r="B263" t="str">
        <f>_xlfn.XLOOKUP(A263,'Grocery and sales Data'!$A$1:$A$991,'Grocery and sales Data'!$B$1:$B$991)</f>
        <v>Palm Oil</v>
      </c>
      <c r="C263" t="str">
        <f>_xlfn.XLOOKUP(A263,'Grocery and sales Data'!$A$1:$A$991,'Grocery and sales Data'!$C$1:$C$991)</f>
        <v>Oils &amp; Fats</v>
      </c>
      <c r="D263" s="9">
        <f>_xlfn.XLOOKUP(A263,'Grocery and sales Data'!$A$1:$A$991,'Grocery and sales Data'!$I$1:$I$991)</f>
        <v>1.8</v>
      </c>
      <c r="E263">
        <f>_xlfn.XLOOKUP(A263,'Grocery and sales Data'!$A$1:$A$991,'Grocery and sales Data'!$R$1:$R$991)</f>
        <v>55.800000000000004</v>
      </c>
      <c r="F263" t="str">
        <f t="shared" si="4"/>
        <v>Low</v>
      </c>
    </row>
    <row r="264" spans="1:6" ht="16" x14ac:dyDescent="0.4">
      <c r="A264" s="2" t="s">
        <v>1107</v>
      </c>
      <c r="B264" t="str">
        <f>_xlfn.XLOOKUP(A264,'Grocery and sales Data'!$A$1:$A$991,'Grocery and sales Data'!$B$1:$B$991)</f>
        <v>Bread Flour</v>
      </c>
      <c r="C264" t="str">
        <f>_xlfn.XLOOKUP(A264,'Grocery and sales Data'!$A$1:$A$991,'Grocery and sales Data'!$C$1:$C$991)</f>
        <v>Grains &amp; Pulses</v>
      </c>
      <c r="D264" s="9">
        <f>_xlfn.XLOOKUP(A264,'Grocery and sales Data'!$A$1:$A$991,'Grocery and sales Data'!$I$1:$I$991)</f>
        <v>1.5</v>
      </c>
      <c r="E264">
        <f>_xlfn.XLOOKUP(A264,'Grocery and sales Data'!$A$1:$A$991,'Grocery and sales Data'!$R$1:$R$991)</f>
        <v>40.5</v>
      </c>
      <c r="F264" t="str">
        <f t="shared" si="4"/>
        <v>Low</v>
      </c>
    </row>
    <row r="265" spans="1:6" ht="16" x14ac:dyDescent="0.4">
      <c r="A265" s="2" t="s">
        <v>1111</v>
      </c>
      <c r="B265" t="str">
        <f>_xlfn.XLOOKUP(A265,'Grocery and sales Data'!$A$1:$A$991,'Grocery and sales Data'!$B$1:$B$991)</f>
        <v>Cheese</v>
      </c>
      <c r="C265" t="str">
        <f>_xlfn.XLOOKUP(A265,'Grocery and sales Data'!$A$1:$A$991,'Grocery and sales Data'!$C$1:$C$991)</f>
        <v>Dairy</v>
      </c>
      <c r="D265" s="9">
        <f>_xlfn.XLOOKUP(A265,'Grocery and sales Data'!$A$1:$A$991,'Grocery and sales Data'!$I$1:$I$991)</f>
        <v>9.1999999999999993</v>
      </c>
      <c r="E265">
        <f>_xlfn.XLOOKUP(A265,'Grocery and sales Data'!$A$1:$A$991,'Grocery and sales Data'!$R$1:$R$991)</f>
        <v>257.59999999999997</v>
      </c>
      <c r="F265" t="str">
        <f t="shared" si="4"/>
        <v>Medium</v>
      </c>
    </row>
    <row r="266" spans="1:6" ht="16" x14ac:dyDescent="0.4">
      <c r="A266" s="2" t="s">
        <v>1114</v>
      </c>
      <c r="B266" t="str">
        <f>_xlfn.XLOOKUP(A266,'Grocery and sales Data'!$A$1:$A$991,'Grocery and sales Data'!$B$1:$B$991)</f>
        <v>Carrot</v>
      </c>
      <c r="C266" t="str">
        <f>_xlfn.XLOOKUP(A266,'Grocery and sales Data'!$A$1:$A$991,'Grocery and sales Data'!$C$1:$C$991)</f>
        <v>Fruits &amp; Vegetables</v>
      </c>
      <c r="D266" s="9">
        <f>_xlfn.XLOOKUP(A266,'Grocery and sales Data'!$A$1:$A$991,'Grocery and sales Data'!$I$1:$I$991)</f>
        <v>1.5</v>
      </c>
      <c r="E266">
        <f>_xlfn.XLOOKUP(A266,'Grocery and sales Data'!$A$1:$A$991,'Grocery and sales Data'!$R$1:$R$991)</f>
        <v>100.5</v>
      </c>
      <c r="F266" t="str">
        <f t="shared" si="4"/>
        <v>Medium</v>
      </c>
    </row>
    <row r="267" spans="1:6" ht="16" x14ac:dyDescent="0.4">
      <c r="A267" s="2" t="s">
        <v>1118</v>
      </c>
      <c r="B267" t="str">
        <f>_xlfn.XLOOKUP(A267,'Grocery and sales Data'!$A$1:$A$991,'Grocery and sales Data'!$B$1:$B$991)</f>
        <v>Short Grain Rice</v>
      </c>
      <c r="C267" t="str">
        <f>_xlfn.XLOOKUP(A267,'Grocery and sales Data'!$A$1:$A$991,'Grocery and sales Data'!$C$1:$C$991)</f>
        <v>Grains &amp; Pulses</v>
      </c>
      <c r="D267" s="9">
        <f>_xlfn.XLOOKUP(A267,'Grocery and sales Data'!$A$1:$A$991,'Grocery and sales Data'!$I$1:$I$991)</f>
        <v>3</v>
      </c>
      <c r="E267">
        <f>_xlfn.XLOOKUP(A267,'Grocery and sales Data'!$A$1:$A$991,'Grocery and sales Data'!$R$1:$R$991)</f>
        <v>183</v>
      </c>
      <c r="F267" t="str">
        <f t="shared" si="4"/>
        <v>Medium</v>
      </c>
    </row>
    <row r="268" spans="1:6" ht="16" x14ac:dyDescent="0.4">
      <c r="A268" s="2" t="s">
        <v>1121</v>
      </c>
      <c r="B268" t="str">
        <f>_xlfn.XLOOKUP(A268,'Grocery and sales Data'!$A$1:$A$991,'Grocery and sales Data'!$B$1:$B$991)</f>
        <v>Arabica Coffee</v>
      </c>
      <c r="C268" t="str">
        <f>_xlfn.XLOOKUP(A268,'Grocery and sales Data'!$A$1:$A$991,'Grocery and sales Data'!$C$1:$C$991)</f>
        <v>Beverages</v>
      </c>
      <c r="D268" s="9">
        <f>_xlfn.XLOOKUP(A268,'Grocery and sales Data'!$A$1:$A$991,'Grocery and sales Data'!$I$1:$I$991)</f>
        <v>21</v>
      </c>
      <c r="E268">
        <f>_xlfn.XLOOKUP(A268,'Grocery and sales Data'!$A$1:$A$991,'Grocery and sales Data'!$R$1:$R$991)</f>
        <v>630</v>
      </c>
      <c r="F268" t="str">
        <f t="shared" si="4"/>
        <v>Medium</v>
      </c>
    </row>
    <row r="269" spans="1:6" ht="16" x14ac:dyDescent="0.4">
      <c r="A269" s="2" t="s">
        <v>1125</v>
      </c>
      <c r="B269" t="str">
        <f>_xlfn.XLOOKUP(A269,'Grocery and sales Data'!$A$1:$A$991,'Grocery and sales Data'!$B$1:$B$991)</f>
        <v>Grapes</v>
      </c>
      <c r="C269" t="str">
        <f>_xlfn.XLOOKUP(A269,'Grocery and sales Data'!$A$1:$A$991,'Grocery and sales Data'!$C$1:$C$991)</f>
        <v>Fruits &amp; Vegetables</v>
      </c>
      <c r="D269" s="9">
        <f>_xlfn.XLOOKUP(A269,'Grocery and sales Data'!$A$1:$A$991,'Grocery and sales Data'!$I$1:$I$991)</f>
        <v>5.5</v>
      </c>
      <c r="E269">
        <f>_xlfn.XLOOKUP(A269,'Grocery and sales Data'!$A$1:$A$991,'Grocery and sales Data'!$R$1:$R$991)</f>
        <v>511.5</v>
      </c>
      <c r="F269" t="str">
        <f t="shared" si="4"/>
        <v>Medium</v>
      </c>
    </row>
    <row r="270" spans="1:6" ht="16" x14ac:dyDescent="0.4">
      <c r="A270" s="2" t="s">
        <v>1130</v>
      </c>
      <c r="B270" t="str">
        <f>_xlfn.XLOOKUP(A270,'Grocery and sales Data'!$A$1:$A$991,'Grocery and sales Data'!$B$1:$B$991)</f>
        <v>Tilapia</v>
      </c>
      <c r="C270" t="str">
        <f>_xlfn.XLOOKUP(A270,'Grocery and sales Data'!$A$1:$A$991,'Grocery and sales Data'!$C$1:$C$991)</f>
        <v>Seafood</v>
      </c>
      <c r="D270" s="9">
        <f>_xlfn.XLOOKUP(A270,'Grocery and sales Data'!$A$1:$A$991,'Grocery and sales Data'!$I$1:$I$991)</f>
        <v>7</v>
      </c>
      <c r="E270">
        <f>_xlfn.XLOOKUP(A270,'Grocery and sales Data'!$A$1:$A$991,'Grocery and sales Data'!$R$1:$R$991)</f>
        <v>441</v>
      </c>
      <c r="F270" t="str">
        <f t="shared" si="4"/>
        <v>Medium</v>
      </c>
    </row>
    <row r="271" spans="1:6" ht="16" x14ac:dyDescent="0.4">
      <c r="A271" s="2" t="s">
        <v>1134</v>
      </c>
      <c r="B271" t="str">
        <f>_xlfn.XLOOKUP(A271,'Grocery and sales Data'!$A$1:$A$991,'Grocery and sales Data'!$B$1:$B$991)</f>
        <v>Olive Oil</v>
      </c>
      <c r="C271" t="str">
        <f>_xlfn.XLOOKUP(A271,'Grocery and sales Data'!$A$1:$A$991,'Grocery and sales Data'!$C$1:$C$991)</f>
        <v>Oils &amp; Fats</v>
      </c>
      <c r="D271" s="9">
        <f>_xlfn.XLOOKUP(A271,'Grocery and sales Data'!$A$1:$A$991,'Grocery and sales Data'!$I$1:$I$991)</f>
        <v>6</v>
      </c>
      <c r="E271">
        <f>_xlfn.XLOOKUP(A271,'Grocery and sales Data'!$A$1:$A$991,'Grocery and sales Data'!$R$1:$R$991)</f>
        <v>282</v>
      </c>
      <c r="F271" t="str">
        <f t="shared" si="4"/>
        <v>Medium</v>
      </c>
    </row>
    <row r="272" spans="1:6" ht="16" x14ac:dyDescent="0.4">
      <c r="A272" s="2" t="s">
        <v>1138</v>
      </c>
      <c r="B272" t="str">
        <f>_xlfn.XLOOKUP(A272,'Grocery and sales Data'!$A$1:$A$991,'Grocery and sales Data'!$B$1:$B$991)</f>
        <v>Robusta Coffee</v>
      </c>
      <c r="C272" t="str">
        <f>_xlfn.XLOOKUP(A272,'Grocery and sales Data'!$A$1:$A$991,'Grocery and sales Data'!$C$1:$C$991)</f>
        <v>Beverages</v>
      </c>
      <c r="D272" s="9">
        <f>_xlfn.XLOOKUP(A272,'Grocery and sales Data'!$A$1:$A$991,'Grocery and sales Data'!$I$1:$I$991)</f>
        <v>10.5</v>
      </c>
      <c r="E272">
        <f>_xlfn.XLOOKUP(A272,'Grocery and sales Data'!$A$1:$A$991,'Grocery and sales Data'!$R$1:$R$991)</f>
        <v>357</v>
      </c>
      <c r="F272" t="str">
        <f t="shared" si="4"/>
        <v>Medium</v>
      </c>
    </row>
    <row r="273" spans="1:6" ht="16" x14ac:dyDescent="0.4">
      <c r="A273" s="2" t="s">
        <v>1142</v>
      </c>
      <c r="B273" t="str">
        <f>_xlfn.XLOOKUP(A273,'Grocery and sales Data'!$A$1:$A$991,'Grocery and sales Data'!$B$1:$B$991)</f>
        <v>Peas</v>
      </c>
      <c r="C273" t="str">
        <f>_xlfn.XLOOKUP(A273,'Grocery and sales Data'!$A$1:$A$991,'Grocery and sales Data'!$C$1:$C$991)</f>
        <v>Fruits &amp; Vegetables</v>
      </c>
      <c r="D273" s="9">
        <f>_xlfn.XLOOKUP(A273,'Grocery and sales Data'!$A$1:$A$991,'Grocery and sales Data'!$I$1:$I$991)</f>
        <v>3</v>
      </c>
      <c r="E273">
        <f>_xlfn.XLOOKUP(A273,'Grocery and sales Data'!$A$1:$A$991,'Grocery and sales Data'!$R$1:$R$991)</f>
        <v>246</v>
      </c>
      <c r="F273" t="str">
        <f t="shared" si="4"/>
        <v>Medium</v>
      </c>
    </row>
    <row r="274" spans="1:6" ht="16" x14ac:dyDescent="0.4">
      <c r="A274" s="2" t="s">
        <v>1145</v>
      </c>
      <c r="B274" t="str">
        <f>_xlfn.XLOOKUP(A274,'Grocery and sales Data'!$A$1:$A$991,'Grocery and sales Data'!$B$1:$B$991)</f>
        <v>Brown Rice</v>
      </c>
      <c r="C274" t="str">
        <f>_xlfn.XLOOKUP(A274,'Grocery and sales Data'!$A$1:$A$991,'Grocery and sales Data'!$C$1:$C$991)</f>
        <v>Grains &amp; Pulses</v>
      </c>
      <c r="D274" s="9">
        <f>_xlfn.XLOOKUP(A274,'Grocery and sales Data'!$A$1:$A$991,'Grocery and sales Data'!$I$1:$I$991)</f>
        <v>2.5</v>
      </c>
      <c r="E274">
        <f>_xlfn.XLOOKUP(A274,'Grocery and sales Data'!$A$1:$A$991,'Grocery and sales Data'!$R$1:$R$991)</f>
        <v>112.5</v>
      </c>
      <c r="F274" t="str">
        <f t="shared" si="4"/>
        <v>Medium</v>
      </c>
    </row>
    <row r="275" spans="1:6" ht="16" x14ac:dyDescent="0.4">
      <c r="A275" s="2" t="s">
        <v>1149</v>
      </c>
      <c r="B275" t="str">
        <f>_xlfn.XLOOKUP(A275,'Grocery and sales Data'!$A$1:$A$991,'Grocery and sales Data'!$B$1:$B$991)</f>
        <v>Buttermilk</v>
      </c>
      <c r="C275" t="str">
        <f>_xlfn.XLOOKUP(A275,'Grocery and sales Data'!$A$1:$A$991,'Grocery and sales Data'!$C$1:$C$991)</f>
        <v>Dairy</v>
      </c>
      <c r="D275" s="9">
        <f>_xlfn.XLOOKUP(A275,'Grocery and sales Data'!$A$1:$A$991,'Grocery and sales Data'!$I$1:$I$991)</f>
        <v>2.4</v>
      </c>
      <c r="E275">
        <f>_xlfn.XLOOKUP(A275,'Grocery and sales Data'!$A$1:$A$991,'Grocery and sales Data'!$R$1:$R$991)</f>
        <v>50.4</v>
      </c>
      <c r="F275" t="str">
        <f t="shared" si="4"/>
        <v>Low</v>
      </c>
    </row>
    <row r="276" spans="1:6" ht="16" x14ac:dyDescent="0.4">
      <c r="A276" s="2" t="s">
        <v>1153</v>
      </c>
      <c r="B276" t="str">
        <f>_xlfn.XLOOKUP(A276,'Grocery and sales Data'!$A$1:$A$991,'Grocery and sales Data'!$B$1:$B$991)</f>
        <v>Mushrooms</v>
      </c>
      <c r="C276" t="str">
        <f>_xlfn.XLOOKUP(A276,'Grocery and sales Data'!$A$1:$A$991,'Grocery and sales Data'!$C$1:$C$991)</f>
        <v>Fruits &amp; Vegetables</v>
      </c>
      <c r="D276" s="9">
        <f>_xlfn.XLOOKUP(A276,'Grocery and sales Data'!$A$1:$A$991,'Grocery and sales Data'!$I$1:$I$991)</f>
        <v>6</v>
      </c>
      <c r="E276">
        <f>_xlfn.XLOOKUP(A276,'Grocery and sales Data'!$A$1:$A$991,'Grocery and sales Data'!$R$1:$R$991)</f>
        <v>330</v>
      </c>
      <c r="F276" t="str">
        <f t="shared" si="4"/>
        <v>Medium</v>
      </c>
    </row>
    <row r="277" spans="1:6" ht="16" x14ac:dyDescent="0.4">
      <c r="A277" s="2" t="s">
        <v>1156</v>
      </c>
      <c r="B277" t="str">
        <f>_xlfn.XLOOKUP(A277,'Grocery and sales Data'!$A$1:$A$991,'Grocery and sales Data'!$B$1:$B$991)</f>
        <v>Palm Oil</v>
      </c>
      <c r="C277" t="str">
        <f>_xlfn.XLOOKUP(A277,'Grocery and sales Data'!$A$1:$A$991,'Grocery and sales Data'!$C$1:$C$991)</f>
        <v>Oils &amp; Fats</v>
      </c>
      <c r="D277" s="9">
        <f>_xlfn.XLOOKUP(A277,'Grocery and sales Data'!$A$1:$A$991,'Grocery and sales Data'!$I$1:$I$991)</f>
        <v>1.8</v>
      </c>
      <c r="E277">
        <f>_xlfn.XLOOKUP(A277,'Grocery and sales Data'!$A$1:$A$991,'Grocery and sales Data'!$R$1:$R$991)</f>
        <v>111.60000000000001</v>
      </c>
      <c r="F277" t="str">
        <f t="shared" si="4"/>
        <v>Medium</v>
      </c>
    </row>
    <row r="278" spans="1:6" ht="16" x14ac:dyDescent="0.4">
      <c r="A278" s="2" t="s">
        <v>1159</v>
      </c>
      <c r="B278" t="str">
        <f>_xlfn.XLOOKUP(A278,'Grocery and sales Data'!$A$1:$A$991,'Grocery and sales Data'!$B$1:$B$991)</f>
        <v>Cucumber</v>
      </c>
      <c r="C278" t="str">
        <f>_xlfn.XLOOKUP(A278,'Grocery and sales Data'!$A$1:$A$991,'Grocery and sales Data'!$C$1:$C$991)</f>
        <v>Fruits &amp; Vegetables</v>
      </c>
      <c r="D278" s="9">
        <f>_xlfn.XLOOKUP(A278,'Grocery and sales Data'!$A$1:$A$991,'Grocery and sales Data'!$I$1:$I$991)</f>
        <v>1.8</v>
      </c>
      <c r="E278">
        <f>_xlfn.XLOOKUP(A278,'Grocery and sales Data'!$A$1:$A$991,'Grocery and sales Data'!$R$1:$R$991)</f>
        <v>39.6</v>
      </c>
      <c r="F278" t="str">
        <f t="shared" si="4"/>
        <v>Low</v>
      </c>
    </row>
    <row r="279" spans="1:6" ht="16" x14ac:dyDescent="0.4">
      <c r="A279" s="2" t="s">
        <v>1163</v>
      </c>
      <c r="B279" t="str">
        <f>_xlfn.XLOOKUP(A279,'Grocery and sales Data'!$A$1:$A$991,'Grocery and sales Data'!$B$1:$B$991)</f>
        <v>Swiss Cheese</v>
      </c>
      <c r="C279" t="str">
        <f>_xlfn.XLOOKUP(A279,'Grocery and sales Data'!$A$1:$A$991,'Grocery and sales Data'!$C$1:$C$991)</f>
        <v>Dairy</v>
      </c>
      <c r="D279" s="9">
        <f>_xlfn.XLOOKUP(A279,'Grocery and sales Data'!$A$1:$A$991,'Grocery and sales Data'!$I$1:$I$991)</f>
        <v>8</v>
      </c>
      <c r="E279">
        <f>_xlfn.XLOOKUP(A279,'Grocery and sales Data'!$A$1:$A$991,'Grocery and sales Data'!$R$1:$R$991)</f>
        <v>744</v>
      </c>
      <c r="F279" t="str">
        <f t="shared" si="4"/>
        <v>Medium</v>
      </c>
    </row>
    <row r="280" spans="1:6" ht="16" x14ac:dyDescent="0.4">
      <c r="A280" s="2" t="s">
        <v>1166</v>
      </c>
      <c r="B280" t="str">
        <f>_xlfn.XLOOKUP(A280,'Grocery and sales Data'!$A$1:$A$991,'Grocery and sales Data'!$B$1:$B$991)</f>
        <v>Halibut</v>
      </c>
      <c r="C280" t="str">
        <f>_xlfn.XLOOKUP(A280,'Grocery and sales Data'!$A$1:$A$991,'Grocery and sales Data'!$C$1:$C$991)</f>
        <v>Seafood</v>
      </c>
      <c r="D280" s="9">
        <f>_xlfn.XLOOKUP(A280,'Grocery and sales Data'!$A$1:$A$991,'Grocery and sales Data'!$I$1:$I$991)</f>
        <v>20</v>
      </c>
      <c r="E280">
        <f>_xlfn.XLOOKUP(A280,'Grocery and sales Data'!$A$1:$A$991,'Grocery and sales Data'!$R$1:$R$991)</f>
        <v>780</v>
      </c>
      <c r="F280" t="str">
        <f t="shared" si="4"/>
        <v>Medium</v>
      </c>
    </row>
    <row r="281" spans="1:6" ht="16" x14ac:dyDescent="0.4">
      <c r="A281" s="2" t="s">
        <v>1170</v>
      </c>
      <c r="B281" t="str">
        <f>_xlfn.XLOOKUP(A281,'Grocery and sales Data'!$A$1:$A$991,'Grocery and sales Data'!$B$1:$B$991)</f>
        <v>Trout</v>
      </c>
      <c r="C281" t="str">
        <f>_xlfn.XLOOKUP(A281,'Grocery and sales Data'!$A$1:$A$991,'Grocery and sales Data'!$C$1:$C$991)</f>
        <v>Seafood</v>
      </c>
      <c r="D281" s="9">
        <f>_xlfn.XLOOKUP(A281,'Grocery and sales Data'!$A$1:$A$991,'Grocery and sales Data'!$I$1:$I$991)</f>
        <v>11.5</v>
      </c>
      <c r="E281">
        <f>_xlfn.XLOOKUP(A281,'Grocery and sales Data'!$A$1:$A$991,'Grocery and sales Data'!$R$1:$R$991)</f>
        <v>1104</v>
      </c>
      <c r="F281" t="str">
        <f t="shared" si="4"/>
        <v>High</v>
      </c>
    </row>
    <row r="282" spans="1:6" ht="16" x14ac:dyDescent="0.4">
      <c r="A282" s="2" t="s">
        <v>1173</v>
      </c>
      <c r="B282" t="str">
        <f>_xlfn.XLOOKUP(A282,'Grocery and sales Data'!$A$1:$A$991,'Grocery and sales Data'!$B$1:$B$991)</f>
        <v>Vegetable Oil</v>
      </c>
      <c r="C282" t="str">
        <f>_xlfn.XLOOKUP(A282,'Grocery and sales Data'!$A$1:$A$991,'Grocery and sales Data'!$C$1:$C$991)</f>
        <v>Oils &amp; Fats</v>
      </c>
      <c r="D282" s="9">
        <f>_xlfn.XLOOKUP(A282,'Grocery and sales Data'!$A$1:$A$991,'Grocery and sales Data'!$I$1:$I$991)</f>
        <v>2</v>
      </c>
      <c r="E282">
        <f>_xlfn.XLOOKUP(A282,'Grocery and sales Data'!$A$1:$A$991,'Grocery and sales Data'!$R$1:$R$991)</f>
        <v>200</v>
      </c>
      <c r="F282" t="str">
        <f t="shared" si="4"/>
        <v>Medium</v>
      </c>
    </row>
    <row r="283" spans="1:6" ht="16" x14ac:dyDescent="0.4">
      <c r="A283" s="2" t="s">
        <v>1177</v>
      </c>
      <c r="B283" t="str">
        <f>_xlfn.XLOOKUP(A283,'Grocery and sales Data'!$A$1:$A$991,'Grocery and sales Data'!$B$1:$B$991)</f>
        <v>Digestive Biscuit</v>
      </c>
      <c r="C283" t="str">
        <f>_xlfn.XLOOKUP(A283,'Grocery and sales Data'!$A$1:$A$991,'Grocery and sales Data'!$C$1:$C$991)</f>
        <v>Bakery</v>
      </c>
      <c r="D283" s="9">
        <f>_xlfn.XLOOKUP(A283,'Grocery and sales Data'!$A$1:$A$991,'Grocery and sales Data'!$I$1:$I$991)</f>
        <v>4</v>
      </c>
      <c r="E283">
        <f>_xlfn.XLOOKUP(A283,'Grocery and sales Data'!$A$1:$A$991,'Grocery and sales Data'!$R$1:$R$991)</f>
        <v>252</v>
      </c>
      <c r="F283" t="str">
        <f t="shared" si="4"/>
        <v>Medium</v>
      </c>
    </row>
    <row r="284" spans="1:6" ht="16" x14ac:dyDescent="0.4">
      <c r="A284" s="2" t="s">
        <v>1181</v>
      </c>
      <c r="B284" t="str">
        <f>_xlfn.XLOOKUP(A284,'Grocery and sales Data'!$A$1:$A$991,'Grocery and sales Data'!$B$1:$B$991)</f>
        <v>Digestive Biscuit</v>
      </c>
      <c r="C284" t="str">
        <f>_xlfn.XLOOKUP(A284,'Grocery and sales Data'!$A$1:$A$991,'Grocery and sales Data'!$C$1:$C$991)</f>
        <v>Bakery</v>
      </c>
      <c r="D284" s="9">
        <f>_xlfn.XLOOKUP(A284,'Grocery and sales Data'!$A$1:$A$991,'Grocery and sales Data'!$I$1:$I$991)</f>
        <v>4</v>
      </c>
      <c r="E284">
        <f>_xlfn.XLOOKUP(A284,'Grocery and sales Data'!$A$1:$A$991,'Grocery and sales Data'!$R$1:$R$991)</f>
        <v>248</v>
      </c>
      <c r="F284" t="str">
        <f t="shared" si="4"/>
        <v>Medium</v>
      </c>
    </row>
    <row r="285" spans="1:6" ht="16" x14ac:dyDescent="0.4">
      <c r="A285" s="2" t="s">
        <v>1184</v>
      </c>
      <c r="B285" t="str">
        <f>_xlfn.XLOOKUP(A285,'Grocery and sales Data'!$A$1:$A$991,'Grocery and sales Data'!$B$1:$B$991)</f>
        <v>Apricot</v>
      </c>
      <c r="C285" t="str">
        <f>_xlfn.XLOOKUP(A285,'Grocery and sales Data'!$A$1:$A$991,'Grocery and sales Data'!$C$1:$C$991)</f>
        <v>Fruits &amp; Vegetables</v>
      </c>
      <c r="D285" s="9">
        <f>_xlfn.XLOOKUP(A285,'Grocery and sales Data'!$A$1:$A$991,'Grocery and sales Data'!$I$1:$I$991)</f>
        <v>5</v>
      </c>
      <c r="E285">
        <f>_xlfn.XLOOKUP(A285,'Grocery and sales Data'!$A$1:$A$991,'Grocery and sales Data'!$R$1:$R$991)</f>
        <v>165</v>
      </c>
      <c r="F285" t="str">
        <f t="shared" si="4"/>
        <v>Medium</v>
      </c>
    </row>
    <row r="286" spans="1:6" ht="16" x14ac:dyDescent="0.4">
      <c r="A286" s="2" t="s">
        <v>1188</v>
      </c>
      <c r="B286" t="str">
        <f>_xlfn.XLOOKUP(A286,'Grocery and sales Data'!$A$1:$A$991,'Grocery and sales Data'!$B$1:$B$991)</f>
        <v>Tilapia</v>
      </c>
      <c r="C286" t="str">
        <f>_xlfn.XLOOKUP(A286,'Grocery and sales Data'!$A$1:$A$991,'Grocery and sales Data'!$C$1:$C$991)</f>
        <v>Seafood</v>
      </c>
      <c r="D286" s="9">
        <f>_xlfn.XLOOKUP(A286,'Grocery and sales Data'!$A$1:$A$991,'Grocery and sales Data'!$I$1:$I$991)</f>
        <v>7</v>
      </c>
      <c r="E286">
        <f>_xlfn.XLOOKUP(A286,'Grocery and sales Data'!$A$1:$A$991,'Grocery and sales Data'!$R$1:$R$991)</f>
        <v>504</v>
      </c>
      <c r="F286" t="str">
        <f t="shared" si="4"/>
        <v>Medium</v>
      </c>
    </row>
    <row r="287" spans="1:6" ht="16" x14ac:dyDescent="0.4">
      <c r="A287" s="2" t="s">
        <v>1192</v>
      </c>
      <c r="B287" t="str">
        <f>_xlfn.XLOOKUP(A287,'Grocery and sales Data'!$A$1:$A$991,'Grocery and sales Data'!$B$1:$B$991)</f>
        <v>Evaporated Milk</v>
      </c>
      <c r="C287" t="str">
        <f>_xlfn.XLOOKUP(A287,'Grocery and sales Data'!$A$1:$A$991,'Grocery and sales Data'!$C$1:$C$991)</f>
        <v>Dairy</v>
      </c>
      <c r="D287" s="9">
        <f>_xlfn.XLOOKUP(A287,'Grocery and sales Data'!$A$1:$A$991,'Grocery and sales Data'!$I$1:$I$991)</f>
        <v>2</v>
      </c>
      <c r="E287">
        <f>_xlfn.XLOOKUP(A287,'Grocery and sales Data'!$A$1:$A$991,'Grocery and sales Data'!$R$1:$R$991)</f>
        <v>126</v>
      </c>
      <c r="F287" t="str">
        <f t="shared" si="4"/>
        <v>Medium</v>
      </c>
    </row>
    <row r="288" spans="1:6" ht="16" x14ac:dyDescent="0.4">
      <c r="A288" s="2" t="s">
        <v>1197</v>
      </c>
      <c r="B288" t="str">
        <f>_xlfn.XLOOKUP(A288,'Grocery and sales Data'!$A$1:$A$991,'Grocery and sales Data'!$B$1:$B$991)</f>
        <v>Green Tea</v>
      </c>
      <c r="C288" t="str">
        <f>_xlfn.XLOOKUP(A288,'Grocery and sales Data'!$A$1:$A$991,'Grocery and sales Data'!$C$1:$C$991)</f>
        <v>Beverages</v>
      </c>
      <c r="D288" s="9">
        <f>_xlfn.XLOOKUP(A288,'Grocery and sales Data'!$A$1:$A$991,'Grocery and sales Data'!$I$1:$I$991)</f>
        <v>7.6</v>
      </c>
      <c r="E288">
        <f>_xlfn.XLOOKUP(A288,'Grocery and sales Data'!$A$1:$A$991,'Grocery and sales Data'!$R$1:$R$991)</f>
        <v>729.59999999999991</v>
      </c>
      <c r="F288" t="str">
        <f t="shared" si="4"/>
        <v>Medium</v>
      </c>
    </row>
    <row r="289" spans="1:6" ht="16" x14ac:dyDescent="0.4">
      <c r="A289" s="2" t="s">
        <v>1201</v>
      </c>
      <c r="B289" t="str">
        <f>_xlfn.XLOOKUP(A289,'Grocery and sales Data'!$A$1:$A$991,'Grocery and sales Data'!$B$1:$B$991)</f>
        <v>Heavy Cream</v>
      </c>
      <c r="C289" t="str">
        <f>_xlfn.XLOOKUP(A289,'Grocery and sales Data'!$A$1:$A$991,'Grocery and sales Data'!$C$1:$C$991)</f>
        <v>Dairy</v>
      </c>
      <c r="D289" s="9">
        <f>_xlfn.XLOOKUP(A289,'Grocery and sales Data'!$A$1:$A$991,'Grocery and sales Data'!$I$1:$I$991)</f>
        <v>4</v>
      </c>
      <c r="E289">
        <f>_xlfn.XLOOKUP(A289,'Grocery and sales Data'!$A$1:$A$991,'Grocery and sales Data'!$R$1:$R$991)</f>
        <v>92</v>
      </c>
      <c r="F289" t="str">
        <f t="shared" si="4"/>
        <v>Low</v>
      </c>
    </row>
    <row r="290" spans="1:6" ht="16" x14ac:dyDescent="0.4">
      <c r="A290" s="2" t="s">
        <v>1205</v>
      </c>
      <c r="B290" t="str">
        <f>_xlfn.XLOOKUP(A290,'Grocery and sales Data'!$A$1:$A$991,'Grocery and sales Data'!$B$1:$B$991)</f>
        <v>Papaya</v>
      </c>
      <c r="C290" t="str">
        <f>_xlfn.XLOOKUP(A290,'Grocery and sales Data'!$A$1:$A$991,'Grocery and sales Data'!$C$1:$C$991)</f>
        <v>Fruits &amp; Vegetables</v>
      </c>
      <c r="D290" s="9">
        <f>_xlfn.XLOOKUP(A290,'Grocery and sales Data'!$A$1:$A$991,'Grocery and sales Data'!$I$1:$I$991)</f>
        <v>4.5</v>
      </c>
      <c r="E290">
        <f>_xlfn.XLOOKUP(A290,'Grocery and sales Data'!$A$1:$A$991,'Grocery and sales Data'!$R$1:$R$991)</f>
        <v>283.5</v>
      </c>
      <c r="F290" t="str">
        <f t="shared" si="4"/>
        <v>Medium</v>
      </c>
    </row>
    <row r="291" spans="1:6" ht="16" x14ac:dyDescent="0.4">
      <c r="A291" s="2" t="s">
        <v>1209</v>
      </c>
      <c r="B291" t="str">
        <f>_xlfn.XLOOKUP(A291,'Grocery and sales Data'!$A$1:$A$991,'Grocery and sales Data'!$B$1:$B$991)</f>
        <v>Blueberries</v>
      </c>
      <c r="C291" t="str">
        <f>_xlfn.XLOOKUP(A291,'Grocery and sales Data'!$A$1:$A$991,'Grocery and sales Data'!$C$1:$C$991)</f>
        <v>Fruits &amp; Vegetables</v>
      </c>
      <c r="D291" s="9">
        <f>_xlfn.XLOOKUP(A291,'Grocery and sales Data'!$A$1:$A$991,'Grocery and sales Data'!$I$1:$I$991)</f>
        <v>10</v>
      </c>
      <c r="E291">
        <f>_xlfn.XLOOKUP(A291,'Grocery and sales Data'!$A$1:$A$991,'Grocery and sales Data'!$R$1:$R$991)</f>
        <v>790</v>
      </c>
      <c r="F291" t="str">
        <f t="shared" si="4"/>
        <v>Medium</v>
      </c>
    </row>
    <row r="292" spans="1:6" ht="16" x14ac:dyDescent="0.4">
      <c r="A292" s="2" t="s">
        <v>1212</v>
      </c>
      <c r="B292" t="str">
        <f>_xlfn.XLOOKUP(A292,'Grocery and sales Data'!$A$1:$A$991,'Grocery and sales Data'!$B$1:$B$991)</f>
        <v>Blueberries</v>
      </c>
      <c r="C292" t="str">
        <f>_xlfn.XLOOKUP(A292,'Grocery and sales Data'!$A$1:$A$991,'Grocery and sales Data'!$C$1:$C$991)</f>
        <v>Fruits &amp; Vegetables</v>
      </c>
      <c r="D292" s="9">
        <f>_xlfn.XLOOKUP(A292,'Grocery and sales Data'!$A$1:$A$991,'Grocery and sales Data'!$I$1:$I$991)</f>
        <v>10</v>
      </c>
      <c r="E292">
        <f>_xlfn.XLOOKUP(A292,'Grocery and sales Data'!$A$1:$A$991,'Grocery and sales Data'!$R$1:$R$991)</f>
        <v>550</v>
      </c>
      <c r="F292" t="str">
        <f t="shared" si="4"/>
        <v>Medium</v>
      </c>
    </row>
    <row r="293" spans="1:6" ht="16" x14ac:dyDescent="0.4">
      <c r="A293" s="2" t="s">
        <v>1215</v>
      </c>
      <c r="B293" t="str">
        <f>_xlfn.XLOOKUP(A293,'Grocery and sales Data'!$A$1:$A$991,'Grocery and sales Data'!$B$1:$B$991)</f>
        <v>Plum</v>
      </c>
      <c r="C293" t="str">
        <f>_xlfn.XLOOKUP(A293,'Grocery and sales Data'!$A$1:$A$991,'Grocery and sales Data'!$C$1:$C$991)</f>
        <v>Fruits &amp; Vegetables</v>
      </c>
      <c r="D293" s="9">
        <f>_xlfn.XLOOKUP(A293,'Grocery and sales Data'!$A$1:$A$991,'Grocery and sales Data'!$I$1:$I$991)</f>
        <v>3.9</v>
      </c>
      <c r="E293">
        <f>_xlfn.XLOOKUP(A293,'Grocery and sales Data'!$A$1:$A$991,'Grocery and sales Data'!$R$1:$R$991)</f>
        <v>156</v>
      </c>
      <c r="F293" t="str">
        <f t="shared" si="4"/>
        <v>Medium</v>
      </c>
    </row>
    <row r="294" spans="1:6" ht="16" x14ac:dyDescent="0.4">
      <c r="A294" s="2" t="s">
        <v>1218</v>
      </c>
      <c r="B294" t="str">
        <f>_xlfn.XLOOKUP(A294,'Grocery and sales Data'!$A$1:$A$991,'Grocery and sales Data'!$B$1:$B$991)</f>
        <v>Yogurt</v>
      </c>
      <c r="C294" t="str">
        <f>_xlfn.XLOOKUP(A294,'Grocery and sales Data'!$A$1:$A$991,'Grocery and sales Data'!$C$1:$C$991)</f>
        <v>Dairy</v>
      </c>
      <c r="D294" s="9">
        <f>_xlfn.XLOOKUP(A294,'Grocery and sales Data'!$A$1:$A$991,'Grocery and sales Data'!$I$1:$I$991)</f>
        <v>1.75</v>
      </c>
      <c r="E294">
        <f>_xlfn.XLOOKUP(A294,'Grocery and sales Data'!$A$1:$A$991,'Grocery and sales Data'!$R$1:$R$991)</f>
        <v>161</v>
      </c>
      <c r="F294" t="str">
        <f t="shared" si="4"/>
        <v>Medium</v>
      </c>
    </row>
    <row r="295" spans="1:6" ht="16" x14ac:dyDescent="0.4">
      <c r="A295" s="2" t="s">
        <v>1223</v>
      </c>
      <c r="B295" t="str">
        <f>_xlfn.XLOOKUP(A295,'Grocery and sales Data'!$A$1:$A$991,'Grocery and sales Data'!$B$1:$B$991)</f>
        <v>Onion</v>
      </c>
      <c r="C295" t="str">
        <f>_xlfn.XLOOKUP(A295,'Grocery and sales Data'!$A$1:$A$991,'Grocery and sales Data'!$C$1:$C$991)</f>
        <v>Fruits &amp; Vegetables</v>
      </c>
      <c r="D295" s="9">
        <f>_xlfn.XLOOKUP(A295,'Grocery and sales Data'!$A$1:$A$991,'Grocery and sales Data'!$I$1:$I$991)</f>
        <v>2</v>
      </c>
      <c r="E295">
        <f>_xlfn.XLOOKUP(A295,'Grocery and sales Data'!$A$1:$A$991,'Grocery and sales Data'!$R$1:$R$991)</f>
        <v>180</v>
      </c>
      <c r="F295" t="str">
        <f t="shared" si="4"/>
        <v>Medium</v>
      </c>
    </row>
    <row r="296" spans="1:6" ht="16" x14ac:dyDescent="0.4">
      <c r="A296" s="2" t="s">
        <v>1227</v>
      </c>
      <c r="B296" t="str">
        <f>_xlfn.XLOOKUP(A296,'Grocery and sales Data'!$A$1:$A$991,'Grocery and sales Data'!$B$1:$B$991)</f>
        <v>Tuna</v>
      </c>
      <c r="C296" t="str">
        <f>_xlfn.XLOOKUP(A296,'Grocery and sales Data'!$A$1:$A$991,'Grocery and sales Data'!$C$1:$C$991)</f>
        <v>Seafood</v>
      </c>
      <c r="D296" s="9">
        <f>_xlfn.XLOOKUP(A296,'Grocery and sales Data'!$A$1:$A$991,'Grocery and sales Data'!$I$1:$I$991)</f>
        <v>18</v>
      </c>
      <c r="E296">
        <f>_xlfn.XLOOKUP(A296,'Grocery and sales Data'!$A$1:$A$991,'Grocery and sales Data'!$R$1:$R$991)</f>
        <v>558</v>
      </c>
      <c r="F296" t="str">
        <f t="shared" si="4"/>
        <v>Medium</v>
      </c>
    </row>
    <row r="297" spans="1:6" ht="16" x14ac:dyDescent="0.4">
      <c r="A297" s="2" t="s">
        <v>1230</v>
      </c>
      <c r="B297" t="str">
        <f>_xlfn.XLOOKUP(A297,'Grocery and sales Data'!$A$1:$A$991,'Grocery and sales Data'!$B$1:$B$991)</f>
        <v>Anchovies</v>
      </c>
      <c r="C297" t="str">
        <f>_xlfn.XLOOKUP(A297,'Grocery and sales Data'!$A$1:$A$991,'Grocery and sales Data'!$C$1:$C$991)</f>
        <v>Seafood</v>
      </c>
      <c r="D297" s="9">
        <f>_xlfn.XLOOKUP(A297,'Grocery and sales Data'!$A$1:$A$991,'Grocery and sales Data'!$I$1:$I$991)</f>
        <v>10</v>
      </c>
      <c r="E297">
        <f>_xlfn.XLOOKUP(A297,'Grocery and sales Data'!$A$1:$A$991,'Grocery and sales Data'!$R$1:$R$991)</f>
        <v>950</v>
      </c>
      <c r="F297" t="str">
        <f t="shared" si="4"/>
        <v>Medium</v>
      </c>
    </row>
    <row r="298" spans="1:6" ht="16" x14ac:dyDescent="0.4">
      <c r="A298" s="2" t="s">
        <v>1234</v>
      </c>
      <c r="B298" t="str">
        <f>_xlfn.XLOOKUP(A298,'Grocery and sales Data'!$A$1:$A$991,'Grocery and sales Data'!$B$1:$B$991)</f>
        <v>Apple</v>
      </c>
      <c r="C298" t="str">
        <f>_xlfn.XLOOKUP(A298,'Grocery and sales Data'!$A$1:$A$991,'Grocery and sales Data'!$C$1:$C$991)</f>
        <v>Fruits &amp; Vegetables</v>
      </c>
      <c r="D298" s="9">
        <f>_xlfn.XLOOKUP(A298,'Grocery and sales Data'!$A$1:$A$991,'Grocery and sales Data'!$I$1:$I$991)</f>
        <v>3.5</v>
      </c>
      <c r="E298">
        <f>_xlfn.XLOOKUP(A298,'Grocery and sales Data'!$A$1:$A$991,'Grocery and sales Data'!$R$1:$R$991)</f>
        <v>147</v>
      </c>
      <c r="F298" t="str">
        <f t="shared" si="4"/>
        <v>Medium</v>
      </c>
    </row>
    <row r="299" spans="1:6" ht="16" x14ac:dyDescent="0.4">
      <c r="A299" s="2" t="s">
        <v>1238</v>
      </c>
      <c r="B299" t="str">
        <f>_xlfn.XLOOKUP(A299,'Grocery and sales Data'!$A$1:$A$991,'Grocery and sales Data'!$B$1:$B$991)</f>
        <v>Watermelon</v>
      </c>
      <c r="C299" t="str">
        <f>_xlfn.XLOOKUP(A299,'Grocery and sales Data'!$A$1:$A$991,'Grocery and sales Data'!$C$1:$C$991)</f>
        <v>Fruits &amp; Vegetables</v>
      </c>
      <c r="D299" s="9">
        <f>_xlfn.XLOOKUP(A299,'Grocery and sales Data'!$A$1:$A$991,'Grocery and sales Data'!$I$1:$I$991)</f>
        <v>3</v>
      </c>
      <c r="E299">
        <f>_xlfn.XLOOKUP(A299,'Grocery and sales Data'!$A$1:$A$991,'Grocery and sales Data'!$R$1:$R$991)</f>
        <v>243</v>
      </c>
      <c r="F299" t="str">
        <f t="shared" si="4"/>
        <v>Medium</v>
      </c>
    </row>
    <row r="300" spans="1:6" ht="16" x14ac:dyDescent="0.4">
      <c r="A300" s="2" t="s">
        <v>1241</v>
      </c>
      <c r="B300" t="str">
        <f>_xlfn.XLOOKUP(A300,'Grocery and sales Data'!$A$1:$A$991,'Grocery and sales Data'!$B$1:$B$991)</f>
        <v>Cauliflower</v>
      </c>
      <c r="C300" t="str">
        <f>_xlfn.XLOOKUP(A300,'Grocery and sales Data'!$A$1:$A$991,'Grocery and sales Data'!$C$1:$C$991)</f>
        <v>Fruits &amp; Vegetables</v>
      </c>
      <c r="D300" s="9">
        <f>_xlfn.XLOOKUP(A300,'Grocery and sales Data'!$A$1:$A$991,'Grocery and sales Data'!$I$1:$I$991)</f>
        <v>2.5</v>
      </c>
      <c r="E300">
        <f>_xlfn.XLOOKUP(A300,'Grocery and sales Data'!$A$1:$A$991,'Grocery and sales Data'!$R$1:$R$991)</f>
        <v>140</v>
      </c>
      <c r="F300" t="str">
        <f t="shared" si="4"/>
        <v>Medium</v>
      </c>
    </row>
    <row r="301" spans="1:6" ht="16" x14ac:dyDescent="0.4">
      <c r="A301" s="2" t="s">
        <v>1245</v>
      </c>
      <c r="B301" t="str">
        <f>_xlfn.XLOOKUP(A301,'Grocery and sales Data'!$A$1:$A$991,'Grocery and sales Data'!$B$1:$B$991)</f>
        <v>Greek Yogurt</v>
      </c>
      <c r="C301" t="str">
        <f>_xlfn.XLOOKUP(A301,'Grocery and sales Data'!$A$1:$A$991,'Grocery and sales Data'!$C$1:$C$991)</f>
        <v>Dairy</v>
      </c>
      <c r="D301" s="9">
        <f>_xlfn.XLOOKUP(A301,'Grocery and sales Data'!$A$1:$A$991,'Grocery and sales Data'!$I$1:$I$991)</f>
        <v>3</v>
      </c>
      <c r="E301">
        <f>_xlfn.XLOOKUP(A301,'Grocery and sales Data'!$A$1:$A$991,'Grocery and sales Data'!$R$1:$R$991)</f>
        <v>75</v>
      </c>
      <c r="F301" t="str">
        <f t="shared" si="4"/>
        <v>Low</v>
      </c>
    </row>
    <row r="302" spans="1:6" ht="16" x14ac:dyDescent="0.4">
      <c r="A302" s="2" t="s">
        <v>1249</v>
      </c>
      <c r="B302" t="str">
        <f>_xlfn.XLOOKUP(A302,'Grocery and sales Data'!$A$1:$A$991,'Grocery and sales Data'!$B$1:$B$991)</f>
        <v>Haddock</v>
      </c>
      <c r="C302" t="str">
        <f>_xlfn.XLOOKUP(A302,'Grocery and sales Data'!$A$1:$A$991,'Grocery and sales Data'!$C$1:$C$991)</f>
        <v>Seafood</v>
      </c>
      <c r="D302" s="9">
        <f>_xlfn.XLOOKUP(A302,'Grocery and sales Data'!$A$1:$A$991,'Grocery and sales Data'!$I$1:$I$991)</f>
        <v>9</v>
      </c>
      <c r="E302">
        <f>_xlfn.XLOOKUP(A302,'Grocery and sales Data'!$A$1:$A$991,'Grocery and sales Data'!$R$1:$R$991)</f>
        <v>540</v>
      </c>
      <c r="F302" t="str">
        <f t="shared" si="4"/>
        <v>Medium</v>
      </c>
    </row>
    <row r="303" spans="1:6" ht="16" x14ac:dyDescent="0.4">
      <c r="A303" s="2" t="s">
        <v>1253</v>
      </c>
      <c r="B303" t="str">
        <f>_xlfn.XLOOKUP(A303,'Grocery and sales Data'!$A$1:$A$991,'Grocery and sales Data'!$B$1:$B$991)</f>
        <v>Blueberries</v>
      </c>
      <c r="C303" t="str">
        <f>_xlfn.XLOOKUP(A303,'Grocery and sales Data'!$A$1:$A$991,'Grocery and sales Data'!$C$1:$C$991)</f>
        <v>Fruits &amp; Vegetables</v>
      </c>
      <c r="D303" s="9">
        <f>_xlfn.XLOOKUP(A303,'Grocery and sales Data'!$A$1:$A$991,'Grocery and sales Data'!$I$1:$I$991)</f>
        <v>10</v>
      </c>
      <c r="E303">
        <f>_xlfn.XLOOKUP(A303,'Grocery and sales Data'!$A$1:$A$991,'Grocery and sales Data'!$R$1:$R$991)</f>
        <v>480</v>
      </c>
      <c r="F303" t="str">
        <f t="shared" si="4"/>
        <v>Medium</v>
      </c>
    </row>
    <row r="304" spans="1:6" ht="16" x14ac:dyDescent="0.4">
      <c r="A304" s="2" t="s">
        <v>1256</v>
      </c>
      <c r="B304" t="str">
        <f>_xlfn.XLOOKUP(A304,'Grocery and sales Data'!$A$1:$A$991,'Grocery and sales Data'!$B$1:$B$991)</f>
        <v>Strawberries</v>
      </c>
      <c r="C304" t="str">
        <f>_xlfn.XLOOKUP(A304,'Grocery and sales Data'!$A$1:$A$991,'Grocery and sales Data'!$C$1:$C$991)</f>
        <v>Fruits &amp; Vegetables</v>
      </c>
      <c r="D304" s="9">
        <f>_xlfn.XLOOKUP(A304,'Grocery and sales Data'!$A$1:$A$991,'Grocery and sales Data'!$I$1:$I$991)</f>
        <v>6</v>
      </c>
      <c r="E304">
        <f>_xlfn.XLOOKUP(A304,'Grocery and sales Data'!$A$1:$A$991,'Grocery and sales Data'!$R$1:$R$991)</f>
        <v>240</v>
      </c>
      <c r="F304" t="str">
        <f t="shared" si="4"/>
        <v>Medium</v>
      </c>
    </row>
    <row r="305" spans="1:6" ht="16" x14ac:dyDescent="0.4">
      <c r="A305" s="2" t="s">
        <v>1260</v>
      </c>
      <c r="B305" t="str">
        <f>_xlfn.XLOOKUP(A305,'Grocery and sales Data'!$A$1:$A$991,'Grocery and sales Data'!$B$1:$B$991)</f>
        <v>Kiwi</v>
      </c>
      <c r="C305" t="str">
        <f>_xlfn.XLOOKUP(A305,'Grocery and sales Data'!$A$1:$A$991,'Grocery and sales Data'!$C$1:$C$991)</f>
        <v>Fruits &amp; Vegetables</v>
      </c>
      <c r="D305" s="9">
        <f>_xlfn.XLOOKUP(A305,'Grocery and sales Data'!$A$1:$A$991,'Grocery and sales Data'!$I$1:$I$991)</f>
        <v>6</v>
      </c>
      <c r="E305">
        <f>_xlfn.XLOOKUP(A305,'Grocery and sales Data'!$A$1:$A$991,'Grocery and sales Data'!$R$1:$R$991)</f>
        <v>420</v>
      </c>
      <c r="F305" t="str">
        <f t="shared" si="4"/>
        <v>Medium</v>
      </c>
    </row>
    <row r="306" spans="1:6" ht="16" x14ac:dyDescent="0.4">
      <c r="A306" s="2" t="s">
        <v>1264</v>
      </c>
      <c r="B306" t="str">
        <f>_xlfn.XLOOKUP(A306,'Grocery and sales Data'!$A$1:$A$991,'Grocery and sales Data'!$B$1:$B$991)</f>
        <v>Coconut Sugar</v>
      </c>
      <c r="C306" t="str">
        <f>_xlfn.XLOOKUP(A306,'Grocery and sales Data'!$A$1:$A$991,'Grocery and sales Data'!$C$1:$C$991)</f>
        <v>Grains &amp; Pulses</v>
      </c>
      <c r="D306" s="9">
        <f>_xlfn.XLOOKUP(A306,'Grocery and sales Data'!$A$1:$A$991,'Grocery and sales Data'!$I$1:$I$991)</f>
        <v>5</v>
      </c>
      <c r="E306">
        <f>_xlfn.XLOOKUP(A306,'Grocery and sales Data'!$A$1:$A$991,'Grocery and sales Data'!$R$1:$R$991)</f>
        <v>355</v>
      </c>
      <c r="F306" t="str">
        <f t="shared" si="4"/>
        <v>Medium</v>
      </c>
    </row>
    <row r="307" spans="1:6" ht="16" x14ac:dyDescent="0.4">
      <c r="A307" s="2" t="s">
        <v>1268</v>
      </c>
      <c r="B307" t="str">
        <f>_xlfn.XLOOKUP(A307,'Grocery and sales Data'!$A$1:$A$991,'Grocery and sales Data'!$B$1:$B$991)</f>
        <v>Tomato</v>
      </c>
      <c r="C307" t="str">
        <f>_xlfn.XLOOKUP(A307,'Grocery and sales Data'!$A$1:$A$991,'Grocery and sales Data'!$C$1:$C$991)</f>
        <v>Fruits &amp; Vegetables</v>
      </c>
      <c r="D307" s="9">
        <f>_xlfn.XLOOKUP(A307,'Grocery and sales Data'!$A$1:$A$991,'Grocery and sales Data'!$I$1:$I$991)</f>
        <v>2.5</v>
      </c>
      <c r="E307">
        <f>_xlfn.XLOOKUP(A307,'Grocery and sales Data'!$A$1:$A$991,'Grocery and sales Data'!$R$1:$R$991)</f>
        <v>215</v>
      </c>
      <c r="F307" t="str">
        <f t="shared" si="4"/>
        <v>Medium</v>
      </c>
    </row>
    <row r="308" spans="1:6" ht="16" x14ac:dyDescent="0.4">
      <c r="A308" s="2" t="s">
        <v>1272</v>
      </c>
      <c r="B308" t="str">
        <f>_xlfn.XLOOKUP(A308,'Grocery and sales Data'!$A$1:$A$991,'Grocery and sales Data'!$B$1:$B$991)</f>
        <v>Cheese</v>
      </c>
      <c r="C308" t="str">
        <f>_xlfn.XLOOKUP(A308,'Grocery and sales Data'!$A$1:$A$991,'Grocery and sales Data'!$C$1:$C$991)</f>
        <v>Dairy</v>
      </c>
      <c r="D308" s="9">
        <f>_xlfn.XLOOKUP(A308,'Grocery and sales Data'!$A$1:$A$991,'Grocery and sales Data'!$I$1:$I$991)</f>
        <v>9</v>
      </c>
      <c r="E308">
        <f>_xlfn.XLOOKUP(A308,'Grocery and sales Data'!$A$1:$A$991,'Grocery and sales Data'!$R$1:$R$991)</f>
        <v>792</v>
      </c>
      <c r="F308" t="str">
        <f t="shared" si="4"/>
        <v>Medium</v>
      </c>
    </row>
    <row r="309" spans="1:6" ht="16" x14ac:dyDescent="0.4">
      <c r="A309" s="2" t="s">
        <v>1275</v>
      </c>
      <c r="B309" t="str">
        <f>_xlfn.XLOOKUP(A309,'Grocery and sales Data'!$A$1:$A$991,'Grocery and sales Data'!$B$1:$B$991)</f>
        <v>Milk</v>
      </c>
      <c r="C309" t="str">
        <f>_xlfn.XLOOKUP(A309,'Grocery and sales Data'!$A$1:$A$991,'Grocery and sales Data'!$C$1:$C$991)</f>
        <v>Dairy</v>
      </c>
      <c r="D309" s="9">
        <f>_xlfn.XLOOKUP(A309,'Grocery and sales Data'!$A$1:$A$991,'Grocery and sales Data'!$I$1:$I$991)</f>
        <v>1</v>
      </c>
      <c r="E309">
        <f>_xlfn.XLOOKUP(A309,'Grocery and sales Data'!$A$1:$A$991,'Grocery and sales Data'!$R$1:$R$991)</f>
        <v>24</v>
      </c>
      <c r="F309" t="str">
        <f t="shared" si="4"/>
        <v>Low</v>
      </c>
    </row>
    <row r="310" spans="1:6" ht="16" x14ac:dyDescent="0.4">
      <c r="A310" s="2" t="s">
        <v>1278</v>
      </c>
      <c r="B310" t="str">
        <f>_xlfn.XLOOKUP(A310,'Grocery and sales Data'!$A$1:$A$991,'Grocery and sales Data'!$B$1:$B$991)</f>
        <v>Green Coffee</v>
      </c>
      <c r="C310" t="str">
        <f>_xlfn.XLOOKUP(A310,'Grocery and sales Data'!$A$1:$A$991,'Grocery and sales Data'!$C$1:$C$991)</f>
        <v>Beverages</v>
      </c>
      <c r="D310" s="9">
        <f>_xlfn.XLOOKUP(A310,'Grocery and sales Data'!$A$1:$A$991,'Grocery and sales Data'!$I$1:$I$991)</f>
        <v>12</v>
      </c>
      <c r="E310">
        <f>_xlfn.XLOOKUP(A310,'Grocery and sales Data'!$A$1:$A$991,'Grocery and sales Data'!$R$1:$R$991)</f>
        <v>1056</v>
      </c>
      <c r="F310" t="str">
        <f t="shared" si="4"/>
        <v>High</v>
      </c>
    </row>
    <row r="311" spans="1:6" ht="16" x14ac:dyDescent="0.4">
      <c r="A311" s="2" t="s">
        <v>1282</v>
      </c>
      <c r="B311" t="str">
        <f>_xlfn.XLOOKUP(A311,'Grocery and sales Data'!$A$1:$A$991,'Grocery and sales Data'!$B$1:$B$991)</f>
        <v>Eggplant</v>
      </c>
      <c r="C311" t="str">
        <f>_xlfn.XLOOKUP(A311,'Grocery and sales Data'!$A$1:$A$991,'Grocery and sales Data'!$C$1:$C$991)</f>
        <v>Fruits &amp; Vegetables</v>
      </c>
      <c r="D311" s="9">
        <f>_xlfn.XLOOKUP(A311,'Grocery and sales Data'!$A$1:$A$991,'Grocery and sales Data'!$I$1:$I$991)</f>
        <v>3</v>
      </c>
      <c r="E311">
        <f>_xlfn.XLOOKUP(A311,'Grocery and sales Data'!$A$1:$A$991,'Grocery and sales Data'!$R$1:$R$991)</f>
        <v>126</v>
      </c>
      <c r="F311" t="str">
        <f t="shared" si="4"/>
        <v>Medium</v>
      </c>
    </row>
    <row r="312" spans="1:6" ht="16" x14ac:dyDescent="0.4">
      <c r="A312" s="2" t="s">
        <v>1286</v>
      </c>
      <c r="B312" t="str">
        <f>_xlfn.XLOOKUP(A312,'Grocery and sales Data'!$A$1:$A$991,'Grocery and sales Data'!$B$1:$B$991)</f>
        <v>Grapes</v>
      </c>
      <c r="C312" t="str">
        <f>_xlfn.XLOOKUP(A312,'Grocery and sales Data'!$A$1:$A$991,'Grocery and sales Data'!$C$1:$C$991)</f>
        <v>Fruits &amp; Vegetables</v>
      </c>
      <c r="D312" s="9">
        <f>_xlfn.XLOOKUP(A312,'Grocery and sales Data'!$A$1:$A$991,'Grocery and sales Data'!$I$1:$I$991)</f>
        <v>5.5</v>
      </c>
      <c r="E312">
        <f>_xlfn.XLOOKUP(A312,'Grocery and sales Data'!$A$1:$A$991,'Grocery and sales Data'!$R$1:$R$991)</f>
        <v>214.5</v>
      </c>
      <c r="F312" t="str">
        <f t="shared" si="4"/>
        <v>Medium</v>
      </c>
    </row>
    <row r="313" spans="1:6" ht="16" x14ac:dyDescent="0.4">
      <c r="A313" s="2" t="s">
        <v>1290</v>
      </c>
      <c r="B313" t="str">
        <f>_xlfn.XLOOKUP(A313,'Grocery and sales Data'!$A$1:$A$991,'Grocery and sales Data'!$B$1:$B$991)</f>
        <v>Bread Flour</v>
      </c>
      <c r="C313" t="str">
        <f>_xlfn.XLOOKUP(A313,'Grocery and sales Data'!$A$1:$A$991,'Grocery and sales Data'!$C$1:$C$991)</f>
        <v>Grains &amp; Pulses</v>
      </c>
      <c r="D313" s="9">
        <f>_xlfn.XLOOKUP(A313,'Grocery and sales Data'!$A$1:$A$991,'Grocery and sales Data'!$I$1:$I$991)</f>
        <v>1.5</v>
      </c>
      <c r="E313">
        <f>_xlfn.XLOOKUP(A313,'Grocery and sales Data'!$A$1:$A$991,'Grocery and sales Data'!$R$1:$R$991)</f>
        <v>124.5</v>
      </c>
      <c r="F313" t="str">
        <f t="shared" si="4"/>
        <v>Medium</v>
      </c>
    </row>
    <row r="314" spans="1:6" ht="16" x14ac:dyDescent="0.4">
      <c r="A314" s="2" t="s">
        <v>1293</v>
      </c>
      <c r="B314" t="str">
        <f>_xlfn.XLOOKUP(A314,'Grocery and sales Data'!$A$1:$A$991,'Grocery and sales Data'!$B$1:$B$991)</f>
        <v>Halibut</v>
      </c>
      <c r="C314" t="str">
        <f>_xlfn.XLOOKUP(A314,'Grocery and sales Data'!$A$1:$A$991,'Grocery and sales Data'!$C$1:$C$991)</f>
        <v>Seafood</v>
      </c>
      <c r="D314" s="9">
        <f>_xlfn.XLOOKUP(A314,'Grocery and sales Data'!$A$1:$A$991,'Grocery and sales Data'!$I$1:$I$991)</f>
        <v>20</v>
      </c>
      <c r="E314">
        <f>_xlfn.XLOOKUP(A314,'Grocery and sales Data'!$A$1:$A$991,'Grocery and sales Data'!$R$1:$R$991)</f>
        <v>1140</v>
      </c>
      <c r="F314" t="str">
        <f t="shared" si="4"/>
        <v>High</v>
      </c>
    </row>
    <row r="315" spans="1:6" ht="16" x14ac:dyDescent="0.4">
      <c r="A315" s="2" t="s">
        <v>1297</v>
      </c>
      <c r="B315" t="str">
        <f>_xlfn.XLOOKUP(A315,'Grocery and sales Data'!$A$1:$A$991,'Grocery and sales Data'!$B$1:$B$991)</f>
        <v>Sourdough Bread</v>
      </c>
      <c r="C315" t="str">
        <f>_xlfn.XLOOKUP(A315,'Grocery and sales Data'!$A$1:$A$991,'Grocery and sales Data'!$C$1:$C$991)</f>
        <v>Bakery</v>
      </c>
      <c r="D315" s="9">
        <f>_xlfn.XLOOKUP(A315,'Grocery and sales Data'!$A$1:$A$991,'Grocery and sales Data'!$I$1:$I$991)</f>
        <v>4.5</v>
      </c>
      <c r="E315">
        <f>_xlfn.XLOOKUP(A315,'Grocery and sales Data'!$A$1:$A$991,'Grocery and sales Data'!$R$1:$R$991)</f>
        <v>337.5</v>
      </c>
      <c r="F315" t="str">
        <f t="shared" si="4"/>
        <v>Medium</v>
      </c>
    </row>
    <row r="316" spans="1:6" ht="16" x14ac:dyDescent="0.4">
      <c r="A316" s="2" t="s">
        <v>1300</v>
      </c>
      <c r="B316" t="str">
        <f>_xlfn.XLOOKUP(A316,'Grocery and sales Data'!$A$1:$A$991,'Grocery and sales Data'!$B$1:$B$991)</f>
        <v>Black Rice</v>
      </c>
      <c r="C316" t="str">
        <f>_xlfn.XLOOKUP(A316,'Grocery and sales Data'!$A$1:$A$991,'Grocery and sales Data'!$C$1:$C$991)</f>
        <v>Grains &amp; Pulses</v>
      </c>
      <c r="D316" s="9">
        <f>_xlfn.XLOOKUP(A316,'Grocery and sales Data'!$A$1:$A$991,'Grocery and sales Data'!$I$1:$I$991)</f>
        <v>6.5</v>
      </c>
      <c r="E316">
        <f>_xlfn.XLOOKUP(A316,'Grocery and sales Data'!$A$1:$A$991,'Grocery and sales Data'!$R$1:$R$991)</f>
        <v>617.5</v>
      </c>
      <c r="F316" t="str">
        <f t="shared" si="4"/>
        <v>Medium</v>
      </c>
    </row>
    <row r="317" spans="1:6" ht="16" x14ac:dyDescent="0.4">
      <c r="A317" s="2" t="s">
        <v>1303</v>
      </c>
      <c r="B317" t="str">
        <f>_xlfn.XLOOKUP(A317,'Grocery and sales Data'!$A$1:$A$991,'Grocery and sales Data'!$B$1:$B$991)</f>
        <v>Butter Biscuit</v>
      </c>
      <c r="C317" t="str">
        <f>_xlfn.XLOOKUP(A317,'Grocery and sales Data'!$A$1:$A$991,'Grocery and sales Data'!$C$1:$C$991)</f>
        <v>Bakery</v>
      </c>
      <c r="D317" s="9">
        <f>_xlfn.XLOOKUP(A317,'Grocery and sales Data'!$A$1:$A$991,'Grocery and sales Data'!$I$1:$I$991)</f>
        <v>6</v>
      </c>
      <c r="E317">
        <f>_xlfn.XLOOKUP(A317,'Grocery and sales Data'!$A$1:$A$991,'Grocery and sales Data'!$R$1:$R$991)</f>
        <v>120</v>
      </c>
      <c r="F317" t="str">
        <f t="shared" si="4"/>
        <v>Medium</v>
      </c>
    </row>
    <row r="318" spans="1:6" ht="16" x14ac:dyDescent="0.4">
      <c r="A318" s="2" t="s">
        <v>1307</v>
      </c>
      <c r="B318" t="str">
        <f>_xlfn.XLOOKUP(A318,'Grocery and sales Data'!$A$1:$A$991,'Grocery and sales Data'!$B$1:$B$991)</f>
        <v>Tilapia</v>
      </c>
      <c r="C318" t="str">
        <f>_xlfn.XLOOKUP(A318,'Grocery and sales Data'!$A$1:$A$991,'Grocery and sales Data'!$C$1:$C$991)</f>
        <v>Seafood</v>
      </c>
      <c r="D318" s="9">
        <f>_xlfn.XLOOKUP(A318,'Grocery and sales Data'!$A$1:$A$991,'Grocery and sales Data'!$I$1:$I$991)</f>
        <v>7</v>
      </c>
      <c r="E318">
        <f>_xlfn.XLOOKUP(A318,'Grocery and sales Data'!$A$1:$A$991,'Grocery and sales Data'!$R$1:$R$991)</f>
        <v>399</v>
      </c>
      <c r="F318" t="str">
        <f t="shared" si="4"/>
        <v>Medium</v>
      </c>
    </row>
    <row r="319" spans="1:6" ht="16" x14ac:dyDescent="0.4">
      <c r="A319" s="2" t="s">
        <v>1310</v>
      </c>
      <c r="B319" t="str">
        <f>_xlfn.XLOOKUP(A319,'Grocery and sales Data'!$A$1:$A$991,'Grocery and sales Data'!$B$1:$B$991)</f>
        <v>Grapes</v>
      </c>
      <c r="C319" t="str">
        <f>_xlfn.XLOOKUP(A319,'Grocery and sales Data'!$A$1:$A$991,'Grocery and sales Data'!$C$1:$C$991)</f>
        <v>Fruits &amp; Vegetables</v>
      </c>
      <c r="D319" s="9">
        <f>_xlfn.XLOOKUP(A319,'Grocery and sales Data'!$A$1:$A$991,'Grocery and sales Data'!$I$1:$I$991)</f>
        <v>5.5</v>
      </c>
      <c r="E319">
        <f>_xlfn.XLOOKUP(A319,'Grocery and sales Data'!$A$1:$A$991,'Grocery and sales Data'!$R$1:$R$991)</f>
        <v>187</v>
      </c>
      <c r="F319" t="str">
        <f t="shared" si="4"/>
        <v>Medium</v>
      </c>
    </row>
    <row r="320" spans="1:6" ht="16" x14ac:dyDescent="0.4">
      <c r="A320" s="2" t="s">
        <v>1314</v>
      </c>
      <c r="B320" t="str">
        <f>_xlfn.XLOOKUP(A320,'Grocery and sales Data'!$A$1:$A$991,'Grocery and sales Data'!$B$1:$B$991)</f>
        <v>Gouda Cheese</v>
      </c>
      <c r="C320" t="str">
        <f>_xlfn.XLOOKUP(A320,'Grocery and sales Data'!$A$1:$A$991,'Grocery and sales Data'!$C$1:$C$991)</f>
        <v>Dairy</v>
      </c>
      <c r="D320" s="9">
        <f>_xlfn.XLOOKUP(A320,'Grocery and sales Data'!$A$1:$A$991,'Grocery and sales Data'!$I$1:$I$991)</f>
        <v>7</v>
      </c>
      <c r="E320">
        <f>_xlfn.XLOOKUP(A320,'Grocery and sales Data'!$A$1:$A$991,'Grocery and sales Data'!$R$1:$R$991)</f>
        <v>511</v>
      </c>
      <c r="F320" t="str">
        <f t="shared" si="4"/>
        <v>Medium</v>
      </c>
    </row>
    <row r="321" spans="1:6" ht="16" x14ac:dyDescent="0.4">
      <c r="A321" s="2" t="s">
        <v>1318</v>
      </c>
      <c r="B321" t="str">
        <f>_xlfn.XLOOKUP(A321,'Grocery and sales Data'!$A$1:$A$991,'Grocery and sales Data'!$B$1:$B$991)</f>
        <v>Cheese</v>
      </c>
      <c r="C321" t="str">
        <f>_xlfn.XLOOKUP(A321,'Grocery and sales Data'!$A$1:$A$991,'Grocery and sales Data'!$C$1:$C$991)</f>
        <v>Dairy</v>
      </c>
      <c r="D321" s="9">
        <f>_xlfn.XLOOKUP(A321,'Grocery and sales Data'!$A$1:$A$991,'Grocery and sales Data'!$I$1:$I$991)</f>
        <v>9</v>
      </c>
      <c r="E321">
        <f>_xlfn.XLOOKUP(A321,'Grocery and sales Data'!$A$1:$A$991,'Grocery and sales Data'!$R$1:$R$991)</f>
        <v>540</v>
      </c>
      <c r="F321" t="str">
        <f t="shared" si="4"/>
        <v>Medium</v>
      </c>
    </row>
    <row r="322" spans="1:6" ht="16" x14ac:dyDescent="0.4">
      <c r="A322" s="2" t="s">
        <v>1322</v>
      </c>
      <c r="B322" t="str">
        <f>_xlfn.XLOOKUP(A322,'Grocery and sales Data'!$A$1:$A$991,'Grocery and sales Data'!$B$1:$B$991)</f>
        <v>Lemon</v>
      </c>
      <c r="C322" t="str">
        <f>_xlfn.XLOOKUP(A322,'Grocery and sales Data'!$A$1:$A$991,'Grocery and sales Data'!$C$1:$C$991)</f>
        <v>Fruits &amp; Vegetables</v>
      </c>
      <c r="D322" s="9">
        <f>_xlfn.XLOOKUP(A322,'Grocery and sales Data'!$A$1:$A$991,'Grocery and sales Data'!$I$1:$I$991)</f>
        <v>2.4500000000000002</v>
      </c>
      <c r="E322">
        <f>_xlfn.XLOOKUP(A322,'Grocery and sales Data'!$A$1:$A$991,'Grocery and sales Data'!$R$1:$R$991)</f>
        <v>61.250000000000007</v>
      </c>
      <c r="F322" t="str">
        <f t="shared" si="4"/>
        <v>Low</v>
      </c>
    </row>
    <row r="323" spans="1:6" ht="16" x14ac:dyDescent="0.4">
      <c r="A323" s="2" t="s">
        <v>1325</v>
      </c>
      <c r="B323" t="str">
        <f>_xlfn.XLOOKUP(A323,'Grocery and sales Data'!$A$1:$A$991,'Grocery and sales Data'!$B$1:$B$991)</f>
        <v>Heavy Cream</v>
      </c>
      <c r="C323" t="str">
        <f>_xlfn.XLOOKUP(A323,'Grocery and sales Data'!$A$1:$A$991,'Grocery and sales Data'!$C$1:$C$991)</f>
        <v>Dairy</v>
      </c>
      <c r="D323" s="9">
        <f>_xlfn.XLOOKUP(A323,'Grocery and sales Data'!$A$1:$A$991,'Grocery and sales Data'!$I$1:$I$991)</f>
        <v>4</v>
      </c>
      <c r="E323">
        <f>_xlfn.XLOOKUP(A323,'Grocery and sales Data'!$A$1:$A$991,'Grocery and sales Data'!$R$1:$R$991)</f>
        <v>84</v>
      </c>
      <c r="F323" t="str">
        <f t="shared" ref="F323:F386" si="5">IF(E323&gt;=1000,"High",IF(E323&gt;=100,"Medium","Low"))</f>
        <v>Low</v>
      </c>
    </row>
    <row r="324" spans="1:6" ht="16" x14ac:dyDescent="0.4">
      <c r="A324" s="2" t="s">
        <v>1328</v>
      </c>
      <c r="B324" t="str">
        <f>_xlfn.XLOOKUP(A324,'Grocery and sales Data'!$A$1:$A$991,'Grocery and sales Data'!$B$1:$B$991)</f>
        <v>White Bread</v>
      </c>
      <c r="C324" t="str">
        <f>_xlfn.XLOOKUP(A324,'Grocery and sales Data'!$A$1:$A$991,'Grocery and sales Data'!$C$1:$C$991)</f>
        <v>Bakery</v>
      </c>
      <c r="D324" s="9">
        <f>_xlfn.XLOOKUP(A324,'Grocery and sales Data'!$A$1:$A$991,'Grocery and sales Data'!$I$1:$I$991)</f>
        <v>2.5</v>
      </c>
      <c r="E324">
        <f>_xlfn.XLOOKUP(A324,'Grocery and sales Data'!$A$1:$A$991,'Grocery and sales Data'!$R$1:$R$991)</f>
        <v>242.5</v>
      </c>
      <c r="F324" t="str">
        <f t="shared" si="5"/>
        <v>Medium</v>
      </c>
    </row>
    <row r="325" spans="1:6" ht="16" x14ac:dyDescent="0.4">
      <c r="A325" s="2" t="s">
        <v>1331</v>
      </c>
      <c r="B325" t="str">
        <f>_xlfn.XLOOKUP(A325,'Grocery and sales Data'!$A$1:$A$991,'Grocery and sales Data'!$B$1:$B$991)</f>
        <v>Arabica Coffee</v>
      </c>
      <c r="C325" t="str">
        <f>_xlfn.XLOOKUP(A325,'Grocery and sales Data'!$A$1:$A$991,'Grocery and sales Data'!$C$1:$C$991)</f>
        <v>Beverages</v>
      </c>
      <c r="D325" s="9">
        <f>_xlfn.XLOOKUP(A325,'Grocery and sales Data'!$A$1:$A$991,'Grocery and sales Data'!$I$1:$I$991)</f>
        <v>20</v>
      </c>
      <c r="E325">
        <f>_xlfn.XLOOKUP(A325,'Grocery and sales Data'!$A$1:$A$991,'Grocery and sales Data'!$R$1:$R$991)</f>
        <v>1820</v>
      </c>
      <c r="F325" t="str">
        <f t="shared" si="5"/>
        <v>High</v>
      </c>
    </row>
    <row r="326" spans="1:6" ht="16" x14ac:dyDescent="0.4">
      <c r="A326" s="2" t="s">
        <v>1334</v>
      </c>
      <c r="B326" t="str">
        <f>_xlfn.XLOOKUP(A326,'Grocery and sales Data'!$A$1:$A$991,'Grocery and sales Data'!$B$1:$B$991)</f>
        <v>Grapes</v>
      </c>
      <c r="C326" t="str">
        <f>_xlfn.XLOOKUP(A326,'Grocery and sales Data'!$A$1:$A$991,'Grocery and sales Data'!$C$1:$C$991)</f>
        <v>Fruits &amp; Vegetables</v>
      </c>
      <c r="D326" s="9">
        <f>_xlfn.XLOOKUP(A326,'Grocery and sales Data'!$A$1:$A$991,'Grocery and sales Data'!$I$1:$I$991)</f>
        <v>5.5</v>
      </c>
      <c r="E326">
        <f>_xlfn.XLOOKUP(A326,'Grocery and sales Data'!$A$1:$A$991,'Grocery and sales Data'!$R$1:$R$991)</f>
        <v>313.5</v>
      </c>
      <c r="F326" t="str">
        <f t="shared" si="5"/>
        <v>Medium</v>
      </c>
    </row>
    <row r="327" spans="1:6" ht="16" x14ac:dyDescent="0.4">
      <c r="A327" s="2" t="s">
        <v>1338</v>
      </c>
      <c r="B327" t="str">
        <f>_xlfn.XLOOKUP(A327,'Grocery and sales Data'!$A$1:$A$991,'Grocery and sales Data'!$B$1:$B$991)</f>
        <v>Banana</v>
      </c>
      <c r="C327" t="str">
        <f>_xlfn.XLOOKUP(A327,'Grocery and sales Data'!$A$1:$A$991,'Grocery and sales Data'!$C$1:$C$991)</f>
        <v>Fruits &amp; Vegetables</v>
      </c>
      <c r="D327" s="9">
        <f>_xlfn.XLOOKUP(A327,'Grocery and sales Data'!$A$1:$A$991,'Grocery and sales Data'!$I$1:$I$991)</f>
        <v>53.82</v>
      </c>
      <c r="E327">
        <f>_xlfn.XLOOKUP(A327,'Grocery and sales Data'!$A$1:$A$991,'Grocery and sales Data'!$R$1:$R$991)</f>
        <v>4682.34</v>
      </c>
      <c r="F327" t="str">
        <f t="shared" si="5"/>
        <v>High</v>
      </c>
    </row>
    <row r="328" spans="1:6" ht="16" x14ac:dyDescent="0.4">
      <c r="A328" s="2" t="s">
        <v>1341</v>
      </c>
      <c r="B328" t="str">
        <f>_xlfn.XLOOKUP(A328,'Grocery and sales Data'!$A$1:$A$991,'Grocery and sales Data'!$B$1:$B$991)</f>
        <v>Broccoli</v>
      </c>
      <c r="C328" t="str">
        <f>_xlfn.XLOOKUP(A328,'Grocery and sales Data'!$A$1:$A$991,'Grocery and sales Data'!$C$1:$C$991)</f>
        <v>Fruits &amp; Vegetables</v>
      </c>
      <c r="D328" s="9">
        <f>_xlfn.XLOOKUP(A328,'Grocery and sales Data'!$A$1:$A$991,'Grocery and sales Data'!$I$1:$I$991)</f>
        <v>4</v>
      </c>
      <c r="E328">
        <f>_xlfn.XLOOKUP(A328,'Grocery and sales Data'!$A$1:$A$991,'Grocery and sales Data'!$R$1:$R$991)</f>
        <v>244</v>
      </c>
      <c r="F328" t="str">
        <f t="shared" si="5"/>
        <v>Medium</v>
      </c>
    </row>
    <row r="329" spans="1:6" ht="16" x14ac:dyDescent="0.4">
      <c r="A329" s="2" t="s">
        <v>1345</v>
      </c>
      <c r="B329" t="str">
        <f>_xlfn.XLOOKUP(A329,'Grocery and sales Data'!$A$1:$A$991,'Grocery and sales Data'!$B$1:$B$991)</f>
        <v>Green Beans</v>
      </c>
      <c r="C329" t="str">
        <f>_xlfn.XLOOKUP(A329,'Grocery and sales Data'!$A$1:$A$991,'Grocery and sales Data'!$C$1:$C$991)</f>
        <v>Fruits &amp; Vegetables</v>
      </c>
      <c r="D329" s="9">
        <f>_xlfn.XLOOKUP(A329,'Grocery and sales Data'!$A$1:$A$991,'Grocery and sales Data'!$I$1:$I$991)</f>
        <v>2</v>
      </c>
      <c r="E329">
        <f>_xlfn.XLOOKUP(A329,'Grocery and sales Data'!$A$1:$A$991,'Grocery and sales Data'!$R$1:$R$991)</f>
        <v>142</v>
      </c>
      <c r="F329" t="str">
        <f t="shared" si="5"/>
        <v>Medium</v>
      </c>
    </row>
    <row r="330" spans="1:6" ht="16" x14ac:dyDescent="0.4">
      <c r="A330" s="2" t="s">
        <v>1348</v>
      </c>
      <c r="B330" t="str">
        <f>_xlfn.XLOOKUP(A330,'Grocery and sales Data'!$A$1:$A$991,'Grocery and sales Data'!$B$1:$B$991)</f>
        <v>Cod</v>
      </c>
      <c r="C330" t="str">
        <f>_xlfn.XLOOKUP(A330,'Grocery and sales Data'!$A$1:$A$991,'Grocery and sales Data'!$C$1:$C$991)</f>
        <v>Seafood</v>
      </c>
      <c r="D330" s="9">
        <f>_xlfn.XLOOKUP(A330,'Grocery and sales Data'!$A$1:$A$991,'Grocery and sales Data'!$I$1:$I$991)</f>
        <v>8</v>
      </c>
      <c r="E330">
        <f>_xlfn.XLOOKUP(A330,'Grocery and sales Data'!$A$1:$A$991,'Grocery and sales Data'!$R$1:$R$991)</f>
        <v>648</v>
      </c>
      <c r="F330" t="str">
        <f t="shared" si="5"/>
        <v>Medium</v>
      </c>
    </row>
    <row r="331" spans="1:6" ht="16" x14ac:dyDescent="0.4">
      <c r="A331" s="2" t="s">
        <v>1351</v>
      </c>
      <c r="B331" t="str">
        <f>_xlfn.XLOOKUP(A331,'Grocery and sales Data'!$A$1:$A$991,'Grocery and sales Data'!$B$1:$B$991)</f>
        <v>White Sugar</v>
      </c>
      <c r="C331" t="str">
        <f>_xlfn.XLOOKUP(A331,'Grocery and sales Data'!$A$1:$A$991,'Grocery and sales Data'!$C$1:$C$991)</f>
        <v>Grains &amp; Pulses</v>
      </c>
      <c r="D331" s="9">
        <f>_xlfn.XLOOKUP(A331,'Grocery and sales Data'!$A$1:$A$991,'Grocery and sales Data'!$I$1:$I$991)</f>
        <v>2</v>
      </c>
      <c r="E331">
        <f>_xlfn.XLOOKUP(A331,'Grocery and sales Data'!$A$1:$A$991,'Grocery and sales Data'!$R$1:$R$991)</f>
        <v>78</v>
      </c>
      <c r="F331" t="str">
        <f t="shared" si="5"/>
        <v>Low</v>
      </c>
    </row>
    <row r="332" spans="1:6" ht="16" x14ac:dyDescent="0.4">
      <c r="A332" s="2" t="s">
        <v>1355</v>
      </c>
      <c r="B332" t="str">
        <f>_xlfn.XLOOKUP(A332,'Grocery and sales Data'!$A$1:$A$991,'Grocery and sales Data'!$B$1:$B$991)</f>
        <v>Tomato</v>
      </c>
      <c r="C332" t="str">
        <f>_xlfn.XLOOKUP(A332,'Grocery and sales Data'!$A$1:$A$991,'Grocery and sales Data'!$C$1:$C$991)</f>
        <v>Fruits &amp; Vegetables</v>
      </c>
      <c r="D332" s="9">
        <f>_xlfn.XLOOKUP(A332,'Grocery and sales Data'!$A$1:$A$991,'Grocery and sales Data'!$I$1:$I$991)</f>
        <v>2.5</v>
      </c>
      <c r="E332">
        <f>_xlfn.XLOOKUP(A332,'Grocery and sales Data'!$A$1:$A$991,'Grocery and sales Data'!$R$1:$R$991)</f>
        <v>205</v>
      </c>
      <c r="F332" t="str">
        <f t="shared" si="5"/>
        <v>Medium</v>
      </c>
    </row>
    <row r="333" spans="1:6" ht="16" x14ac:dyDescent="0.4">
      <c r="A333" s="2" t="s">
        <v>1358</v>
      </c>
      <c r="B333" t="str">
        <f>_xlfn.XLOOKUP(A333,'Grocery and sales Data'!$A$1:$A$991,'Grocery and sales Data'!$B$1:$B$991)</f>
        <v>Long Grain Rice</v>
      </c>
      <c r="C333" t="str">
        <f>_xlfn.XLOOKUP(A333,'Grocery and sales Data'!$A$1:$A$991,'Grocery and sales Data'!$C$1:$C$991)</f>
        <v>Grains &amp; Pulses</v>
      </c>
      <c r="D333" s="9">
        <f>_xlfn.XLOOKUP(A333,'Grocery and sales Data'!$A$1:$A$991,'Grocery and sales Data'!$I$1:$I$991)</f>
        <v>1.5</v>
      </c>
      <c r="E333">
        <f>_xlfn.XLOOKUP(A333,'Grocery and sales Data'!$A$1:$A$991,'Grocery and sales Data'!$R$1:$R$991)</f>
        <v>51</v>
      </c>
      <c r="F333" t="str">
        <f t="shared" si="5"/>
        <v>Low</v>
      </c>
    </row>
    <row r="334" spans="1:6" ht="16" x14ac:dyDescent="0.4">
      <c r="A334" s="2" t="s">
        <v>1361</v>
      </c>
      <c r="B334" t="str">
        <f>_xlfn.XLOOKUP(A334,'Grocery and sales Data'!$A$1:$A$991,'Grocery and sales Data'!$B$1:$B$991)</f>
        <v>Long Grain Rice</v>
      </c>
      <c r="C334" t="str">
        <f>_xlfn.XLOOKUP(A334,'Grocery and sales Data'!$A$1:$A$991,'Grocery and sales Data'!$C$1:$C$991)</f>
        <v>Grains &amp; Pulses</v>
      </c>
      <c r="D334" s="9">
        <f>_xlfn.XLOOKUP(A334,'Grocery and sales Data'!$A$1:$A$991,'Grocery and sales Data'!$I$1:$I$991)</f>
        <v>1.5</v>
      </c>
      <c r="E334">
        <f>_xlfn.XLOOKUP(A334,'Grocery and sales Data'!$A$1:$A$991,'Grocery and sales Data'!$R$1:$R$991)</f>
        <v>99</v>
      </c>
      <c r="F334" t="str">
        <f t="shared" si="5"/>
        <v>Low</v>
      </c>
    </row>
    <row r="335" spans="1:6" ht="16" x14ac:dyDescent="0.4">
      <c r="A335" s="2" t="s">
        <v>1364</v>
      </c>
      <c r="B335" t="str">
        <f>_xlfn.XLOOKUP(A335,'Grocery and sales Data'!$A$1:$A$991,'Grocery and sales Data'!$B$1:$B$991)</f>
        <v>Carrot</v>
      </c>
      <c r="C335" t="str">
        <f>_xlfn.XLOOKUP(A335,'Grocery and sales Data'!$A$1:$A$991,'Grocery and sales Data'!$C$1:$C$991)</f>
        <v>Fruits &amp; Vegetables</v>
      </c>
      <c r="D335" s="9">
        <f>_xlfn.XLOOKUP(A335,'Grocery and sales Data'!$A$1:$A$991,'Grocery and sales Data'!$I$1:$I$991)</f>
        <v>1.6</v>
      </c>
      <c r="E335">
        <f>_xlfn.XLOOKUP(A335,'Grocery and sales Data'!$A$1:$A$991,'Grocery and sales Data'!$R$1:$R$991)</f>
        <v>48</v>
      </c>
      <c r="F335" t="str">
        <f t="shared" si="5"/>
        <v>Low</v>
      </c>
    </row>
    <row r="336" spans="1:6" ht="16" x14ac:dyDescent="0.4">
      <c r="A336" s="2" t="s">
        <v>1367</v>
      </c>
      <c r="B336" t="str">
        <f>_xlfn.XLOOKUP(A336,'Grocery and sales Data'!$A$1:$A$991,'Grocery and sales Data'!$B$1:$B$991)</f>
        <v>Peanut Oil</v>
      </c>
      <c r="C336" t="str">
        <f>_xlfn.XLOOKUP(A336,'Grocery and sales Data'!$A$1:$A$991,'Grocery and sales Data'!$C$1:$C$991)</f>
        <v>Oils &amp; Fats</v>
      </c>
      <c r="D336" s="9">
        <f>_xlfn.XLOOKUP(A336,'Grocery and sales Data'!$A$1:$A$991,'Grocery and sales Data'!$I$1:$I$991)</f>
        <v>4</v>
      </c>
      <c r="E336">
        <f>_xlfn.XLOOKUP(A336,'Grocery and sales Data'!$A$1:$A$991,'Grocery and sales Data'!$R$1:$R$991)</f>
        <v>180</v>
      </c>
      <c r="F336" t="str">
        <f t="shared" si="5"/>
        <v>Medium</v>
      </c>
    </row>
    <row r="337" spans="1:6" ht="16" x14ac:dyDescent="0.4">
      <c r="A337" s="2" t="s">
        <v>1370</v>
      </c>
      <c r="B337" t="str">
        <f>_xlfn.XLOOKUP(A337,'Grocery and sales Data'!$A$1:$A$991,'Grocery and sales Data'!$B$1:$B$991)</f>
        <v>Pomegranate</v>
      </c>
      <c r="C337" t="str">
        <f>_xlfn.XLOOKUP(A337,'Grocery and sales Data'!$A$1:$A$991,'Grocery and sales Data'!$C$1:$C$991)</f>
        <v>Fruits &amp; Vegetables</v>
      </c>
      <c r="D337" s="9">
        <f>_xlfn.XLOOKUP(A337,'Grocery and sales Data'!$A$1:$A$991,'Grocery and sales Data'!$I$1:$I$991)</f>
        <v>6</v>
      </c>
      <c r="E337">
        <f>_xlfn.XLOOKUP(A337,'Grocery and sales Data'!$A$1:$A$991,'Grocery and sales Data'!$R$1:$R$991)</f>
        <v>228</v>
      </c>
      <c r="F337" t="str">
        <f t="shared" si="5"/>
        <v>Medium</v>
      </c>
    </row>
    <row r="338" spans="1:6" ht="16" x14ac:dyDescent="0.4">
      <c r="A338" s="2" t="s">
        <v>1373</v>
      </c>
      <c r="B338" t="str">
        <f>_xlfn.XLOOKUP(A338,'Grocery and sales Data'!$A$1:$A$991,'Grocery and sales Data'!$B$1:$B$991)</f>
        <v>Egg (Turkey)</v>
      </c>
      <c r="C338" t="str">
        <f>_xlfn.XLOOKUP(A338,'Grocery and sales Data'!$A$1:$A$991,'Grocery and sales Data'!$C$1:$C$991)</f>
        <v>Dairy</v>
      </c>
      <c r="D338" s="9">
        <f>_xlfn.XLOOKUP(A338,'Grocery and sales Data'!$A$1:$A$991,'Grocery and sales Data'!$I$1:$I$991)</f>
        <v>2.5</v>
      </c>
      <c r="E338">
        <f>_xlfn.XLOOKUP(A338,'Grocery and sales Data'!$A$1:$A$991,'Grocery and sales Data'!$R$1:$R$991)</f>
        <v>205</v>
      </c>
      <c r="F338" t="str">
        <f t="shared" si="5"/>
        <v>Medium</v>
      </c>
    </row>
    <row r="339" spans="1:6" ht="16" x14ac:dyDescent="0.4">
      <c r="A339" s="2" t="s">
        <v>1377</v>
      </c>
      <c r="B339" t="str">
        <f>_xlfn.XLOOKUP(A339,'Grocery and sales Data'!$A$1:$A$991,'Grocery and sales Data'!$B$1:$B$991)</f>
        <v>Strawberries</v>
      </c>
      <c r="C339" t="str">
        <f>_xlfn.XLOOKUP(A339,'Grocery and sales Data'!$A$1:$A$991,'Grocery and sales Data'!$C$1:$C$991)</f>
        <v>Fruits &amp; Vegetables</v>
      </c>
      <c r="D339" s="9">
        <f>_xlfn.XLOOKUP(A339,'Grocery and sales Data'!$A$1:$A$991,'Grocery and sales Data'!$I$1:$I$991)</f>
        <v>6.1</v>
      </c>
      <c r="E339">
        <f>_xlfn.XLOOKUP(A339,'Grocery and sales Data'!$A$1:$A$991,'Grocery and sales Data'!$R$1:$R$991)</f>
        <v>305</v>
      </c>
      <c r="F339" t="str">
        <f t="shared" si="5"/>
        <v>Medium</v>
      </c>
    </row>
    <row r="340" spans="1:6" ht="16" x14ac:dyDescent="0.4">
      <c r="A340" s="2" t="s">
        <v>1380</v>
      </c>
      <c r="B340" t="str">
        <f>_xlfn.XLOOKUP(A340,'Grocery and sales Data'!$A$1:$A$991,'Grocery and sales Data'!$B$1:$B$991)</f>
        <v>Zucchini</v>
      </c>
      <c r="C340" t="str">
        <f>_xlfn.XLOOKUP(A340,'Grocery and sales Data'!$A$1:$A$991,'Grocery and sales Data'!$C$1:$C$991)</f>
        <v>Fruits &amp; Vegetables</v>
      </c>
      <c r="D340" s="9">
        <f>_xlfn.XLOOKUP(A340,'Grocery and sales Data'!$A$1:$A$991,'Grocery and sales Data'!$I$1:$I$991)</f>
        <v>2.5</v>
      </c>
      <c r="E340">
        <f>_xlfn.XLOOKUP(A340,'Grocery and sales Data'!$A$1:$A$991,'Grocery and sales Data'!$R$1:$R$991)</f>
        <v>90</v>
      </c>
      <c r="F340" t="str">
        <f t="shared" si="5"/>
        <v>Low</v>
      </c>
    </row>
    <row r="341" spans="1:6" ht="16" x14ac:dyDescent="0.4">
      <c r="A341" s="2" t="s">
        <v>1383</v>
      </c>
      <c r="B341" t="str">
        <f>_xlfn.XLOOKUP(A341,'Grocery and sales Data'!$A$1:$A$991,'Grocery and sales Data'!$B$1:$B$991)</f>
        <v>Trout</v>
      </c>
      <c r="C341" t="str">
        <f>_xlfn.XLOOKUP(A341,'Grocery and sales Data'!$A$1:$A$991,'Grocery and sales Data'!$C$1:$C$991)</f>
        <v>Seafood</v>
      </c>
      <c r="D341" s="9">
        <f>_xlfn.XLOOKUP(A341,'Grocery and sales Data'!$A$1:$A$991,'Grocery and sales Data'!$I$1:$I$991)</f>
        <v>11.5</v>
      </c>
      <c r="E341">
        <f>_xlfn.XLOOKUP(A341,'Grocery and sales Data'!$A$1:$A$991,'Grocery and sales Data'!$R$1:$R$991)</f>
        <v>931.5</v>
      </c>
      <c r="F341" t="str">
        <f t="shared" si="5"/>
        <v>Medium</v>
      </c>
    </row>
    <row r="342" spans="1:6" ht="16" x14ac:dyDescent="0.4">
      <c r="A342" s="2" t="s">
        <v>1386</v>
      </c>
      <c r="B342" t="str">
        <f>_xlfn.XLOOKUP(A342,'Grocery and sales Data'!$A$1:$A$991,'Grocery and sales Data'!$B$1:$B$991)</f>
        <v>Mango</v>
      </c>
      <c r="C342" t="str">
        <f>_xlfn.XLOOKUP(A342,'Grocery and sales Data'!$A$1:$A$991,'Grocery and sales Data'!$C$1:$C$991)</f>
        <v>Fruits &amp; Vegetables</v>
      </c>
      <c r="D342" s="9">
        <f>_xlfn.XLOOKUP(A342,'Grocery and sales Data'!$A$1:$A$991,'Grocery and sales Data'!$I$1:$I$991)</f>
        <v>4.7</v>
      </c>
      <c r="E342">
        <f>_xlfn.XLOOKUP(A342,'Grocery and sales Data'!$A$1:$A$991,'Grocery and sales Data'!$R$1:$R$991)</f>
        <v>399.5</v>
      </c>
      <c r="F342" t="str">
        <f t="shared" si="5"/>
        <v>Medium</v>
      </c>
    </row>
    <row r="343" spans="1:6" ht="16" x14ac:dyDescent="0.4">
      <c r="A343" s="2" t="s">
        <v>1390</v>
      </c>
      <c r="B343" t="str">
        <f>_xlfn.XLOOKUP(A343,'Grocery and sales Data'!$A$1:$A$991,'Grocery and sales Data'!$B$1:$B$991)</f>
        <v>Halibut</v>
      </c>
      <c r="C343" t="str">
        <f>_xlfn.XLOOKUP(A343,'Grocery and sales Data'!$A$1:$A$991,'Grocery and sales Data'!$C$1:$C$991)</f>
        <v>Seafood</v>
      </c>
      <c r="D343" s="9">
        <f>_xlfn.XLOOKUP(A343,'Grocery and sales Data'!$A$1:$A$991,'Grocery and sales Data'!$I$1:$I$991)</f>
        <v>20</v>
      </c>
      <c r="E343">
        <f>_xlfn.XLOOKUP(A343,'Grocery and sales Data'!$A$1:$A$991,'Grocery and sales Data'!$R$1:$R$991)</f>
        <v>1220</v>
      </c>
      <c r="F343" t="str">
        <f t="shared" si="5"/>
        <v>High</v>
      </c>
    </row>
    <row r="344" spans="1:6" ht="16" x14ac:dyDescent="0.4">
      <c r="A344" s="2" t="s">
        <v>1394</v>
      </c>
      <c r="B344" t="str">
        <f>_xlfn.XLOOKUP(A344,'Grocery and sales Data'!$A$1:$A$991,'Grocery and sales Data'!$B$1:$B$991)</f>
        <v>Rye Bread</v>
      </c>
      <c r="C344" t="str">
        <f>_xlfn.XLOOKUP(A344,'Grocery and sales Data'!$A$1:$A$991,'Grocery and sales Data'!$C$1:$C$991)</f>
        <v>Bakery</v>
      </c>
      <c r="D344" s="9">
        <f>_xlfn.XLOOKUP(A344,'Grocery and sales Data'!$A$1:$A$991,'Grocery and sales Data'!$I$1:$I$991)</f>
        <v>3</v>
      </c>
      <c r="E344">
        <f>_xlfn.XLOOKUP(A344,'Grocery and sales Data'!$A$1:$A$991,'Grocery and sales Data'!$R$1:$R$991)</f>
        <v>210</v>
      </c>
      <c r="F344" t="str">
        <f t="shared" si="5"/>
        <v>Medium</v>
      </c>
    </row>
    <row r="345" spans="1:6" ht="16" x14ac:dyDescent="0.4">
      <c r="A345" s="2" t="s">
        <v>1398</v>
      </c>
      <c r="B345" t="str">
        <f>_xlfn.XLOOKUP(A345,'Grocery and sales Data'!$A$1:$A$991,'Grocery and sales Data'!$B$1:$B$991)</f>
        <v>Sour Cream</v>
      </c>
      <c r="C345" t="str">
        <f>_xlfn.XLOOKUP(A345,'Grocery and sales Data'!$A$1:$A$991,'Grocery and sales Data'!$C$1:$C$991)</f>
        <v>Dairy</v>
      </c>
      <c r="D345" s="9">
        <f>_xlfn.XLOOKUP(A345,'Grocery and sales Data'!$A$1:$A$991,'Grocery and sales Data'!$I$1:$I$991)</f>
        <v>4</v>
      </c>
      <c r="E345">
        <f>_xlfn.XLOOKUP(A345,'Grocery and sales Data'!$A$1:$A$991,'Grocery and sales Data'!$R$1:$R$991)</f>
        <v>236</v>
      </c>
      <c r="F345" t="str">
        <f t="shared" si="5"/>
        <v>Medium</v>
      </c>
    </row>
    <row r="346" spans="1:6" ht="16" x14ac:dyDescent="0.4">
      <c r="A346" s="2" t="s">
        <v>1401</v>
      </c>
      <c r="B346" t="str">
        <f>_xlfn.XLOOKUP(A346,'Grocery and sales Data'!$A$1:$A$991,'Grocery and sales Data'!$B$1:$B$991)</f>
        <v>Cheddar Cheese</v>
      </c>
      <c r="C346" t="str">
        <f>_xlfn.XLOOKUP(A346,'Grocery and sales Data'!$A$1:$A$991,'Grocery and sales Data'!$C$1:$C$991)</f>
        <v>Dairy</v>
      </c>
      <c r="D346" s="9">
        <f>_xlfn.XLOOKUP(A346,'Grocery and sales Data'!$A$1:$A$991,'Grocery and sales Data'!$I$1:$I$991)</f>
        <v>8.9</v>
      </c>
      <c r="E346">
        <f>_xlfn.XLOOKUP(A346,'Grocery and sales Data'!$A$1:$A$991,'Grocery and sales Data'!$R$1:$R$991)</f>
        <v>703.1</v>
      </c>
      <c r="F346" t="str">
        <f t="shared" si="5"/>
        <v>Medium</v>
      </c>
    </row>
    <row r="347" spans="1:6" ht="16" x14ac:dyDescent="0.4">
      <c r="A347" s="2" t="s">
        <v>1404</v>
      </c>
      <c r="B347" t="str">
        <f>_xlfn.XLOOKUP(A347,'Grocery and sales Data'!$A$1:$A$991,'Grocery and sales Data'!$B$1:$B$991)</f>
        <v>Egg (Turkey)</v>
      </c>
      <c r="C347" t="str">
        <f>_xlfn.XLOOKUP(A347,'Grocery and sales Data'!$A$1:$A$991,'Grocery and sales Data'!$C$1:$C$991)</f>
        <v>Dairy</v>
      </c>
      <c r="D347" s="9">
        <f>_xlfn.XLOOKUP(A347,'Grocery and sales Data'!$A$1:$A$991,'Grocery and sales Data'!$I$1:$I$991)</f>
        <v>2.5</v>
      </c>
      <c r="E347">
        <f>_xlfn.XLOOKUP(A347,'Grocery and sales Data'!$A$1:$A$991,'Grocery and sales Data'!$R$1:$R$991)</f>
        <v>165</v>
      </c>
      <c r="F347" t="str">
        <f t="shared" si="5"/>
        <v>Medium</v>
      </c>
    </row>
    <row r="348" spans="1:6" ht="16" x14ac:dyDescent="0.4">
      <c r="A348" s="2" t="s">
        <v>1407</v>
      </c>
      <c r="B348" t="str">
        <f>_xlfn.XLOOKUP(A348,'Grocery and sales Data'!$A$1:$A$991,'Grocery and sales Data'!$B$1:$B$991)</f>
        <v>Swiss Cheese</v>
      </c>
      <c r="C348" t="str">
        <f>_xlfn.XLOOKUP(A348,'Grocery and sales Data'!$A$1:$A$991,'Grocery and sales Data'!$C$1:$C$991)</f>
        <v>Dairy</v>
      </c>
      <c r="D348" s="9">
        <f>_xlfn.XLOOKUP(A348,'Grocery and sales Data'!$A$1:$A$991,'Grocery and sales Data'!$I$1:$I$991)</f>
        <v>8</v>
      </c>
      <c r="E348">
        <f>_xlfn.XLOOKUP(A348,'Grocery and sales Data'!$A$1:$A$991,'Grocery and sales Data'!$R$1:$R$991)</f>
        <v>568</v>
      </c>
      <c r="F348" t="str">
        <f t="shared" si="5"/>
        <v>Medium</v>
      </c>
    </row>
    <row r="349" spans="1:6" ht="16" x14ac:dyDescent="0.4">
      <c r="A349" s="2" t="s">
        <v>1410</v>
      </c>
      <c r="B349" t="str">
        <f>_xlfn.XLOOKUP(A349,'Grocery and sales Data'!$A$1:$A$991,'Grocery and sales Data'!$B$1:$B$991)</f>
        <v>Eggplant</v>
      </c>
      <c r="C349" t="str">
        <f>_xlfn.XLOOKUP(A349,'Grocery and sales Data'!$A$1:$A$991,'Grocery and sales Data'!$C$1:$C$991)</f>
        <v>Fruits &amp; Vegetables</v>
      </c>
      <c r="D349" s="9">
        <f>_xlfn.XLOOKUP(A349,'Grocery and sales Data'!$A$1:$A$991,'Grocery and sales Data'!$I$1:$I$991)</f>
        <v>3</v>
      </c>
      <c r="E349">
        <f>_xlfn.XLOOKUP(A349,'Grocery and sales Data'!$A$1:$A$991,'Grocery and sales Data'!$R$1:$R$991)</f>
        <v>87</v>
      </c>
      <c r="F349" t="str">
        <f t="shared" si="5"/>
        <v>Low</v>
      </c>
    </row>
    <row r="350" spans="1:6" ht="16" x14ac:dyDescent="0.4">
      <c r="A350" s="2" t="s">
        <v>1413</v>
      </c>
      <c r="B350" t="str">
        <f>_xlfn.XLOOKUP(A350,'Grocery and sales Data'!$A$1:$A$991,'Grocery and sales Data'!$B$1:$B$991)</f>
        <v>Sunflower Oil</v>
      </c>
      <c r="C350" t="str">
        <f>_xlfn.XLOOKUP(A350,'Grocery and sales Data'!$A$1:$A$991,'Grocery and sales Data'!$C$1:$C$991)</f>
        <v>Oils &amp; Fats</v>
      </c>
      <c r="D350" s="9">
        <f>_xlfn.XLOOKUP(A350,'Grocery and sales Data'!$A$1:$A$991,'Grocery and sales Data'!$I$1:$I$991)</f>
        <v>2.5</v>
      </c>
      <c r="E350">
        <f>_xlfn.XLOOKUP(A350,'Grocery and sales Data'!$A$1:$A$991,'Grocery and sales Data'!$R$1:$R$991)</f>
        <v>207.5</v>
      </c>
      <c r="F350" t="str">
        <f t="shared" si="5"/>
        <v>Medium</v>
      </c>
    </row>
    <row r="351" spans="1:6" ht="16" x14ac:dyDescent="0.4">
      <c r="A351" s="2" t="s">
        <v>1416</v>
      </c>
      <c r="B351" t="str">
        <f>_xlfn.XLOOKUP(A351,'Grocery and sales Data'!$A$1:$A$991,'Grocery and sales Data'!$B$1:$B$991)</f>
        <v>White Tea</v>
      </c>
      <c r="C351" t="str">
        <f>_xlfn.XLOOKUP(A351,'Grocery and sales Data'!$A$1:$A$991,'Grocery and sales Data'!$C$1:$C$991)</f>
        <v>Beverages</v>
      </c>
      <c r="D351" s="9">
        <f>_xlfn.XLOOKUP(A351,'Grocery and sales Data'!$A$1:$A$991,'Grocery and sales Data'!$I$1:$I$991)</f>
        <v>25</v>
      </c>
      <c r="E351">
        <f>_xlfn.XLOOKUP(A351,'Grocery and sales Data'!$A$1:$A$991,'Grocery and sales Data'!$R$1:$R$991)</f>
        <v>2125</v>
      </c>
      <c r="F351" t="str">
        <f t="shared" si="5"/>
        <v>High</v>
      </c>
    </row>
    <row r="352" spans="1:6" ht="16" x14ac:dyDescent="0.4">
      <c r="A352" s="2" t="s">
        <v>1419</v>
      </c>
      <c r="B352" t="str">
        <f>_xlfn.XLOOKUP(A352,'Grocery and sales Data'!$A$1:$A$991,'Grocery and sales Data'!$B$1:$B$991)</f>
        <v>Coconut</v>
      </c>
      <c r="C352" t="str">
        <f>_xlfn.XLOOKUP(A352,'Grocery and sales Data'!$A$1:$A$991,'Grocery and sales Data'!$C$1:$C$991)</f>
        <v>Fruits &amp; Vegetables</v>
      </c>
      <c r="D352" s="9">
        <f>_xlfn.XLOOKUP(A352,'Grocery and sales Data'!$A$1:$A$991,'Grocery and sales Data'!$I$1:$I$991)</f>
        <v>5</v>
      </c>
      <c r="E352">
        <f>_xlfn.XLOOKUP(A352,'Grocery and sales Data'!$A$1:$A$991,'Grocery and sales Data'!$R$1:$R$991)</f>
        <v>105</v>
      </c>
      <c r="F352" t="str">
        <f t="shared" si="5"/>
        <v>Medium</v>
      </c>
    </row>
    <row r="353" spans="1:6" ht="16" x14ac:dyDescent="0.4">
      <c r="A353" s="2" t="s">
        <v>1423</v>
      </c>
      <c r="B353" t="str">
        <f>_xlfn.XLOOKUP(A353,'Grocery and sales Data'!$A$1:$A$991,'Grocery and sales Data'!$B$1:$B$991)</f>
        <v>Pineapple</v>
      </c>
      <c r="C353" t="str">
        <f>_xlfn.XLOOKUP(A353,'Grocery and sales Data'!$A$1:$A$991,'Grocery and sales Data'!$C$1:$C$991)</f>
        <v>Fruits &amp; Vegetables</v>
      </c>
      <c r="D353" s="9">
        <f>_xlfn.XLOOKUP(A353,'Grocery and sales Data'!$A$1:$A$991,'Grocery and sales Data'!$I$1:$I$991)</f>
        <v>3.5</v>
      </c>
      <c r="E353">
        <f>_xlfn.XLOOKUP(A353,'Grocery and sales Data'!$A$1:$A$991,'Grocery and sales Data'!$R$1:$R$991)</f>
        <v>87.5</v>
      </c>
      <c r="F353" t="str">
        <f t="shared" si="5"/>
        <v>Low</v>
      </c>
    </row>
    <row r="354" spans="1:6" ht="16" x14ac:dyDescent="0.4">
      <c r="A354" s="2" t="s">
        <v>1426</v>
      </c>
      <c r="B354" t="str">
        <f>_xlfn.XLOOKUP(A354,'Grocery and sales Data'!$A$1:$A$991,'Grocery and sales Data'!$B$1:$B$991)</f>
        <v>Basmati Rice</v>
      </c>
      <c r="C354" t="str">
        <f>_xlfn.XLOOKUP(A354,'Grocery and sales Data'!$A$1:$A$991,'Grocery and sales Data'!$C$1:$C$991)</f>
        <v>Grains &amp; Pulses</v>
      </c>
      <c r="D354" s="9">
        <f>_xlfn.XLOOKUP(A354,'Grocery and sales Data'!$A$1:$A$991,'Grocery and sales Data'!$I$1:$I$991)</f>
        <v>4.5</v>
      </c>
      <c r="E354">
        <f>_xlfn.XLOOKUP(A354,'Grocery and sales Data'!$A$1:$A$991,'Grocery and sales Data'!$R$1:$R$991)</f>
        <v>306</v>
      </c>
      <c r="F354" t="str">
        <f t="shared" si="5"/>
        <v>Medium</v>
      </c>
    </row>
    <row r="355" spans="1:6" ht="16" x14ac:dyDescent="0.4">
      <c r="A355" s="2" t="s">
        <v>1429</v>
      </c>
      <c r="B355" t="str">
        <f>_xlfn.XLOOKUP(A355,'Grocery and sales Data'!$A$1:$A$991,'Grocery and sales Data'!$B$1:$B$991)</f>
        <v>Bell Pepper</v>
      </c>
      <c r="C355" t="str">
        <f>_xlfn.XLOOKUP(A355,'Grocery and sales Data'!$A$1:$A$991,'Grocery and sales Data'!$C$1:$C$991)</f>
        <v>Fruits &amp; Vegetables</v>
      </c>
      <c r="D355" s="9">
        <f>_xlfn.XLOOKUP(A355,'Grocery and sales Data'!$A$1:$A$991,'Grocery and sales Data'!$I$1:$I$991)</f>
        <v>4.5</v>
      </c>
      <c r="E355">
        <f>_xlfn.XLOOKUP(A355,'Grocery and sales Data'!$A$1:$A$991,'Grocery and sales Data'!$R$1:$R$991)</f>
        <v>117</v>
      </c>
      <c r="F355" t="str">
        <f t="shared" si="5"/>
        <v>Medium</v>
      </c>
    </row>
    <row r="356" spans="1:6" ht="16" x14ac:dyDescent="0.4">
      <c r="A356" s="2" t="s">
        <v>1433</v>
      </c>
      <c r="B356" t="str">
        <f>_xlfn.XLOOKUP(A356,'Grocery and sales Data'!$A$1:$A$991,'Grocery and sales Data'!$B$1:$B$991)</f>
        <v>Vanilla Biscuit</v>
      </c>
      <c r="C356" t="str">
        <f>_xlfn.XLOOKUP(A356,'Grocery and sales Data'!$A$1:$A$991,'Grocery and sales Data'!$C$1:$C$991)</f>
        <v>Bakery</v>
      </c>
      <c r="D356" s="9">
        <f>_xlfn.XLOOKUP(A356,'Grocery and sales Data'!$A$1:$A$991,'Grocery and sales Data'!$I$1:$I$991)</f>
        <v>5.5</v>
      </c>
      <c r="E356">
        <f>_xlfn.XLOOKUP(A356,'Grocery and sales Data'!$A$1:$A$991,'Grocery and sales Data'!$R$1:$R$991)</f>
        <v>346.5</v>
      </c>
      <c r="F356" t="str">
        <f t="shared" si="5"/>
        <v>Medium</v>
      </c>
    </row>
    <row r="357" spans="1:6" ht="16" x14ac:dyDescent="0.4">
      <c r="A357" s="2" t="s">
        <v>1438</v>
      </c>
      <c r="B357" t="str">
        <f>_xlfn.XLOOKUP(A357,'Grocery and sales Data'!$A$1:$A$991,'Grocery and sales Data'!$B$1:$B$991)</f>
        <v>Orange</v>
      </c>
      <c r="C357" t="str">
        <f>_xlfn.XLOOKUP(A357,'Grocery and sales Data'!$A$1:$A$991,'Grocery and sales Data'!$C$1:$C$991)</f>
        <v>Fruits &amp; Vegetables</v>
      </c>
      <c r="D357" s="9">
        <f>_xlfn.XLOOKUP(A357,'Grocery and sales Data'!$A$1:$A$991,'Grocery and sales Data'!$I$1:$I$991)</f>
        <v>2.85</v>
      </c>
      <c r="E357">
        <f>_xlfn.XLOOKUP(A357,'Grocery and sales Data'!$A$1:$A$991,'Grocery and sales Data'!$R$1:$R$991)</f>
        <v>136.80000000000001</v>
      </c>
      <c r="F357" t="str">
        <f t="shared" si="5"/>
        <v>Medium</v>
      </c>
    </row>
    <row r="358" spans="1:6" ht="16" x14ac:dyDescent="0.4">
      <c r="A358" s="2" t="s">
        <v>1442</v>
      </c>
      <c r="B358" t="str">
        <f>_xlfn.XLOOKUP(A358,'Grocery and sales Data'!$A$1:$A$991,'Grocery and sales Data'!$B$1:$B$991)</f>
        <v>Eggplant</v>
      </c>
      <c r="C358" t="str">
        <f>_xlfn.XLOOKUP(A358,'Grocery and sales Data'!$A$1:$A$991,'Grocery and sales Data'!$C$1:$C$991)</f>
        <v>Fruits &amp; Vegetables</v>
      </c>
      <c r="D358" s="9">
        <f>_xlfn.XLOOKUP(A358,'Grocery and sales Data'!$A$1:$A$991,'Grocery and sales Data'!$I$1:$I$991)</f>
        <v>3</v>
      </c>
      <c r="E358">
        <f>_xlfn.XLOOKUP(A358,'Grocery and sales Data'!$A$1:$A$991,'Grocery and sales Data'!$R$1:$R$991)</f>
        <v>147</v>
      </c>
      <c r="F358" t="str">
        <f t="shared" si="5"/>
        <v>Medium</v>
      </c>
    </row>
    <row r="359" spans="1:6" ht="16" x14ac:dyDescent="0.4">
      <c r="A359" s="2" t="s">
        <v>1446</v>
      </c>
      <c r="B359" t="str">
        <f>_xlfn.XLOOKUP(A359,'Grocery and sales Data'!$A$1:$A$991,'Grocery and sales Data'!$B$1:$B$991)</f>
        <v>Evaporated Milk</v>
      </c>
      <c r="C359" t="str">
        <f>_xlfn.XLOOKUP(A359,'Grocery and sales Data'!$A$1:$A$991,'Grocery and sales Data'!$C$1:$C$991)</f>
        <v>Dairy</v>
      </c>
      <c r="D359" s="9">
        <f>_xlfn.XLOOKUP(A359,'Grocery and sales Data'!$A$1:$A$991,'Grocery and sales Data'!$I$1:$I$991)</f>
        <v>1.9</v>
      </c>
      <c r="E359">
        <f>_xlfn.XLOOKUP(A359,'Grocery and sales Data'!$A$1:$A$991,'Grocery and sales Data'!$R$1:$R$991)</f>
        <v>161.5</v>
      </c>
      <c r="F359" t="str">
        <f t="shared" si="5"/>
        <v>Medium</v>
      </c>
    </row>
    <row r="360" spans="1:6" ht="16" x14ac:dyDescent="0.4">
      <c r="A360" s="2" t="s">
        <v>1449</v>
      </c>
      <c r="B360" t="str">
        <f>_xlfn.XLOOKUP(A360,'Grocery and sales Data'!$A$1:$A$991,'Grocery and sales Data'!$B$1:$B$991)</f>
        <v>Whipped Cream</v>
      </c>
      <c r="C360" t="str">
        <f>_xlfn.XLOOKUP(A360,'Grocery and sales Data'!$A$1:$A$991,'Grocery and sales Data'!$C$1:$C$991)</f>
        <v>Dairy</v>
      </c>
      <c r="D360" s="9">
        <f>_xlfn.XLOOKUP(A360,'Grocery and sales Data'!$A$1:$A$991,'Grocery and sales Data'!$I$1:$I$991)</f>
        <v>4</v>
      </c>
      <c r="E360">
        <f>_xlfn.XLOOKUP(A360,'Grocery and sales Data'!$A$1:$A$991,'Grocery and sales Data'!$R$1:$R$991)</f>
        <v>260</v>
      </c>
      <c r="F360" t="str">
        <f t="shared" si="5"/>
        <v>Medium</v>
      </c>
    </row>
    <row r="361" spans="1:6" ht="16" x14ac:dyDescent="0.4">
      <c r="A361" s="2" t="s">
        <v>1453</v>
      </c>
      <c r="B361" t="str">
        <f>_xlfn.XLOOKUP(A361,'Grocery and sales Data'!$A$1:$A$991,'Grocery and sales Data'!$B$1:$B$991)</f>
        <v>Sesame Oil</v>
      </c>
      <c r="C361" t="str">
        <f>_xlfn.XLOOKUP(A361,'Grocery and sales Data'!$A$1:$A$991,'Grocery and sales Data'!$C$1:$C$991)</f>
        <v>Oils &amp; Fats</v>
      </c>
      <c r="D361" s="9">
        <f>_xlfn.XLOOKUP(A361,'Grocery and sales Data'!$A$1:$A$991,'Grocery and sales Data'!$I$1:$I$991)</f>
        <v>6.5</v>
      </c>
      <c r="E361">
        <f>_xlfn.XLOOKUP(A361,'Grocery and sales Data'!$A$1:$A$991,'Grocery and sales Data'!$R$1:$R$991)</f>
        <v>188.5</v>
      </c>
      <c r="F361" t="str">
        <f t="shared" si="5"/>
        <v>Medium</v>
      </c>
    </row>
    <row r="362" spans="1:6" ht="16" x14ac:dyDescent="0.4">
      <c r="A362" s="2" t="s">
        <v>1457</v>
      </c>
      <c r="B362" t="str">
        <f>_xlfn.XLOOKUP(A362,'Grocery and sales Data'!$A$1:$A$991,'Grocery and sales Data'!$B$1:$B$991)</f>
        <v>Cream</v>
      </c>
      <c r="C362" t="str">
        <f>_xlfn.XLOOKUP(A362,'Grocery and sales Data'!$A$1:$A$991,'Grocery and sales Data'!$C$1:$C$991)</f>
        <v>Dairy</v>
      </c>
      <c r="D362" s="9">
        <f>_xlfn.XLOOKUP(A362,'Grocery and sales Data'!$A$1:$A$991,'Grocery and sales Data'!$I$1:$I$991)</f>
        <v>2.5</v>
      </c>
      <c r="E362">
        <f>_xlfn.XLOOKUP(A362,'Grocery and sales Data'!$A$1:$A$991,'Grocery and sales Data'!$R$1:$R$991)</f>
        <v>195</v>
      </c>
      <c r="F362" t="str">
        <f t="shared" si="5"/>
        <v>Medium</v>
      </c>
    </row>
    <row r="363" spans="1:6" ht="16" x14ac:dyDescent="0.4">
      <c r="A363" s="2" t="s">
        <v>1460</v>
      </c>
      <c r="B363" t="str">
        <f>_xlfn.XLOOKUP(A363,'Grocery and sales Data'!$A$1:$A$991,'Grocery and sales Data'!$B$1:$B$991)</f>
        <v>Coconut Sugar</v>
      </c>
      <c r="C363" t="str">
        <f>_xlfn.XLOOKUP(A363,'Grocery and sales Data'!$A$1:$A$991,'Grocery and sales Data'!$C$1:$C$991)</f>
        <v>Grains &amp; Pulses</v>
      </c>
      <c r="D363" s="9">
        <f>_xlfn.XLOOKUP(A363,'Grocery and sales Data'!$A$1:$A$991,'Grocery and sales Data'!$I$1:$I$991)</f>
        <v>5</v>
      </c>
      <c r="E363">
        <f>_xlfn.XLOOKUP(A363,'Grocery and sales Data'!$A$1:$A$991,'Grocery and sales Data'!$R$1:$R$991)</f>
        <v>105</v>
      </c>
      <c r="F363" t="str">
        <f t="shared" si="5"/>
        <v>Medium</v>
      </c>
    </row>
    <row r="364" spans="1:6" ht="16" x14ac:dyDescent="0.4">
      <c r="A364" s="2" t="s">
        <v>1464</v>
      </c>
      <c r="B364" t="str">
        <f>_xlfn.XLOOKUP(A364,'Grocery and sales Data'!$A$1:$A$991,'Grocery and sales Data'!$B$1:$B$991)</f>
        <v>Asparagus</v>
      </c>
      <c r="C364" t="str">
        <f>_xlfn.XLOOKUP(A364,'Grocery and sales Data'!$A$1:$A$991,'Grocery and sales Data'!$C$1:$C$991)</f>
        <v>Fruits &amp; Vegetables</v>
      </c>
      <c r="D364" s="9">
        <f>_xlfn.XLOOKUP(A364,'Grocery and sales Data'!$A$1:$A$991,'Grocery and sales Data'!$I$1:$I$991)</f>
        <v>5</v>
      </c>
      <c r="E364">
        <f>_xlfn.XLOOKUP(A364,'Grocery and sales Data'!$A$1:$A$991,'Grocery and sales Data'!$R$1:$R$991)</f>
        <v>420</v>
      </c>
      <c r="F364" t="str">
        <f t="shared" si="5"/>
        <v>Medium</v>
      </c>
    </row>
    <row r="365" spans="1:6" ht="16" x14ac:dyDescent="0.4">
      <c r="A365" s="2" t="s">
        <v>1468</v>
      </c>
      <c r="B365" t="str">
        <f>_xlfn.XLOOKUP(A365,'Grocery and sales Data'!$A$1:$A$991,'Grocery and sales Data'!$B$1:$B$991)</f>
        <v>Wild Rice</v>
      </c>
      <c r="C365" t="str">
        <f>_xlfn.XLOOKUP(A365,'Grocery and sales Data'!$A$1:$A$991,'Grocery and sales Data'!$C$1:$C$991)</f>
        <v>Grains &amp; Pulses</v>
      </c>
      <c r="D365" s="9">
        <f>_xlfn.XLOOKUP(A365,'Grocery and sales Data'!$A$1:$A$991,'Grocery and sales Data'!$I$1:$I$991)</f>
        <v>10</v>
      </c>
      <c r="E365">
        <f>_xlfn.XLOOKUP(A365,'Grocery and sales Data'!$A$1:$A$991,'Grocery and sales Data'!$R$1:$R$991)</f>
        <v>630</v>
      </c>
      <c r="F365" t="str">
        <f t="shared" si="5"/>
        <v>Medium</v>
      </c>
    </row>
    <row r="366" spans="1:6" ht="16" x14ac:dyDescent="0.4">
      <c r="A366" s="2" t="s">
        <v>1472</v>
      </c>
      <c r="B366" t="str">
        <f>_xlfn.XLOOKUP(A366,'Grocery and sales Data'!$A$1:$A$991,'Grocery and sales Data'!$B$1:$B$991)</f>
        <v>Long Grain Rice</v>
      </c>
      <c r="C366" t="str">
        <f>_xlfn.XLOOKUP(A366,'Grocery and sales Data'!$A$1:$A$991,'Grocery and sales Data'!$C$1:$C$991)</f>
        <v>Grains &amp; Pulses</v>
      </c>
      <c r="D366" s="9">
        <f>_xlfn.XLOOKUP(A366,'Grocery and sales Data'!$A$1:$A$991,'Grocery and sales Data'!$I$1:$I$991)</f>
        <v>1.5</v>
      </c>
      <c r="E366">
        <f>_xlfn.XLOOKUP(A366,'Grocery and sales Data'!$A$1:$A$991,'Grocery and sales Data'!$R$1:$R$991)</f>
        <v>45</v>
      </c>
      <c r="F366" t="str">
        <f t="shared" si="5"/>
        <v>Low</v>
      </c>
    </row>
    <row r="367" spans="1:6" ht="16" x14ac:dyDescent="0.4">
      <c r="A367" s="2" t="s">
        <v>1475</v>
      </c>
      <c r="B367" t="str">
        <f>_xlfn.XLOOKUP(A367,'Grocery and sales Data'!$A$1:$A$991,'Grocery and sales Data'!$B$1:$B$991)</f>
        <v>Onion</v>
      </c>
      <c r="C367" t="str">
        <f>_xlfn.XLOOKUP(A367,'Grocery and sales Data'!$A$1:$A$991,'Grocery and sales Data'!$C$1:$C$991)</f>
        <v>Fruits &amp; Vegetables</v>
      </c>
      <c r="D367" s="9">
        <f>_xlfn.XLOOKUP(A367,'Grocery and sales Data'!$A$1:$A$991,'Grocery and sales Data'!$I$1:$I$991)</f>
        <v>2</v>
      </c>
      <c r="E367">
        <f>_xlfn.XLOOKUP(A367,'Grocery and sales Data'!$A$1:$A$991,'Grocery and sales Data'!$R$1:$R$991)</f>
        <v>60</v>
      </c>
      <c r="F367" t="str">
        <f t="shared" si="5"/>
        <v>Low</v>
      </c>
    </row>
    <row r="368" spans="1:6" ht="16" x14ac:dyDescent="0.4">
      <c r="A368" s="2" t="s">
        <v>1479</v>
      </c>
      <c r="B368" t="str">
        <f>_xlfn.XLOOKUP(A368,'Grocery and sales Data'!$A$1:$A$991,'Grocery and sales Data'!$B$1:$B$991)</f>
        <v>Salmon</v>
      </c>
      <c r="C368" t="str">
        <f>_xlfn.XLOOKUP(A368,'Grocery and sales Data'!$A$1:$A$991,'Grocery and sales Data'!$C$1:$C$991)</f>
        <v>Seafood</v>
      </c>
      <c r="D368" s="9">
        <f>_xlfn.XLOOKUP(A368,'Grocery and sales Data'!$A$1:$A$991,'Grocery and sales Data'!$I$1:$I$991)</f>
        <v>15</v>
      </c>
      <c r="E368">
        <f>_xlfn.XLOOKUP(A368,'Grocery and sales Data'!$A$1:$A$991,'Grocery and sales Data'!$R$1:$R$991)</f>
        <v>915</v>
      </c>
      <c r="F368" t="str">
        <f t="shared" si="5"/>
        <v>Medium</v>
      </c>
    </row>
    <row r="369" spans="1:6" ht="16" x14ac:dyDescent="0.4">
      <c r="A369" s="2" t="s">
        <v>1483</v>
      </c>
      <c r="B369" t="str">
        <f>_xlfn.XLOOKUP(A369,'Grocery and sales Data'!$A$1:$A$991,'Grocery and sales Data'!$B$1:$B$991)</f>
        <v>Potato</v>
      </c>
      <c r="C369" t="str">
        <f>_xlfn.XLOOKUP(A369,'Grocery and sales Data'!$A$1:$A$991,'Grocery and sales Data'!$C$1:$C$991)</f>
        <v>Fruits &amp; Vegetables</v>
      </c>
      <c r="D369" s="9">
        <f>_xlfn.XLOOKUP(A369,'Grocery and sales Data'!$A$1:$A$991,'Grocery and sales Data'!$I$1:$I$991)</f>
        <v>1.2</v>
      </c>
      <c r="E369">
        <f>_xlfn.XLOOKUP(A369,'Grocery and sales Data'!$A$1:$A$991,'Grocery and sales Data'!$R$1:$R$991)</f>
        <v>76.8</v>
      </c>
      <c r="F369" t="str">
        <f t="shared" si="5"/>
        <v>Low</v>
      </c>
    </row>
    <row r="370" spans="1:6" ht="16" x14ac:dyDescent="0.4">
      <c r="A370" s="2" t="s">
        <v>1486</v>
      </c>
      <c r="B370" t="str">
        <f>_xlfn.XLOOKUP(A370,'Grocery and sales Data'!$A$1:$A$991,'Grocery and sales Data'!$B$1:$B$991)</f>
        <v>Green Coffee</v>
      </c>
      <c r="C370" t="str">
        <f>_xlfn.XLOOKUP(A370,'Grocery and sales Data'!$A$1:$A$991,'Grocery and sales Data'!$C$1:$C$991)</f>
        <v>Beverages</v>
      </c>
      <c r="D370" s="9">
        <f>_xlfn.XLOOKUP(A370,'Grocery and sales Data'!$A$1:$A$991,'Grocery and sales Data'!$I$1:$I$991)</f>
        <v>12</v>
      </c>
      <c r="E370">
        <f>_xlfn.XLOOKUP(A370,'Grocery and sales Data'!$A$1:$A$991,'Grocery and sales Data'!$R$1:$R$991)</f>
        <v>1056</v>
      </c>
      <c r="F370" t="str">
        <f t="shared" si="5"/>
        <v>High</v>
      </c>
    </row>
    <row r="371" spans="1:6" ht="16" x14ac:dyDescent="0.4">
      <c r="A371" s="2" t="s">
        <v>1489</v>
      </c>
      <c r="B371" t="str">
        <f>_xlfn.XLOOKUP(A371,'Grocery and sales Data'!$A$1:$A$991,'Grocery and sales Data'!$B$1:$B$991)</f>
        <v>Powdered Sugar</v>
      </c>
      <c r="C371" t="str">
        <f>_xlfn.XLOOKUP(A371,'Grocery and sales Data'!$A$1:$A$991,'Grocery and sales Data'!$C$1:$C$991)</f>
        <v>Grains &amp; Pulses</v>
      </c>
      <c r="D371" s="9">
        <f>_xlfn.XLOOKUP(A371,'Grocery and sales Data'!$A$1:$A$991,'Grocery and sales Data'!$I$1:$I$991)</f>
        <v>2.5</v>
      </c>
      <c r="E371">
        <f>_xlfn.XLOOKUP(A371,'Grocery and sales Data'!$A$1:$A$991,'Grocery and sales Data'!$R$1:$R$991)</f>
        <v>135</v>
      </c>
      <c r="F371" t="str">
        <f t="shared" si="5"/>
        <v>Medium</v>
      </c>
    </row>
    <row r="372" spans="1:6" ht="16" x14ac:dyDescent="0.4">
      <c r="A372" s="2" t="s">
        <v>1492</v>
      </c>
      <c r="B372" t="str">
        <f>_xlfn.XLOOKUP(A372,'Grocery and sales Data'!$A$1:$A$991,'Grocery and sales Data'!$B$1:$B$991)</f>
        <v>Cauliflower</v>
      </c>
      <c r="C372" t="str">
        <f>_xlfn.XLOOKUP(A372,'Grocery and sales Data'!$A$1:$A$991,'Grocery and sales Data'!$C$1:$C$991)</f>
        <v>Fruits &amp; Vegetables</v>
      </c>
      <c r="D372" s="9">
        <f>_xlfn.XLOOKUP(A372,'Grocery and sales Data'!$A$1:$A$991,'Grocery and sales Data'!$I$1:$I$991)</f>
        <v>2.4500000000000002</v>
      </c>
      <c r="E372">
        <f>_xlfn.XLOOKUP(A372,'Grocery and sales Data'!$A$1:$A$991,'Grocery and sales Data'!$R$1:$R$991)</f>
        <v>171.5</v>
      </c>
      <c r="F372" t="str">
        <f t="shared" si="5"/>
        <v>Medium</v>
      </c>
    </row>
    <row r="373" spans="1:6" ht="16" x14ac:dyDescent="0.4">
      <c r="A373" s="2" t="s">
        <v>1495</v>
      </c>
      <c r="B373" t="str">
        <f>_xlfn.XLOOKUP(A373,'Grocery and sales Data'!$A$1:$A$991,'Grocery and sales Data'!$B$1:$B$991)</f>
        <v>Kale</v>
      </c>
      <c r="C373" t="str">
        <f>_xlfn.XLOOKUP(A373,'Grocery and sales Data'!$A$1:$A$991,'Grocery and sales Data'!$C$1:$C$991)</f>
        <v>Fruits &amp; Vegetables</v>
      </c>
      <c r="D373" s="9">
        <f>_xlfn.XLOOKUP(A373,'Grocery and sales Data'!$A$1:$A$991,'Grocery and sales Data'!$I$1:$I$991)</f>
        <v>4</v>
      </c>
      <c r="E373">
        <f>_xlfn.XLOOKUP(A373,'Grocery and sales Data'!$A$1:$A$991,'Grocery and sales Data'!$R$1:$R$991)</f>
        <v>304</v>
      </c>
      <c r="F373" t="str">
        <f t="shared" si="5"/>
        <v>Medium</v>
      </c>
    </row>
    <row r="374" spans="1:6" ht="16" x14ac:dyDescent="0.4">
      <c r="A374" s="2" t="s">
        <v>1498</v>
      </c>
      <c r="B374" t="str">
        <f>_xlfn.XLOOKUP(A374,'Grocery and sales Data'!$A$1:$A$991,'Grocery and sales Data'!$B$1:$B$991)</f>
        <v>Garlic</v>
      </c>
      <c r="C374" t="str">
        <f>_xlfn.XLOOKUP(A374,'Grocery and sales Data'!$A$1:$A$991,'Grocery and sales Data'!$C$1:$C$991)</f>
        <v>Fruits &amp; Vegetables</v>
      </c>
      <c r="D374" s="9">
        <f>_xlfn.XLOOKUP(A374,'Grocery and sales Data'!$A$1:$A$991,'Grocery and sales Data'!$I$1:$I$991)</f>
        <v>7</v>
      </c>
      <c r="E374">
        <f>_xlfn.XLOOKUP(A374,'Grocery and sales Data'!$A$1:$A$991,'Grocery and sales Data'!$R$1:$R$991)</f>
        <v>665</v>
      </c>
      <c r="F374" t="str">
        <f t="shared" si="5"/>
        <v>Medium</v>
      </c>
    </row>
    <row r="375" spans="1:6" ht="16" x14ac:dyDescent="0.4">
      <c r="A375" s="2" t="s">
        <v>1502</v>
      </c>
      <c r="B375" t="str">
        <f>_xlfn.XLOOKUP(A375,'Grocery and sales Data'!$A$1:$A$991,'Grocery and sales Data'!$B$1:$B$991)</f>
        <v>Green Tea</v>
      </c>
      <c r="C375" t="str">
        <f>_xlfn.XLOOKUP(A375,'Grocery and sales Data'!$A$1:$A$991,'Grocery and sales Data'!$C$1:$C$991)</f>
        <v>Beverages</v>
      </c>
      <c r="D375" s="9">
        <f>_xlfn.XLOOKUP(A375,'Grocery and sales Data'!$A$1:$A$991,'Grocery and sales Data'!$I$1:$I$991)</f>
        <v>8.5</v>
      </c>
      <c r="E375">
        <f>_xlfn.XLOOKUP(A375,'Grocery and sales Data'!$A$1:$A$991,'Grocery and sales Data'!$R$1:$R$991)</f>
        <v>688.5</v>
      </c>
      <c r="F375" t="str">
        <f t="shared" si="5"/>
        <v>Medium</v>
      </c>
    </row>
    <row r="376" spans="1:6" ht="16" x14ac:dyDescent="0.4">
      <c r="A376" s="2" t="s">
        <v>1505</v>
      </c>
      <c r="B376" t="str">
        <f>_xlfn.XLOOKUP(A376,'Grocery and sales Data'!$A$1:$A$991,'Grocery and sales Data'!$B$1:$B$991)</f>
        <v>Green Tea</v>
      </c>
      <c r="C376" t="str">
        <f>_xlfn.XLOOKUP(A376,'Grocery and sales Data'!$A$1:$A$991,'Grocery and sales Data'!$C$1:$C$991)</f>
        <v>Beverages</v>
      </c>
      <c r="D376" s="9">
        <f>_xlfn.XLOOKUP(A376,'Grocery and sales Data'!$A$1:$A$991,'Grocery and sales Data'!$I$1:$I$991)</f>
        <v>8</v>
      </c>
      <c r="E376">
        <f>_xlfn.XLOOKUP(A376,'Grocery and sales Data'!$A$1:$A$991,'Grocery and sales Data'!$R$1:$R$991)</f>
        <v>776</v>
      </c>
      <c r="F376" t="str">
        <f t="shared" si="5"/>
        <v>Medium</v>
      </c>
    </row>
    <row r="377" spans="1:6" ht="16" x14ac:dyDescent="0.4">
      <c r="A377" s="2" t="s">
        <v>1508</v>
      </c>
      <c r="B377" t="str">
        <f>_xlfn.XLOOKUP(A377,'Grocery and sales Data'!$A$1:$A$991,'Grocery and sales Data'!$B$1:$B$991)</f>
        <v>Green Tea</v>
      </c>
      <c r="C377" t="str">
        <f>_xlfn.XLOOKUP(A377,'Grocery and sales Data'!$A$1:$A$991,'Grocery and sales Data'!$C$1:$C$991)</f>
        <v>Beverages</v>
      </c>
      <c r="D377" s="9">
        <f>_xlfn.XLOOKUP(A377,'Grocery and sales Data'!$A$1:$A$991,'Grocery and sales Data'!$I$1:$I$991)</f>
        <v>8</v>
      </c>
      <c r="E377">
        <f>_xlfn.XLOOKUP(A377,'Grocery and sales Data'!$A$1:$A$991,'Grocery and sales Data'!$R$1:$R$991)</f>
        <v>624</v>
      </c>
      <c r="F377" t="str">
        <f t="shared" si="5"/>
        <v>Medium</v>
      </c>
    </row>
    <row r="378" spans="1:6" ht="16" x14ac:dyDescent="0.4">
      <c r="A378" s="2" t="s">
        <v>1511</v>
      </c>
      <c r="B378" t="str">
        <f>_xlfn.XLOOKUP(A378,'Grocery and sales Data'!$A$1:$A$991,'Grocery and sales Data'!$B$1:$B$991)</f>
        <v>Cottage Cheese</v>
      </c>
      <c r="C378" t="str">
        <f>_xlfn.XLOOKUP(A378,'Grocery and sales Data'!$A$1:$A$991,'Grocery and sales Data'!$C$1:$C$991)</f>
        <v>Dairy</v>
      </c>
      <c r="D378" s="9">
        <f>_xlfn.XLOOKUP(A378,'Grocery and sales Data'!$A$1:$A$991,'Grocery and sales Data'!$I$1:$I$991)</f>
        <v>5</v>
      </c>
      <c r="E378">
        <f>_xlfn.XLOOKUP(A378,'Grocery and sales Data'!$A$1:$A$991,'Grocery and sales Data'!$R$1:$R$991)</f>
        <v>470</v>
      </c>
      <c r="F378" t="str">
        <f t="shared" si="5"/>
        <v>Medium</v>
      </c>
    </row>
    <row r="379" spans="1:6" ht="16" x14ac:dyDescent="0.4">
      <c r="A379" s="2" t="s">
        <v>1515</v>
      </c>
      <c r="B379" t="str">
        <f>_xlfn.XLOOKUP(A379,'Grocery and sales Data'!$A$1:$A$991,'Grocery and sales Data'!$B$1:$B$991)</f>
        <v>Wild Rice</v>
      </c>
      <c r="C379" t="str">
        <f>_xlfn.XLOOKUP(A379,'Grocery and sales Data'!$A$1:$A$991,'Grocery and sales Data'!$C$1:$C$991)</f>
        <v>Grains &amp; Pulses</v>
      </c>
      <c r="D379" s="9">
        <f>_xlfn.XLOOKUP(A379,'Grocery and sales Data'!$A$1:$A$991,'Grocery and sales Data'!$I$1:$I$991)</f>
        <v>10</v>
      </c>
      <c r="E379">
        <f>_xlfn.XLOOKUP(A379,'Grocery and sales Data'!$A$1:$A$991,'Grocery and sales Data'!$R$1:$R$991)</f>
        <v>400</v>
      </c>
      <c r="F379" t="str">
        <f t="shared" si="5"/>
        <v>Medium</v>
      </c>
    </row>
    <row r="380" spans="1:6" ht="16" x14ac:dyDescent="0.4">
      <c r="A380" s="2" t="s">
        <v>1519</v>
      </c>
      <c r="B380" t="str">
        <f>_xlfn.XLOOKUP(A380,'Grocery and sales Data'!$A$1:$A$991,'Grocery and sales Data'!$B$1:$B$991)</f>
        <v>Pear</v>
      </c>
      <c r="C380" t="str">
        <f>_xlfn.XLOOKUP(A380,'Grocery and sales Data'!$A$1:$A$991,'Grocery and sales Data'!$C$1:$C$991)</f>
        <v>Fruits &amp; Vegetables</v>
      </c>
      <c r="D380" s="9">
        <f>_xlfn.XLOOKUP(A380,'Grocery and sales Data'!$A$1:$A$991,'Grocery and sales Data'!$I$1:$I$991)</f>
        <v>4.5</v>
      </c>
      <c r="E380">
        <f>_xlfn.XLOOKUP(A380,'Grocery and sales Data'!$A$1:$A$991,'Grocery and sales Data'!$R$1:$R$991)</f>
        <v>414</v>
      </c>
      <c r="F380" t="str">
        <f t="shared" si="5"/>
        <v>Medium</v>
      </c>
    </row>
    <row r="381" spans="1:6" ht="16" x14ac:dyDescent="0.4">
      <c r="A381" s="2" t="s">
        <v>1522</v>
      </c>
      <c r="B381" t="str">
        <f>_xlfn.XLOOKUP(A381,'Grocery and sales Data'!$A$1:$A$991,'Grocery and sales Data'!$B$1:$B$991)</f>
        <v>Peach</v>
      </c>
      <c r="C381" t="str">
        <f>_xlfn.XLOOKUP(A381,'Grocery and sales Data'!$A$1:$A$991,'Grocery and sales Data'!$C$1:$C$991)</f>
        <v>Fruits &amp; Vegetables</v>
      </c>
      <c r="D381" s="9">
        <f>_xlfn.XLOOKUP(A381,'Grocery and sales Data'!$A$1:$A$991,'Grocery and sales Data'!$I$1:$I$991)</f>
        <v>4</v>
      </c>
      <c r="E381">
        <f>_xlfn.XLOOKUP(A381,'Grocery and sales Data'!$A$1:$A$991,'Grocery and sales Data'!$R$1:$R$991)</f>
        <v>372</v>
      </c>
      <c r="F381" t="str">
        <f t="shared" si="5"/>
        <v>Medium</v>
      </c>
    </row>
    <row r="382" spans="1:6" ht="16" x14ac:dyDescent="0.4">
      <c r="A382" s="2" t="s">
        <v>1525</v>
      </c>
      <c r="B382" t="str">
        <f>_xlfn.XLOOKUP(A382,'Grocery and sales Data'!$A$1:$A$991,'Grocery and sales Data'!$B$1:$B$991)</f>
        <v>Yogurt</v>
      </c>
      <c r="C382" t="str">
        <f>_xlfn.XLOOKUP(A382,'Grocery and sales Data'!$A$1:$A$991,'Grocery and sales Data'!$C$1:$C$991)</f>
        <v>Dairy</v>
      </c>
      <c r="D382" s="9">
        <f>_xlfn.XLOOKUP(A382,'Grocery and sales Data'!$A$1:$A$991,'Grocery and sales Data'!$I$1:$I$991)</f>
        <v>1.75</v>
      </c>
      <c r="E382">
        <f>_xlfn.XLOOKUP(A382,'Grocery and sales Data'!$A$1:$A$991,'Grocery and sales Data'!$R$1:$R$991)</f>
        <v>108.5</v>
      </c>
      <c r="F382" t="str">
        <f t="shared" si="5"/>
        <v>Medium</v>
      </c>
    </row>
    <row r="383" spans="1:6" ht="16" x14ac:dyDescent="0.4">
      <c r="A383" s="2" t="s">
        <v>1528</v>
      </c>
      <c r="B383" t="str">
        <f>_xlfn.XLOOKUP(A383,'Grocery and sales Data'!$A$1:$A$991,'Grocery and sales Data'!$B$1:$B$991)</f>
        <v>Feta Cheese</v>
      </c>
      <c r="C383" t="str">
        <f>_xlfn.XLOOKUP(A383,'Grocery and sales Data'!$A$1:$A$991,'Grocery and sales Data'!$C$1:$C$991)</f>
        <v>Dairy</v>
      </c>
      <c r="D383" s="9">
        <f>_xlfn.XLOOKUP(A383,'Grocery and sales Data'!$A$1:$A$991,'Grocery and sales Data'!$I$1:$I$991)</f>
        <v>7</v>
      </c>
      <c r="E383">
        <f>_xlfn.XLOOKUP(A383,'Grocery and sales Data'!$A$1:$A$991,'Grocery and sales Data'!$R$1:$R$991)</f>
        <v>448</v>
      </c>
      <c r="F383" t="str">
        <f t="shared" si="5"/>
        <v>Medium</v>
      </c>
    </row>
    <row r="384" spans="1:6" ht="16" x14ac:dyDescent="0.4">
      <c r="A384" s="2" t="s">
        <v>1531</v>
      </c>
      <c r="B384" t="str">
        <f>_xlfn.XLOOKUP(A384,'Grocery and sales Data'!$A$1:$A$991,'Grocery and sales Data'!$B$1:$B$991)</f>
        <v>Sweet Potato</v>
      </c>
      <c r="C384" t="str">
        <f>_xlfn.XLOOKUP(A384,'Grocery and sales Data'!$A$1:$A$991,'Grocery and sales Data'!$C$1:$C$991)</f>
        <v>Fruits &amp; Vegetables</v>
      </c>
      <c r="D384" s="9">
        <f>_xlfn.XLOOKUP(A384,'Grocery and sales Data'!$A$1:$A$991,'Grocery and sales Data'!$I$1:$I$991)</f>
        <v>2</v>
      </c>
      <c r="E384">
        <f>_xlfn.XLOOKUP(A384,'Grocery and sales Data'!$A$1:$A$991,'Grocery and sales Data'!$R$1:$R$991)</f>
        <v>196</v>
      </c>
      <c r="F384" t="str">
        <f t="shared" si="5"/>
        <v>Medium</v>
      </c>
    </row>
    <row r="385" spans="1:6" ht="16" x14ac:dyDescent="0.4">
      <c r="A385" s="2" t="s">
        <v>1535</v>
      </c>
      <c r="B385" t="str">
        <f>_xlfn.XLOOKUP(A385,'Grocery and sales Data'!$A$1:$A$991,'Grocery and sales Data'!$B$1:$B$991)</f>
        <v>Butter</v>
      </c>
      <c r="C385" t="str">
        <f>_xlfn.XLOOKUP(A385,'Grocery and sales Data'!$A$1:$A$991,'Grocery and sales Data'!$C$1:$C$991)</f>
        <v>Dairy</v>
      </c>
      <c r="D385" s="9">
        <f>_xlfn.XLOOKUP(A385,'Grocery and sales Data'!$A$1:$A$991,'Grocery and sales Data'!$I$1:$I$991)</f>
        <v>3.1</v>
      </c>
      <c r="E385">
        <f>_xlfn.XLOOKUP(A385,'Grocery and sales Data'!$A$1:$A$991,'Grocery and sales Data'!$R$1:$R$991)</f>
        <v>198.4</v>
      </c>
      <c r="F385" t="str">
        <f t="shared" si="5"/>
        <v>Medium</v>
      </c>
    </row>
    <row r="386" spans="1:6" ht="16" x14ac:dyDescent="0.4">
      <c r="A386" s="2" t="s">
        <v>1538</v>
      </c>
      <c r="B386" t="str">
        <f>_xlfn.XLOOKUP(A386,'Grocery and sales Data'!$A$1:$A$991,'Grocery and sales Data'!$B$1:$B$991)</f>
        <v>Coconut Oil</v>
      </c>
      <c r="C386" t="str">
        <f>_xlfn.XLOOKUP(A386,'Grocery and sales Data'!$A$1:$A$991,'Grocery and sales Data'!$C$1:$C$991)</f>
        <v>Oils &amp; Fats</v>
      </c>
      <c r="D386" s="9">
        <f>_xlfn.XLOOKUP(A386,'Grocery and sales Data'!$A$1:$A$991,'Grocery and sales Data'!$I$1:$I$991)</f>
        <v>5</v>
      </c>
      <c r="E386">
        <f>_xlfn.XLOOKUP(A386,'Grocery and sales Data'!$A$1:$A$991,'Grocery and sales Data'!$R$1:$R$991)</f>
        <v>300</v>
      </c>
      <c r="F386" t="str">
        <f t="shared" si="5"/>
        <v>Medium</v>
      </c>
    </row>
    <row r="387" spans="1:6" ht="16" x14ac:dyDescent="0.4">
      <c r="A387" s="2" t="s">
        <v>1542</v>
      </c>
      <c r="B387" t="str">
        <f>_xlfn.XLOOKUP(A387,'Grocery and sales Data'!$A$1:$A$991,'Grocery and sales Data'!$B$1:$B$991)</f>
        <v>Apple</v>
      </c>
      <c r="C387" t="str">
        <f>_xlfn.XLOOKUP(A387,'Grocery and sales Data'!$A$1:$A$991,'Grocery and sales Data'!$C$1:$C$991)</f>
        <v>Fruits &amp; Vegetables</v>
      </c>
      <c r="D387" s="9">
        <f>_xlfn.XLOOKUP(A387,'Grocery and sales Data'!$A$1:$A$991,'Grocery and sales Data'!$I$1:$I$991)</f>
        <v>3.5</v>
      </c>
      <c r="E387">
        <f>_xlfn.XLOOKUP(A387,'Grocery and sales Data'!$A$1:$A$991,'Grocery and sales Data'!$R$1:$R$991)</f>
        <v>136.5</v>
      </c>
      <c r="F387" t="str">
        <f t="shared" ref="F387:F450" si="6">IF(E387&gt;=1000,"High",IF(E387&gt;=100,"Medium","Low"))</f>
        <v>Medium</v>
      </c>
    </row>
    <row r="388" spans="1:6" ht="16" x14ac:dyDescent="0.4">
      <c r="A388" s="2" t="s">
        <v>1545</v>
      </c>
      <c r="B388" t="str">
        <f>_xlfn.XLOOKUP(A388,'Grocery and sales Data'!$A$1:$A$991,'Grocery and sales Data'!$B$1:$B$991)</f>
        <v>Mushrooms</v>
      </c>
      <c r="C388" t="str">
        <f>_xlfn.XLOOKUP(A388,'Grocery and sales Data'!$A$1:$A$991,'Grocery and sales Data'!$C$1:$C$991)</f>
        <v>Fruits &amp; Vegetables</v>
      </c>
      <c r="D388" s="9">
        <f>_xlfn.XLOOKUP(A388,'Grocery and sales Data'!$A$1:$A$991,'Grocery and sales Data'!$I$1:$I$991)</f>
        <v>6.2</v>
      </c>
      <c r="E388">
        <f>_xlfn.XLOOKUP(A388,'Grocery and sales Data'!$A$1:$A$991,'Grocery and sales Data'!$R$1:$R$991)</f>
        <v>359.6</v>
      </c>
      <c r="F388" t="str">
        <f t="shared" si="6"/>
        <v>Medium</v>
      </c>
    </row>
    <row r="389" spans="1:6" ht="16" x14ac:dyDescent="0.4">
      <c r="A389" s="2" t="s">
        <v>1548</v>
      </c>
      <c r="B389" t="str">
        <f>_xlfn.XLOOKUP(A389,'Grocery and sales Data'!$A$1:$A$991,'Grocery and sales Data'!$B$1:$B$991)</f>
        <v>Mackerel</v>
      </c>
      <c r="C389" t="str">
        <f>_xlfn.XLOOKUP(A389,'Grocery and sales Data'!$A$1:$A$991,'Grocery and sales Data'!$C$1:$C$991)</f>
        <v>Seafood</v>
      </c>
      <c r="D389" s="9">
        <f>_xlfn.XLOOKUP(A389,'Grocery and sales Data'!$A$1:$A$991,'Grocery and sales Data'!$I$1:$I$991)</f>
        <v>7.5</v>
      </c>
      <c r="E389">
        <f>_xlfn.XLOOKUP(A389,'Grocery and sales Data'!$A$1:$A$991,'Grocery and sales Data'!$R$1:$R$991)</f>
        <v>495</v>
      </c>
      <c r="F389" t="str">
        <f t="shared" si="6"/>
        <v>Medium</v>
      </c>
    </row>
    <row r="390" spans="1:6" ht="16" x14ac:dyDescent="0.4">
      <c r="A390" s="2" t="s">
        <v>1551</v>
      </c>
      <c r="B390" t="str">
        <f>_xlfn.XLOOKUP(A390,'Grocery and sales Data'!$A$1:$A$991,'Grocery and sales Data'!$B$1:$B$991)</f>
        <v>Whole Wheat Bread</v>
      </c>
      <c r="C390" t="str">
        <f>_xlfn.XLOOKUP(A390,'Grocery and sales Data'!$A$1:$A$991,'Grocery and sales Data'!$C$1:$C$991)</f>
        <v>Bakery</v>
      </c>
      <c r="D390" s="9">
        <f>_xlfn.XLOOKUP(A390,'Grocery and sales Data'!$A$1:$A$991,'Grocery and sales Data'!$I$1:$I$991)</f>
        <v>3.5</v>
      </c>
      <c r="E390">
        <f>_xlfn.XLOOKUP(A390,'Grocery and sales Data'!$A$1:$A$991,'Grocery and sales Data'!$R$1:$R$991)</f>
        <v>325.5</v>
      </c>
      <c r="F390" t="str">
        <f t="shared" si="6"/>
        <v>Medium</v>
      </c>
    </row>
    <row r="391" spans="1:6" ht="16" x14ac:dyDescent="0.4">
      <c r="A391" s="2" t="s">
        <v>1555</v>
      </c>
      <c r="B391" t="str">
        <f>_xlfn.XLOOKUP(A391,'Grocery and sales Data'!$A$1:$A$991,'Grocery and sales Data'!$B$1:$B$991)</f>
        <v>Sushi Rice</v>
      </c>
      <c r="C391" t="str">
        <f>_xlfn.XLOOKUP(A391,'Grocery and sales Data'!$A$1:$A$991,'Grocery and sales Data'!$C$1:$C$991)</f>
        <v>Grains &amp; Pulses</v>
      </c>
      <c r="D391" s="9">
        <f>_xlfn.XLOOKUP(A391,'Grocery and sales Data'!$A$1:$A$991,'Grocery and sales Data'!$I$1:$I$991)</f>
        <v>4.75</v>
      </c>
      <c r="E391">
        <f>_xlfn.XLOOKUP(A391,'Grocery and sales Data'!$A$1:$A$991,'Grocery and sales Data'!$R$1:$R$991)</f>
        <v>346.75</v>
      </c>
      <c r="F391" t="str">
        <f t="shared" si="6"/>
        <v>Medium</v>
      </c>
    </row>
    <row r="392" spans="1:6" ht="16" x14ac:dyDescent="0.4">
      <c r="A392" s="2" t="s">
        <v>1558</v>
      </c>
      <c r="B392" t="str">
        <f>_xlfn.XLOOKUP(A392,'Grocery and sales Data'!$A$1:$A$991,'Grocery and sales Data'!$B$1:$B$991)</f>
        <v>Cod</v>
      </c>
      <c r="C392" t="str">
        <f>_xlfn.XLOOKUP(A392,'Grocery and sales Data'!$A$1:$A$991,'Grocery and sales Data'!$C$1:$C$991)</f>
        <v>Seafood</v>
      </c>
      <c r="D392" s="9">
        <f>_xlfn.XLOOKUP(A392,'Grocery and sales Data'!$A$1:$A$991,'Grocery and sales Data'!$I$1:$I$991)</f>
        <v>8</v>
      </c>
      <c r="E392">
        <f>_xlfn.XLOOKUP(A392,'Grocery and sales Data'!$A$1:$A$991,'Grocery and sales Data'!$R$1:$R$991)</f>
        <v>448</v>
      </c>
      <c r="F392" t="str">
        <f t="shared" si="6"/>
        <v>Medium</v>
      </c>
    </row>
    <row r="393" spans="1:6" ht="16" x14ac:dyDescent="0.4">
      <c r="A393" s="2" t="s">
        <v>1561</v>
      </c>
      <c r="B393" t="str">
        <f>_xlfn.XLOOKUP(A393,'Grocery and sales Data'!$A$1:$A$991,'Grocery and sales Data'!$B$1:$B$991)</f>
        <v>Papaya</v>
      </c>
      <c r="C393" t="str">
        <f>_xlfn.XLOOKUP(A393,'Grocery and sales Data'!$A$1:$A$991,'Grocery and sales Data'!$C$1:$C$991)</f>
        <v>Fruits &amp; Vegetables</v>
      </c>
      <c r="D393" s="9">
        <f>_xlfn.XLOOKUP(A393,'Grocery and sales Data'!$A$1:$A$991,'Grocery and sales Data'!$I$1:$I$991)</f>
        <v>4.5</v>
      </c>
      <c r="E393">
        <f>_xlfn.XLOOKUP(A393,'Grocery and sales Data'!$A$1:$A$991,'Grocery and sales Data'!$R$1:$R$991)</f>
        <v>157.5</v>
      </c>
      <c r="F393" t="str">
        <f t="shared" si="6"/>
        <v>Medium</v>
      </c>
    </row>
    <row r="394" spans="1:6" ht="16" x14ac:dyDescent="0.4">
      <c r="A394" s="2" t="s">
        <v>1564</v>
      </c>
      <c r="B394" t="str">
        <f>_xlfn.XLOOKUP(A394,'Grocery and sales Data'!$A$1:$A$991,'Grocery and sales Data'!$B$1:$B$991)</f>
        <v>Egg (Goose)</v>
      </c>
      <c r="C394" t="str">
        <f>_xlfn.XLOOKUP(A394,'Grocery and sales Data'!$A$1:$A$991,'Grocery and sales Data'!$C$1:$C$991)</f>
        <v>Dairy</v>
      </c>
      <c r="D394" s="9">
        <f>_xlfn.XLOOKUP(A394,'Grocery and sales Data'!$A$1:$A$991,'Grocery and sales Data'!$I$1:$I$991)</f>
        <v>2.5</v>
      </c>
      <c r="E394">
        <f>_xlfn.XLOOKUP(A394,'Grocery and sales Data'!$A$1:$A$991,'Grocery and sales Data'!$R$1:$R$991)</f>
        <v>237.5</v>
      </c>
      <c r="F394" t="str">
        <f t="shared" si="6"/>
        <v>Medium</v>
      </c>
    </row>
    <row r="395" spans="1:6" ht="16" x14ac:dyDescent="0.4">
      <c r="A395" s="2" t="s">
        <v>1567</v>
      </c>
      <c r="B395" t="str">
        <f>_xlfn.XLOOKUP(A395,'Grocery and sales Data'!$A$1:$A$991,'Grocery and sales Data'!$B$1:$B$991)</f>
        <v>Bread Flour</v>
      </c>
      <c r="C395" t="str">
        <f>_xlfn.XLOOKUP(A395,'Grocery and sales Data'!$A$1:$A$991,'Grocery and sales Data'!$C$1:$C$991)</f>
        <v>Grains &amp; Pulses</v>
      </c>
      <c r="D395" s="9">
        <f>_xlfn.XLOOKUP(A395,'Grocery and sales Data'!$A$1:$A$991,'Grocery and sales Data'!$I$1:$I$991)</f>
        <v>1.5</v>
      </c>
      <c r="E395">
        <f>_xlfn.XLOOKUP(A395,'Grocery and sales Data'!$A$1:$A$991,'Grocery and sales Data'!$R$1:$R$991)</f>
        <v>121.5</v>
      </c>
      <c r="F395" t="str">
        <f t="shared" si="6"/>
        <v>Medium</v>
      </c>
    </row>
    <row r="396" spans="1:6" ht="16" x14ac:dyDescent="0.4">
      <c r="A396" s="2" t="s">
        <v>1571</v>
      </c>
      <c r="B396" t="str">
        <f>_xlfn.XLOOKUP(A396,'Grocery and sales Data'!$A$1:$A$991,'Grocery and sales Data'!$B$1:$B$991)</f>
        <v>Coconut</v>
      </c>
      <c r="C396" t="str">
        <f>_xlfn.XLOOKUP(A396,'Grocery and sales Data'!$A$1:$A$991,'Grocery and sales Data'!$C$1:$C$991)</f>
        <v>Fruits &amp; Vegetables</v>
      </c>
      <c r="D396" s="9">
        <f>_xlfn.XLOOKUP(A396,'Grocery and sales Data'!$A$1:$A$991,'Grocery and sales Data'!$I$1:$I$991)</f>
        <v>5</v>
      </c>
      <c r="E396">
        <f>_xlfn.XLOOKUP(A396,'Grocery and sales Data'!$A$1:$A$991,'Grocery and sales Data'!$R$1:$R$991)</f>
        <v>210</v>
      </c>
      <c r="F396" t="str">
        <f t="shared" si="6"/>
        <v>Medium</v>
      </c>
    </row>
    <row r="397" spans="1:6" ht="16" x14ac:dyDescent="0.4">
      <c r="A397" s="2" t="s">
        <v>1574</v>
      </c>
      <c r="B397" t="str">
        <f>_xlfn.XLOOKUP(A397,'Grocery and sales Data'!$A$1:$A$991,'Grocery and sales Data'!$B$1:$B$991)</f>
        <v>Ricotta Cheese</v>
      </c>
      <c r="C397" t="str">
        <f>_xlfn.XLOOKUP(A397,'Grocery and sales Data'!$A$1:$A$991,'Grocery and sales Data'!$C$1:$C$991)</f>
        <v>Dairy</v>
      </c>
      <c r="D397" s="9">
        <f>_xlfn.XLOOKUP(A397,'Grocery and sales Data'!$A$1:$A$991,'Grocery and sales Data'!$I$1:$I$991)</f>
        <v>6</v>
      </c>
      <c r="E397">
        <f>_xlfn.XLOOKUP(A397,'Grocery and sales Data'!$A$1:$A$991,'Grocery and sales Data'!$R$1:$R$991)</f>
        <v>228</v>
      </c>
      <c r="F397" t="str">
        <f t="shared" si="6"/>
        <v>Medium</v>
      </c>
    </row>
    <row r="398" spans="1:6" ht="16" x14ac:dyDescent="0.4">
      <c r="A398" s="2" t="s">
        <v>1577</v>
      </c>
      <c r="B398" t="str">
        <f>_xlfn.XLOOKUP(A398,'Grocery and sales Data'!$A$1:$A$991,'Grocery and sales Data'!$B$1:$B$991)</f>
        <v>Raw Sugar</v>
      </c>
      <c r="C398" t="str">
        <f>_xlfn.XLOOKUP(A398,'Grocery and sales Data'!$A$1:$A$991,'Grocery and sales Data'!$C$1:$C$991)</f>
        <v>Grains &amp; Pulses</v>
      </c>
      <c r="D398" s="9">
        <f>_xlfn.XLOOKUP(A398,'Grocery and sales Data'!$A$1:$A$991,'Grocery and sales Data'!$I$1:$I$991)</f>
        <v>1.5</v>
      </c>
      <c r="E398">
        <f>_xlfn.XLOOKUP(A398,'Grocery and sales Data'!$A$1:$A$991,'Grocery and sales Data'!$R$1:$R$991)</f>
        <v>114</v>
      </c>
      <c r="F398" t="str">
        <f t="shared" si="6"/>
        <v>Medium</v>
      </c>
    </row>
    <row r="399" spans="1:6" ht="16" x14ac:dyDescent="0.4">
      <c r="A399" s="2" t="s">
        <v>1580</v>
      </c>
      <c r="B399" t="str">
        <f>_xlfn.XLOOKUP(A399,'Grocery and sales Data'!$A$1:$A$991,'Grocery and sales Data'!$B$1:$B$991)</f>
        <v>Haddock</v>
      </c>
      <c r="C399" t="str">
        <f>_xlfn.XLOOKUP(A399,'Grocery and sales Data'!$A$1:$A$991,'Grocery and sales Data'!$C$1:$C$991)</f>
        <v>Seafood</v>
      </c>
      <c r="D399" s="9">
        <f>_xlfn.XLOOKUP(A399,'Grocery and sales Data'!$A$1:$A$991,'Grocery and sales Data'!$I$1:$I$991)</f>
        <v>9</v>
      </c>
      <c r="E399">
        <f>_xlfn.XLOOKUP(A399,'Grocery and sales Data'!$A$1:$A$991,'Grocery and sales Data'!$R$1:$R$991)</f>
        <v>891</v>
      </c>
      <c r="F399" t="str">
        <f t="shared" si="6"/>
        <v>Medium</v>
      </c>
    </row>
    <row r="400" spans="1:6" ht="16" x14ac:dyDescent="0.4">
      <c r="A400" s="2" t="s">
        <v>1584</v>
      </c>
      <c r="B400" t="str">
        <f>_xlfn.XLOOKUP(A400,'Grocery and sales Data'!$A$1:$A$991,'Grocery and sales Data'!$B$1:$B$991)</f>
        <v>Papaya</v>
      </c>
      <c r="C400" t="str">
        <f>_xlfn.XLOOKUP(A400,'Grocery and sales Data'!$A$1:$A$991,'Grocery and sales Data'!$C$1:$C$991)</f>
        <v>Fruits &amp; Vegetables</v>
      </c>
      <c r="D400" s="9">
        <f>_xlfn.XLOOKUP(A400,'Grocery and sales Data'!$A$1:$A$991,'Grocery and sales Data'!$I$1:$I$991)</f>
        <v>4.5</v>
      </c>
      <c r="E400">
        <f>_xlfn.XLOOKUP(A400,'Grocery and sales Data'!$A$1:$A$991,'Grocery and sales Data'!$R$1:$R$991)</f>
        <v>157.5</v>
      </c>
      <c r="F400" t="str">
        <f t="shared" si="6"/>
        <v>Medium</v>
      </c>
    </row>
    <row r="401" spans="1:6" ht="16" x14ac:dyDescent="0.4">
      <c r="A401" s="2" t="s">
        <v>1587</v>
      </c>
      <c r="B401" t="str">
        <f>_xlfn.XLOOKUP(A401,'Grocery and sales Data'!$A$1:$A$991,'Grocery and sales Data'!$B$1:$B$991)</f>
        <v>Sesame Oil</v>
      </c>
      <c r="C401" t="str">
        <f>_xlfn.XLOOKUP(A401,'Grocery and sales Data'!$A$1:$A$991,'Grocery and sales Data'!$C$1:$C$991)</f>
        <v>Oils &amp; Fats</v>
      </c>
      <c r="D401" s="9">
        <f>_xlfn.XLOOKUP(A401,'Grocery and sales Data'!$A$1:$A$991,'Grocery and sales Data'!$I$1:$I$991)</f>
        <v>6.5</v>
      </c>
      <c r="E401">
        <f>_xlfn.XLOOKUP(A401,'Grocery and sales Data'!$A$1:$A$991,'Grocery and sales Data'!$R$1:$R$991)</f>
        <v>299</v>
      </c>
      <c r="F401" t="str">
        <f t="shared" si="6"/>
        <v>Medium</v>
      </c>
    </row>
    <row r="402" spans="1:6" ht="16" x14ac:dyDescent="0.4">
      <c r="A402" s="2" t="s">
        <v>1591</v>
      </c>
      <c r="B402" t="str">
        <f>_xlfn.XLOOKUP(A402,'Grocery and sales Data'!$A$1:$A$991,'Grocery and sales Data'!$B$1:$B$991)</f>
        <v>Green Beans</v>
      </c>
      <c r="C402" t="str">
        <f>_xlfn.XLOOKUP(A402,'Grocery and sales Data'!$A$1:$A$991,'Grocery and sales Data'!$C$1:$C$991)</f>
        <v>Fruits &amp; Vegetables</v>
      </c>
      <c r="D402" s="9">
        <f>_xlfn.XLOOKUP(A402,'Grocery and sales Data'!$A$1:$A$991,'Grocery and sales Data'!$I$1:$I$991)</f>
        <v>2.1</v>
      </c>
      <c r="E402">
        <f>_xlfn.XLOOKUP(A402,'Grocery and sales Data'!$A$1:$A$991,'Grocery and sales Data'!$R$1:$R$991)</f>
        <v>205.8</v>
      </c>
      <c r="F402" t="str">
        <f t="shared" si="6"/>
        <v>Medium</v>
      </c>
    </row>
    <row r="403" spans="1:6" ht="16" x14ac:dyDescent="0.4">
      <c r="A403" s="2" t="s">
        <v>1594</v>
      </c>
      <c r="B403" t="str">
        <f>_xlfn.XLOOKUP(A403,'Grocery and sales Data'!$A$1:$A$991,'Grocery and sales Data'!$B$1:$B$991)</f>
        <v>Sourdough Bread</v>
      </c>
      <c r="C403" t="str">
        <f>_xlfn.XLOOKUP(A403,'Grocery and sales Data'!$A$1:$A$991,'Grocery and sales Data'!$C$1:$C$991)</f>
        <v>Bakery</v>
      </c>
      <c r="D403" s="9">
        <f>_xlfn.XLOOKUP(A403,'Grocery and sales Data'!$A$1:$A$991,'Grocery and sales Data'!$I$1:$I$991)</f>
        <v>4</v>
      </c>
      <c r="E403">
        <f>_xlfn.XLOOKUP(A403,'Grocery and sales Data'!$A$1:$A$991,'Grocery and sales Data'!$R$1:$R$991)</f>
        <v>400</v>
      </c>
      <c r="F403" t="str">
        <f t="shared" si="6"/>
        <v>Medium</v>
      </c>
    </row>
    <row r="404" spans="1:6" ht="16" x14ac:dyDescent="0.4">
      <c r="A404" s="2" t="s">
        <v>1598</v>
      </c>
      <c r="B404" t="str">
        <f>_xlfn.XLOOKUP(A404,'Grocery and sales Data'!$A$1:$A$991,'Grocery and sales Data'!$B$1:$B$991)</f>
        <v>Cottage Cheese</v>
      </c>
      <c r="C404" t="str">
        <f>_xlfn.XLOOKUP(A404,'Grocery and sales Data'!$A$1:$A$991,'Grocery and sales Data'!$C$1:$C$991)</f>
        <v>Dairy</v>
      </c>
      <c r="D404" s="9">
        <f>_xlfn.XLOOKUP(A404,'Grocery and sales Data'!$A$1:$A$991,'Grocery and sales Data'!$I$1:$I$991)</f>
        <v>5</v>
      </c>
      <c r="E404">
        <f>_xlfn.XLOOKUP(A404,'Grocery and sales Data'!$A$1:$A$991,'Grocery and sales Data'!$R$1:$R$991)</f>
        <v>175</v>
      </c>
      <c r="F404" t="str">
        <f t="shared" si="6"/>
        <v>Medium</v>
      </c>
    </row>
    <row r="405" spans="1:6" ht="16" x14ac:dyDescent="0.4">
      <c r="A405" s="2" t="s">
        <v>1601</v>
      </c>
      <c r="B405" t="str">
        <f>_xlfn.XLOOKUP(A405,'Grocery and sales Data'!$A$1:$A$991,'Grocery and sales Data'!$B$1:$B$991)</f>
        <v>Ricotta Cheese</v>
      </c>
      <c r="C405" t="str">
        <f>_xlfn.XLOOKUP(A405,'Grocery and sales Data'!$A$1:$A$991,'Grocery and sales Data'!$C$1:$C$991)</f>
        <v>Dairy</v>
      </c>
      <c r="D405" s="9">
        <f>_xlfn.XLOOKUP(A405,'Grocery and sales Data'!$A$1:$A$991,'Grocery and sales Data'!$I$1:$I$991)</f>
        <v>6</v>
      </c>
      <c r="E405">
        <f>_xlfn.XLOOKUP(A405,'Grocery and sales Data'!$A$1:$A$991,'Grocery and sales Data'!$R$1:$R$991)</f>
        <v>138</v>
      </c>
      <c r="F405" t="str">
        <f t="shared" si="6"/>
        <v>Medium</v>
      </c>
    </row>
    <row r="406" spans="1:6" ht="16" x14ac:dyDescent="0.4">
      <c r="A406" s="2" t="s">
        <v>1604</v>
      </c>
      <c r="B406" t="str">
        <f>_xlfn.XLOOKUP(A406,'Grocery and sales Data'!$A$1:$A$991,'Grocery and sales Data'!$B$1:$B$991)</f>
        <v>Robusta Coffee</v>
      </c>
      <c r="C406" t="str">
        <f>_xlfn.XLOOKUP(A406,'Grocery and sales Data'!$A$1:$A$991,'Grocery and sales Data'!$C$1:$C$991)</f>
        <v>Beverages</v>
      </c>
      <c r="D406" s="9">
        <f>_xlfn.XLOOKUP(A406,'Grocery and sales Data'!$A$1:$A$991,'Grocery and sales Data'!$I$1:$I$991)</f>
        <v>10</v>
      </c>
      <c r="E406">
        <f>_xlfn.XLOOKUP(A406,'Grocery and sales Data'!$A$1:$A$991,'Grocery and sales Data'!$R$1:$R$991)</f>
        <v>320</v>
      </c>
      <c r="F406" t="str">
        <f t="shared" si="6"/>
        <v>Medium</v>
      </c>
    </row>
    <row r="407" spans="1:6" ht="16" x14ac:dyDescent="0.4">
      <c r="A407" s="2" t="s">
        <v>1608</v>
      </c>
      <c r="B407" t="str">
        <f>_xlfn.XLOOKUP(A407,'Grocery and sales Data'!$A$1:$A$991,'Grocery and sales Data'!$B$1:$B$991)</f>
        <v>Tilapia</v>
      </c>
      <c r="C407" t="str">
        <f>_xlfn.XLOOKUP(A407,'Grocery and sales Data'!$A$1:$A$991,'Grocery and sales Data'!$C$1:$C$991)</f>
        <v>Seafood</v>
      </c>
      <c r="D407" s="9">
        <f>_xlfn.XLOOKUP(A407,'Grocery and sales Data'!$A$1:$A$991,'Grocery and sales Data'!$I$1:$I$991)</f>
        <v>6.7</v>
      </c>
      <c r="E407">
        <f>_xlfn.XLOOKUP(A407,'Grocery and sales Data'!$A$1:$A$991,'Grocery and sales Data'!$R$1:$R$991)</f>
        <v>361.8</v>
      </c>
      <c r="F407" t="str">
        <f t="shared" si="6"/>
        <v>Medium</v>
      </c>
    </row>
    <row r="408" spans="1:6" ht="16" x14ac:dyDescent="0.4">
      <c r="A408" s="2" t="s">
        <v>1611</v>
      </c>
      <c r="B408" t="str">
        <f>_xlfn.XLOOKUP(A408,'Grocery and sales Data'!$A$1:$A$991,'Grocery and sales Data'!$B$1:$B$991)</f>
        <v>Feta Cheese</v>
      </c>
      <c r="C408" t="str">
        <f>_xlfn.XLOOKUP(A408,'Grocery and sales Data'!$A$1:$A$991,'Grocery and sales Data'!$C$1:$C$991)</f>
        <v>Dairy</v>
      </c>
      <c r="D408" s="9">
        <f>_xlfn.XLOOKUP(A408,'Grocery and sales Data'!$A$1:$A$991,'Grocery and sales Data'!$I$1:$I$991)</f>
        <v>7</v>
      </c>
      <c r="E408">
        <f>_xlfn.XLOOKUP(A408,'Grocery and sales Data'!$A$1:$A$991,'Grocery and sales Data'!$R$1:$R$991)</f>
        <v>147</v>
      </c>
      <c r="F408" t="str">
        <f t="shared" si="6"/>
        <v>Medium</v>
      </c>
    </row>
    <row r="409" spans="1:6" ht="16" x14ac:dyDescent="0.4">
      <c r="A409" s="2" t="s">
        <v>1614</v>
      </c>
      <c r="B409" t="str">
        <f>_xlfn.XLOOKUP(A409,'Grocery and sales Data'!$A$1:$A$991,'Grocery and sales Data'!$B$1:$B$991)</f>
        <v>Cheddar Cheese</v>
      </c>
      <c r="C409" t="str">
        <f>_xlfn.XLOOKUP(A409,'Grocery and sales Data'!$A$1:$A$991,'Grocery and sales Data'!$C$1:$C$991)</f>
        <v>Dairy</v>
      </c>
      <c r="D409" s="9">
        <f>_xlfn.XLOOKUP(A409,'Grocery and sales Data'!$A$1:$A$991,'Grocery and sales Data'!$I$1:$I$991)</f>
        <v>9</v>
      </c>
      <c r="E409">
        <f>_xlfn.XLOOKUP(A409,'Grocery and sales Data'!$A$1:$A$991,'Grocery and sales Data'!$R$1:$R$991)</f>
        <v>621</v>
      </c>
      <c r="F409" t="str">
        <f t="shared" si="6"/>
        <v>Medium</v>
      </c>
    </row>
    <row r="410" spans="1:6" ht="16" x14ac:dyDescent="0.4">
      <c r="A410" s="2" t="s">
        <v>1618</v>
      </c>
      <c r="B410" t="str">
        <f>_xlfn.XLOOKUP(A410,'Grocery and sales Data'!$A$1:$A$991,'Grocery and sales Data'!$B$1:$B$991)</f>
        <v>Butter Biscuit</v>
      </c>
      <c r="C410" t="str">
        <f>_xlfn.XLOOKUP(A410,'Grocery and sales Data'!$A$1:$A$991,'Grocery and sales Data'!$C$1:$C$991)</f>
        <v>Bakery</v>
      </c>
      <c r="D410" s="9">
        <f>_xlfn.XLOOKUP(A410,'Grocery and sales Data'!$A$1:$A$991,'Grocery and sales Data'!$I$1:$I$991)</f>
        <v>6</v>
      </c>
      <c r="E410">
        <f>_xlfn.XLOOKUP(A410,'Grocery and sales Data'!$A$1:$A$991,'Grocery and sales Data'!$R$1:$R$991)</f>
        <v>282</v>
      </c>
      <c r="F410" t="str">
        <f t="shared" si="6"/>
        <v>Medium</v>
      </c>
    </row>
    <row r="411" spans="1:6" ht="16" x14ac:dyDescent="0.4">
      <c r="A411" s="2" t="s">
        <v>1621</v>
      </c>
      <c r="B411" t="str">
        <f>_xlfn.XLOOKUP(A411,'Grocery and sales Data'!$A$1:$A$991,'Grocery and sales Data'!$B$1:$B$991)</f>
        <v>Ricotta Cheese</v>
      </c>
      <c r="C411" t="str">
        <f>_xlfn.XLOOKUP(A411,'Grocery and sales Data'!$A$1:$A$991,'Grocery and sales Data'!$C$1:$C$991)</f>
        <v>Dairy</v>
      </c>
      <c r="D411" s="9">
        <f>_xlfn.XLOOKUP(A411,'Grocery and sales Data'!$A$1:$A$991,'Grocery and sales Data'!$I$1:$I$991)</f>
        <v>6</v>
      </c>
      <c r="E411">
        <f>_xlfn.XLOOKUP(A411,'Grocery and sales Data'!$A$1:$A$991,'Grocery and sales Data'!$R$1:$R$991)</f>
        <v>300</v>
      </c>
      <c r="F411" t="str">
        <f t="shared" si="6"/>
        <v>Medium</v>
      </c>
    </row>
    <row r="412" spans="1:6" ht="16" x14ac:dyDescent="0.4">
      <c r="A412" s="2" t="s">
        <v>1624</v>
      </c>
      <c r="B412" t="str">
        <f>_xlfn.XLOOKUP(A412,'Grocery and sales Data'!$A$1:$A$991,'Grocery and sales Data'!$B$1:$B$991)</f>
        <v>Multigrain Bread</v>
      </c>
      <c r="C412" t="str">
        <f>_xlfn.XLOOKUP(A412,'Grocery and sales Data'!$A$1:$A$991,'Grocery and sales Data'!$C$1:$C$991)</f>
        <v>Bakery</v>
      </c>
      <c r="D412" s="9">
        <f>_xlfn.XLOOKUP(A412,'Grocery and sales Data'!$A$1:$A$991,'Grocery and sales Data'!$I$1:$I$991)</f>
        <v>3.5</v>
      </c>
      <c r="E412">
        <f>_xlfn.XLOOKUP(A412,'Grocery and sales Data'!$A$1:$A$991,'Grocery and sales Data'!$R$1:$R$991)</f>
        <v>105</v>
      </c>
      <c r="F412" t="str">
        <f t="shared" si="6"/>
        <v>Medium</v>
      </c>
    </row>
    <row r="413" spans="1:6" ht="16" x14ac:dyDescent="0.4">
      <c r="A413" s="2" t="s">
        <v>1627</v>
      </c>
      <c r="B413" t="str">
        <f>_xlfn.XLOOKUP(A413,'Grocery and sales Data'!$A$1:$A$991,'Grocery and sales Data'!$B$1:$B$991)</f>
        <v>Peas</v>
      </c>
      <c r="C413" t="str">
        <f>_xlfn.XLOOKUP(A413,'Grocery and sales Data'!$A$1:$A$991,'Grocery and sales Data'!$C$1:$C$991)</f>
        <v>Fruits &amp; Vegetables</v>
      </c>
      <c r="D413" s="9">
        <f>_xlfn.XLOOKUP(A413,'Grocery and sales Data'!$A$1:$A$991,'Grocery and sales Data'!$I$1:$I$991)</f>
        <v>3</v>
      </c>
      <c r="E413">
        <f>_xlfn.XLOOKUP(A413,'Grocery and sales Data'!$A$1:$A$991,'Grocery and sales Data'!$R$1:$R$991)</f>
        <v>138</v>
      </c>
      <c r="F413" t="str">
        <f t="shared" si="6"/>
        <v>Medium</v>
      </c>
    </row>
    <row r="414" spans="1:6" ht="16" x14ac:dyDescent="0.4">
      <c r="A414" s="2" t="s">
        <v>1631</v>
      </c>
      <c r="B414" t="str">
        <f>_xlfn.XLOOKUP(A414,'Grocery and sales Data'!$A$1:$A$991,'Grocery and sales Data'!$B$1:$B$991)</f>
        <v>Pomegranate</v>
      </c>
      <c r="C414" t="str">
        <f>_xlfn.XLOOKUP(A414,'Grocery and sales Data'!$A$1:$A$991,'Grocery and sales Data'!$C$1:$C$991)</f>
        <v>Fruits &amp; Vegetables</v>
      </c>
      <c r="D414" s="9">
        <f>_xlfn.XLOOKUP(A414,'Grocery and sales Data'!$A$1:$A$991,'Grocery and sales Data'!$I$1:$I$991)</f>
        <v>6</v>
      </c>
      <c r="E414">
        <f>_xlfn.XLOOKUP(A414,'Grocery and sales Data'!$A$1:$A$991,'Grocery and sales Data'!$R$1:$R$991)</f>
        <v>468</v>
      </c>
      <c r="F414" t="str">
        <f t="shared" si="6"/>
        <v>Medium</v>
      </c>
    </row>
    <row r="415" spans="1:6" ht="16" x14ac:dyDescent="0.4">
      <c r="A415" s="2" t="s">
        <v>1635</v>
      </c>
      <c r="B415" t="str">
        <f>_xlfn.XLOOKUP(A415,'Grocery and sales Data'!$A$1:$A$991,'Grocery and sales Data'!$B$1:$B$991)</f>
        <v>Yogurt</v>
      </c>
      <c r="C415" t="str">
        <f>_xlfn.XLOOKUP(A415,'Grocery and sales Data'!$A$1:$A$991,'Grocery and sales Data'!$C$1:$C$991)</f>
        <v>Dairy</v>
      </c>
      <c r="D415" s="9">
        <f>_xlfn.XLOOKUP(A415,'Grocery and sales Data'!$A$1:$A$991,'Grocery and sales Data'!$I$1:$I$991)</f>
        <v>1.75</v>
      </c>
      <c r="E415">
        <f>_xlfn.XLOOKUP(A415,'Grocery and sales Data'!$A$1:$A$991,'Grocery and sales Data'!$R$1:$R$991)</f>
        <v>87.5</v>
      </c>
      <c r="F415" t="str">
        <f t="shared" si="6"/>
        <v>Low</v>
      </c>
    </row>
    <row r="416" spans="1:6" ht="16" x14ac:dyDescent="0.4">
      <c r="A416" s="2" t="s">
        <v>1638</v>
      </c>
      <c r="B416" t="str">
        <f>_xlfn.XLOOKUP(A416,'Grocery and sales Data'!$A$1:$A$991,'Grocery and sales Data'!$B$1:$B$991)</f>
        <v>Watermelon</v>
      </c>
      <c r="C416" t="str">
        <f>_xlfn.XLOOKUP(A416,'Grocery and sales Data'!$A$1:$A$991,'Grocery and sales Data'!$C$1:$C$991)</f>
        <v>Fruits &amp; Vegetables</v>
      </c>
      <c r="D416" s="9">
        <f>_xlfn.XLOOKUP(A416,'Grocery and sales Data'!$A$1:$A$991,'Grocery and sales Data'!$I$1:$I$991)</f>
        <v>3</v>
      </c>
      <c r="E416">
        <f>_xlfn.XLOOKUP(A416,'Grocery and sales Data'!$A$1:$A$991,'Grocery and sales Data'!$R$1:$R$991)</f>
        <v>276</v>
      </c>
      <c r="F416" t="str">
        <f t="shared" si="6"/>
        <v>Medium</v>
      </c>
    </row>
    <row r="417" spans="1:6" ht="16" x14ac:dyDescent="0.4">
      <c r="A417" s="2" t="s">
        <v>1642</v>
      </c>
      <c r="B417" t="str">
        <f>_xlfn.XLOOKUP(A417,'Grocery and sales Data'!$A$1:$A$991,'Grocery and sales Data'!$B$1:$B$991)</f>
        <v>Egg (Duck)</v>
      </c>
      <c r="C417" t="str">
        <f>_xlfn.XLOOKUP(A417,'Grocery and sales Data'!$A$1:$A$991,'Grocery and sales Data'!$C$1:$C$991)</f>
        <v>Dairy</v>
      </c>
      <c r="D417" s="9">
        <f>_xlfn.XLOOKUP(A417,'Grocery and sales Data'!$A$1:$A$991,'Grocery and sales Data'!$I$1:$I$991)</f>
        <v>1</v>
      </c>
      <c r="E417">
        <f>_xlfn.XLOOKUP(A417,'Grocery and sales Data'!$A$1:$A$991,'Grocery and sales Data'!$R$1:$R$991)</f>
        <v>58</v>
      </c>
      <c r="F417" t="str">
        <f t="shared" si="6"/>
        <v>Low</v>
      </c>
    </row>
    <row r="418" spans="1:6" ht="16" x14ac:dyDescent="0.4">
      <c r="A418" s="2" t="s">
        <v>1646</v>
      </c>
      <c r="B418" t="str">
        <f>_xlfn.XLOOKUP(A418,'Grocery and sales Data'!$A$1:$A$991,'Grocery and sales Data'!$B$1:$B$991)</f>
        <v>Sweet Potato</v>
      </c>
      <c r="C418" t="str">
        <f>_xlfn.XLOOKUP(A418,'Grocery and sales Data'!$A$1:$A$991,'Grocery and sales Data'!$C$1:$C$991)</f>
        <v>Fruits &amp; Vegetables</v>
      </c>
      <c r="D418" s="9">
        <f>_xlfn.XLOOKUP(A418,'Grocery and sales Data'!$A$1:$A$991,'Grocery and sales Data'!$I$1:$I$991)</f>
        <v>2</v>
      </c>
      <c r="E418">
        <f>_xlfn.XLOOKUP(A418,'Grocery and sales Data'!$A$1:$A$991,'Grocery and sales Data'!$R$1:$R$991)</f>
        <v>142</v>
      </c>
      <c r="F418" t="str">
        <f t="shared" si="6"/>
        <v>Medium</v>
      </c>
    </row>
    <row r="419" spans="1:6" ht="16" x14ac:dyDescent="0.4">
      <c r="A419" s="2" t="s">
        <v>1649</v>
      </c>
      <c r="B419" t="str">
        <f>_xlfn.XLOOKUP(A419,'Grocery and sales Data'!$A$1:$A$991,'Grocery and sales Data'!$B$1:$B$991)</f>
        <v>Banana</v>
      </c>
      <c r="C419" t="str">
        <f>_xlfn.XLOOKUP(A419,'Grocery and sales Data'!$A$1:$A$991,'Grocery and sales Data'!$C$1:$C$991)</f>
        <v>Fruits &amp; Vegetables</v>
      </c>
      <c r="D419" s="9">
        <f>_xlfn.XLOOKUP(A419,'Grocery and sales Data'!$A$1:$A$991,'Grocery and sales Data'!$I$1:$I$991)</f>
        <v>15.31</v>
      </c>
      <c r="E419">
        <f>_xlfn.XLOOKUP(A419,'Grocery and sales Data'!$A$1:$A$991,'Grocery and sales Data'!$R$1:$R$991)</f>
        <v>1178.8700000000001</v>
      </c>
      <c r="F419" t="str">
        <f t="shared" si="6"/>
        <v>High</v>
      </c>
    </row>
    <row r="420" spans="1:6" ht="16" x14ac:dyDescent="0.4">
      <c r="A420" s="2" t="s">
        <v>1652</v>
      </c>
      <c r="B420" t="str">
        <f>_xlfn.XLOOKUP(A420,'Grocery and sales Data'!$A$1:$A$991,'Grocery and sales Data'!$B$1:$B$991)</f>
        <v>Swiss Cheese</v>
      </c>
      <c r="C420" t="str">
        <f>_xlfn.XLOOKUP(A420,'Grocery and sales Data'!$A$1:$A$991,'Grocery and sales Data'!$C$1:$C$991)</f>
        <v>Dairy</v>
      </c>
      <c r="D420" s="9">
        <f>_xlfn.XLOOKUP(A420,'Grocery and sales Data'!$A$1:$A$991,'Grocery and sales Data'!$I$1:$I$991)</f>
        <v>8</v>
      </c>
      <c r="E420">
        <f>_xlfn.XLOOKUP(A420,'Grocery and sales Data'!$A$1:$A$991,'Grocery and sales Data'!$R$1:$R$991)</f>
        <v>400</v>
      </c>
      <c r="F420" t="str">
        <f t="shared" si="6"/>
        <v>Medium</v>
      </c>
    </row>
    <row r="421" spans="1:6" ht="16" x14ac:dyDescent="0.4">
      <c r="A421" s="2" t="s">
        <v>1655</v>
      </c>
      <c r="B421" t="str">
        <f>_xlfn.XLOOKUP(A421,'Grocery and sales Data'!$A$1:$A$991,'Grocery and sales Data'!$B$1:$B$991)</f>
        <v>Cheddar Cheese</v>
      </c>
      <c r="C421" t="str">
        <f>_xlfn.XLOOKUP(A421,'Grocery and sales Data'!$A$1:$A$991,'Grocery and sales Data'!$C$1:$C$991)</f>
        <v>Dairy</v>
      </c>
      <c r="D421" s="9">
        <f>_xlfn.XLOOKUP(A421,'Grocery and sales Data'!$A$1:$A$991,'Grocery and sales Data'!$I$1:$I$991)</f>
        <v>9</v>
      </c>
      <c r="E421">
        <f>_xlfn.XLOOKUP(A421,'Grocery and sales Data'!$A$1:$A$991,'Grocery and sales Data'!$R$1:$R$991)</f>
        <v>567</v>
      </c>
      <c r="F421" t="str">
        <f t="shared" si="6"/>
        <v>Medium</v>
      </c>
    </row>
    <row r="422" spans="1:6" ht="16" x14ac:dyDescent="0.4">
      <c r="A422" s="2" t="s">
        <v>1658</v>
      </c>
      <c r="B422" t="str">
        <f>_xlfn.XLOOKUP(A422,'Grocery and sales Data'!$A$1:$A$991,'Grocery and sales Data'!$B$1:$B$991)</f>
        <v>Butter</v>
      </c>
      <c r="C422" t="str">
        <f>_xlfn.XLOOKUP(A422,'Grocery and sales Data'!$A$1:$A$991,'Grocery and sales Data'!$C$1:$C$991)</f>
        <v>Dairy</v>
      </c>
      <c r="D422" s="9">
        <f>_xlfn.XLOOKUP(A422,'Grocery and sales Data'!$A$1:$A$991,'Grocery and sales Data'!$I$1:$I$991)</f>
        <v>2.9</v>
      </c>
      <c r="E422">
        <f>_xlfn.XLOOKUP(A422,'Grocery and sales Data'!$A$1:$A$991,'Grocery and sales Data'!$R$1:$R$991)</f>
        <v>75.399999999999991</v>
      </c>
      <c r="F422" t="str">
        <f t="shared" si="6"/>
        <v>Low</v>
      </c>
    </row>
    <row r="423" spans="1:6" ht="16" x14ac:dyDescent="0.4">
      <c r="A423" s="2" t="s">
        <v>1662</v>
      </c>
      <c r="B423" t="str">
        <f>_xlfn.XLOOKUP(A423,'Grocery and sales Data'!$A$1:$A$991,'Grocery and sales Data'!$B$1:$B$991)</f>
        <v>Black Tea</v>
      </c>
      <c r="C423" t="str">
        <f>_xlfn.XLOOKUP(A423,'Grocery and sales Data'!$A$1:$A$991,'Grocery and sales Data'!$C$1:$C$991)</f>
        <v>Beverages</v>
      </c>
      <c r="D423" s="9">
        <f>_xlfn.XLOOKUP(A423,'Grocery and sales Data'!$A$1:$A$991,'Grocery and sales Data'!$I$1:$I$991)</f>
        <v>5</v>
      </c>
      <c r="E423">
        <f>_xlfn.XLOOKUP(A423,'Grocery and sales Data'!$A$1:$A$991,'Grocery and sales Data'!$R$1:$R$991)</f>
        <v>225</v>
      </c>
      <c r="F423" t="str">
        <f t="shared" si="6"/>
        <v>Medium</v>
      </c>
    </row>
    <row r="424" spans="1:6" ht="16" x14ac:dyDescent="0.4">
      <c r="A424" s="2" t="s">
        <v>1665</v>
      </c>
      <c r="B424" t="str">
        <f>_xlfn.XLOOKUP(A424,'Grocery and sales Data'!$A$1:$A$991,'Grocery and sales Data'!$B$1:$B$991)</f>
        <v>Long Grain Rice</v>
      </c>
      <c r="C424" t="str">
        <f>_xlfn.XLOOKUP(A424,'Grocery and sales Data'!$A$1:$A$991,'Grocery and sales Data'!$C$1:$C$991)</f>
        <v>Grains &amp; Pulses</v>
      </c>
      <c r="D424" s="9">
        <f>_xlfn.XLOOKUP(A424,'Grocery and sales Data'!$A$1:$A$991,'Grocery and sales Data'!$I$1:$I$991)</f>
        <v>1.5</v>
      </c>
      <c r="E424">
        <f>_xlfn.XLOOKUP(A424,'Grocery and sales Data'!$A$1:$A$991,'Grocery and sales Data'!$R$1:$R$991)</f>
        <v>72</v>
      </c>
      <c r="F424" t="str">
        <f t="shared" si="6"/>
        <v>Low</v>
      </c>
    </row>
    <row r="425" spans="1:6" ht="16" x14ac:dyDescent="0.4">
      <c r="A425" s="2" t="s">
        <v>1668</v>
      </c>
      <c r="B425" t="str">
        <f>_xlfn.XLOOKUP(A425,'Grocery and sales Data'!$A$1:$A$991,'Grocery and sales Data'!$B$1:$B$991)</f>
        <v>Black Coffee</v>
      </c>
      <c r="C425" t="str">
        <f>_xlfn.XLOOKUP(A425,'Grocery and sales Data'!$A$1:$A$991,'Grocery and sales Data'!$C$1:$C$991)</f>
        <v>Beverages</v>
      </c>
      <c r="D425" s="9">
        <f>_xlfn.XLOOKUP(A425,'Grocery and sales Data'!$A$1:$A$991,'Grocery and sales Data'!$I$1:$I$991)</f>
        <v>15.5</v>
      </c>
      <c r="E425">
        <f>_xlfn.XLOOKUP(A425,'Grocery and sales Data'!$A$1:$A$991,'Grocery and sales Data'!$R$1:$R$991)</f>
        <v>1240</v>
      </c>
      <c r="F425" t="str">
        <f t="shared" si="6"/>
        <v>High</v>
      </c>
    </row>
    <row r="426" spans="1:6" ht="16" x14ac:dyDescent="0.4">
      <c r="A426" s="2" t="s">
        <v>1672</v>
      </c>
      <c r="B426" t="str">
        <f>_xlfn.XLOOKUP(A426,'Grocery and sales Data'!$A$1:$A$991,'Grocery and sales Data'!$B$1:$B$991)</f>
        <v>Haddock</v>
      </c>
      <c r="C426" t="str">
        <f>_xlfn.XLOOKUP(A426,'Grocery and sales Data'!$A$1:$A$991,'Grocery and sales Data'!$C$1:$C$991)</f>
        <v>Seafood</v>
      </c>
      <c r="D426" s="9">
        <f>_xlfn.XLOOKUP(A426,'Grocery and sales Data'!$A$1:$A$991,'Grocery and sales Data'!$I$1:$I$991)</f>
        <v>9</v>
      </c>
      <c r="E426">
        <f>_xlfn.XLOOKUP(A426,'Grocery and sales Data'!$A$1:$A$991,'Grocery and sales Data'!$R$1:$R$991)</f>
        <v>441</v>
      </c>
      <c r="F426" t="str">
        <f t="shared" si="6"/>
        <v>Medium</v>
      </c>
    </row>
    <row r="427" spans="1:6" ht="16" x14ac:dyDescent="0.4">
      <c r="A427" s="2" t="s">
        <v>1676</v>
      </c>
      <c r="B427" t="str">
        <f>_xlfn.XLOOKUP(A427,'Grocery and sales Data'!$A$1:$A$991,'Grocery and sales Data'!$B$1:$B$991)</f>
        <v>Black Coffee</v>
      </c>
      <c r="C427" t="str">
        <f>_xlfn.XLOOKUP(A427,'Grocery and sales Data'!$A$1:$A$991,'Grocery and sales Data'!$C$1:$C$991)</f>
        <v>Beverages</v>
      </c>
      <c r="D427" s="9">
        <f>_xlfn.XLOOKUP(A427,'Grocery and sales Data'!$A$1:$A$991,'Grocery and sales Data'!$I$1:$I$991)</f>
        <v>15</v>
      </c>
      <c r="E427">
        <f>_xlfn.XLOOKUP(A427,'Grocery and sales Data'!$A$1:$A$991,'Grocery and sales Data'!$R$1:$R$991)</f>
        <v>1335</v>
      </c>
      <c r="F427" t="str">
        <f t="shared" si="6"/>
        <v>High</v>
      </c>
    </row>
    <row r="428" spans="1:6" ht="16" x14ac:dyDescent="0.4">
      <c r="A428" s="2" t="s">
        <v>1679</v>
      </c>
      <c r="B428" t="str">
        <f>_xlfn.XLOOKUP(A428,'Grocery and sales Data'!$A$1:$A$991,'Grocery and sales Data'!$B$1:$B$991)</f>
        <v>Anchovies</v>
      </c>
      <c r="C428" t="str">
        <f>_xlfn.XLOOKUP(A428,'Grocery and sales Data'!$A$1:$A$991,'Grocery and sales Data'!$C$1:$C$991)</f>
        <v>Seafood</v>
      </c>
      <c r="D428" s="9">
        <f>_xlfn.XLOOKUP(A428,'Grocery and sales Data'!$A$1:$A$991,'Grocery and sales Data'!$I$1:$I$991)</f>
        <v>10</v>
      </c>
      <c r="E428">
        <f>_xlfn.XLOOKUP(A428,'Grocery and sales Data'!$A$1:$A$991,'Grocery and sales Data'!$R$1:$R$991)</f>
        <v>340</v>
      </c>
      <c r="F428" t="str">
        <f t="shared" si="6"/>
        <v>Medium</v>
      </c>
    </row>
    <row r="429" spans="1:6" ht="16" x14ac:dyDescent="0.4">
      <c r="A429" s="2" t="s">
        <v>1682</v>
      </c>
      <c r="B429" t="str">
        <f>_xlfn.XLOOKUP(A429,'Grocery and sales Data'!$A$1:$A$991,'Grocery and sales Data'!$B$1:$B$991)</f>
        <v>Lemon</v>
      </c>
      <c r="C429" t="str">
        <f>_xlfn.XLOOKUP(A429,'Grocery and sales Data'!$A$1:$A$991,'Grocery and sales Data'!$C$1:$C$991)</f>
        <v>Fruits &amp; Vegetables</v>
      </c>
      <c r="D429" s="9">
        <f>_xlfn.XLOOKUP(A429,'Grocery and sales Data'!$A$1:$A$991,'Grocery and sales Data'!$I$1:$I$991)</f>
        <v>2.4</v>
      </c>
      <c r="E429">
        <f>_xlfn.XLOOKUP(A429,'Grocery and sales Data'!$A$1:$A$991,'Grocery and sales Data'!$R$1:$R$991)</f>
        <v>91.2</v>
      </c>
      <c r="F429" t="str">
        <f t="shared" si="6"/>
        <v>Low</v>
      </c>
    </row>
    <row r="430" spans="1:6" ht="16" x14ac:dyDescent="0.4">
      <c r="A430" s="2" t="s">
        <v>1685</v>
      </c>
      <c r="B430" t="str">
        <f>_xlfn.XLOOKUP(A430,'Grocery and sales Data'!$A$1:$A$991,'Grocery and sales Data'!$B$1:$B$991)</f>
        <v>Egg (Goose)</v>
      </c>
      <c r="C430" t="str">
        <f>_xlfn.XLOOKUP(A430,'Grocery and sales Data'!$A$1:$A$991,'Grocery and sales Data'!$C$1:$C$991)</f>
        <v>Dairy</v>
      </c>
      <c r="D430" s="9">
        <f>_xlfn.XLOOKUP(A430,'Grocery and sales Data'!$A$1:$A$991,'Grocery and sales Data'!$I$1:$I$991)</f>
        <v>2.5</v>
      </c>
      <c r="E430">
        <f>_xlfn.XLOOKUP(A430,'Grocery and sales Data'!$A$1:$A$991,'Grocery and sales Data'!$R$1:$R$991)</f>
        <v>120</v>
      </c>
      <c r="F430" t="str">
        <f t="shared" si="6"/>
        <v>Medium</v>
      </c>
    </row>
    <row r="431" spans="1:6" ht="16" x14ac:dyDescent="0.4">
      <c r="A431" s="2" t="s">
        <v>1689</v>
      </c>
      <c r="B431" t="str">
        <f>_xlfn.XLOOKUP(A431,'Grocery and sales Data'!$A$1:$A$991,'Grocery and sales Data'!$B$1:$B$991)</f>
        <v>Bread Flour</v>
      </c>
      <c r="C431" t="str">
        <f>_xlfn.XLOOKUP(A431,'Grocery and sales Data'!$A$1:$A$991,'Grocery and sales Data'!$C$1:$C$991)</f>
        <v>Grains &amp; Pulses</v>
      </c>
      <c r="D431" s="9">
        <f>_xlfn.XLOOKUP(A431,'Grocery and sales Data'!$A$1:$A$991,'Grocery and sales Data'!$I$1:$I$991)</f>
        <v>1.5</v>
      </c>
      <c r="E431">
        <f>_xlfn.XLOOKUP(A431,'Grocery and sales Data'!$A$1:$A$991,'Grocery and sales Data'!$R$1:$R$991)</f>
        <v>46.5</v>
      </c>
      <c r="F431" t="str">
        <f t="shared" si="6"/>
        <v>Low</v>
      </c>
    </row>
    <row r="432" spans="1:6" ht="16" x14ac:dyDescent="0.4">
      <c r="A432" s="2" t="s">
        <v>1692</v>
      </c>
      <c r="B432" t="str">
        <f>_xlfn.XLOOKUP(A432,'Grocery and sales Data'!$A$1:$A$991,'Grocery and sales Data'!$B$1:$B$991)</f>
        <v>Parmesan Cheese</v>
      </c>
      <c r="C432" t="str">
        <f>_xlfn.XLOOKUP(A432,'Grocery and sales Data'!$A$1:$A$991,'Grocery and sales Data'!$C$1:$C$991)</f>
        <v>Dairy</v>
      </c>
      <c r="D432" s="9">
        <f>_xlfn.XLOOKUP(A432,'Grocery and sales Data'!$A$1:$A$991,'Grocery and sales Data'!$I$1:$I$991)</f>
        <v>11.8</v>
      </c>
      <c r="E432">
        <f>_xlfn.XLOOKUP(A432,'Grocery and sales Data'!$A$1:$A$991,'Grocery and sales Data'!$R$1:$R$991)</f>
        <v>920.40000000000009</v>
      </c>
      <c r="F432" t="str">
        <f t="shared" si="6"/>
        <v>Medium</v>
      </c>
    </row>
    <row r="433" spans="1:6" ht="16" x14ac:dyDescent="0.4">
      <c r="A433" s="2" t="s">
        <v>1695</v>
      </c>
      <c r="B433" t="str">
        <f>_xlfn.XLOOKUP(A433,'Grocery and sales Data'!$A$1:$A$991,'Grocery and sales Data'!$B$1:$B$991)</f>
        <v>Mackerel</v>
      </c>
      <c r="C433" t="str">
        <f>_xlfn.XLOOKUP(A433,'Grocery and sales Data'!$A$1:$A$991,'Grocery and sales Data'!$C$1:$C$991)</f>
        <v>Seafood</v>
      </c>
      <c r="D433" s="9">
        <f>_xlfn.XLOOKUP(A433,'Grocery and sales Data'!$A$1:$A$991,'Grocery and sales Data'!$I$1:$I$991)</f>
        <v>7.5</v>
      </c>
      <c r="E433">
        <f>_xlfn.XLOOKUP(A433,'Grocery and sales Data'!$A$1:$A$991,'Grocery and sales Data'!$R$1:$R$991)</f>
        <v>600</v>
      </c>
      <c r="F433" t="str">
        <f t="shared" si="6"/>
        <v>Medium</v>
      </c>
    </row>
    <row r="434" spans="1:6" ht="16" x14ac:dyDescent="0.4">
      <c r="A434" s="2" t="s">
        <v>1699</v>
      </c>
      <c r="B434" t="str">
        <f>_xlfn.XLOOKUP(A434,'Grocery and sales Data'!$A$1:$A$991,'Grocery and sales Data'!$B$1:$B$991)</f>
        <v>Arborio Rice</v>
      </c>
      <c r="C434" t="str">
        <f>_xlfn.XLOOKUP(A434,'Grocery and sales Data'!$A$1:$A$991,'Grocery and sales Data'!$C$1:$C$991)</f>
        <v>Grains &amp; Pulses</v>
      </c>
      <c r="D434" s="9">
        <f>_xlfn.XLOOKUP(A434,'Grocery and sales Data'!$A$1:$A$991,'Grocery and sales Data'!$I$1:$I$991)</f>
        <v>4.5</v>
      </c>
      <c r="E434">
        <f>_xlfn.XLOOKUP(A434,'Grocery and sales Data'!$A$1:$A$991,'Grocery and sales Data'!$R$1:$R$991)</f>
        <v>274.5</v>
      </c>
      <c r="F434" t="str">
        <f t="shared" si="6"/>
        <v>Medium</v>
      </c>
    </row>
    <row r="435" spans="1:6" ht="16" x14ac:dyDescent="0.4">
      <c r="A435" s="2" t="s">
        <v>1703</v>
      </c>
      <c r="B435" t="str">
        <f>_xlfn.XLOOKUP(A435,'Grocery and sales Data'!$A$1:$A$991,'Grocery and sales Data'!$B$1:$B$991)</f>
        <v>Whole Wheat Bread</v>
      </c>
      <c r="C435" t="str">
        <f>_xlfn.XLOOKUP(A435,'Grocery and sales Data'!$A$1:$A$991,'Grocery and sales Data'!$C$1:$C$991)</f>
        <v>Bakery</v>
      </c>
      <c r="D435" s="9">
        <f>_xlfn.XLOOKUP(A435,'Grocery and sales Data'!$A$1:$A$991,'Grocery and sales Data'!$I$1:$I$991)</f>
        <v>3.5</v>
      </c>
      <c r="E435">
        <f>_xlfn.XLOOKUP(A435,'Grocery and sales Data'!$A$1:$A$991,'Grocery and sales Data'!$R$1:$R$991)</f>
        <v>259</v>
      </c>
      <c r="F435" t="str">
        <f t="shared" si="6"/>
        <v>Medium</v>
      </c>
    </row>
    <row r="436" spans="1:6" ht="16" x14ac:dyDescent="0.4">
      <c r="A436" s="2" t="s">
        <v>1706</v>
      </c>
      <c r="B436" t="str">
        <f>_xlfn.XLOOKUP(A436,'Grocery and sales Data'!$A$1:$A$991,'Grocery and sales Data'!$B$1:$B$991)</f>
        <v>White Sugar</v>
      </c>
      <c r="C436" t="str">
        <f>_xlfn.XLOOKUP(A436,'Grocery and sales Data'!$A$1:$A$991,'Grocery and sales Data'!$C$1:$C$991)</f>
        <v>Grains &amp; Pulses</v>
      </c>
      <c r="D436" s="9">
        <f>_xlfn.XLOOKUP(A436,'Grocery and sales Data'!$A$1:$A$991,'Grocery and sales Data'!$I$1:$I$991)</f>
        <v>2</v>
      </c>
      <c r="E436">
        <f>_xlfn.XLOOKUP(A436,'Grocery and sales Data'!$A$1:$A$991,'Grocery and sales Data'!$R$1:$R$991)</f>
        <v>114</v>
      </c>
      <c r="F436" t="str">
        <f t="shared" si="6"/>
        <v>Medium</v>
      </c>
    </row>
    <row r="437" spans="1:6" ht="16" x14ac:dyDescent="0.4">
      <c r="A437" s="2" t="s">
        <v>1709</v>
      </c>
      <c r="B437" t="str">
        <f>_xlfn.XLOOKUP(A437,'Grocery and sales Data'!$A$1:$A$991,'Grocery and sales Data'!$B$1:$B$991)</f>
        <v>Buttermilk</v>
      </c>
      <c r="C437" t="str">
        <f>_xlfn.XLOOKUP(A437,'Grocery and sales Data'!$A$1:$A$991,'Grocery and sales Data'!$C$1:$C$991)</f>
        <v>Dairy</v>
      </c>
      <c r="D437" s="9">
        <f>_xlfn.XLOOKUP(A437,'Grocery and sales Data'!$A$1:$A$991,'Grocery and sales Data'!$I$1:$I$991)</f>
        <v>2.4500000000000002</v>
      </c>
      <c r="E437">
        <f>_xlfn.XLOOKUP(A437,'Grocery and sales Data'!$A$1:$A$991,'Grocery and sales Data'!$R$1:$R$991)</f>
        <v>186.20000000000002</v>
      </c>
      <c r="F437" t="str">
        <f t="shared" si="6"/>
        <v>Medium</v>
      </c>
    </row>
    <row r="438" spans="1:6" ht="16" x14ac:dyDescent="0.4">
      <c r="A438" s="2" t="s">
        <v>1712</v>
      </c>
      <c r="B438" t="str">
        <f>_xlfn.XLOOKUP(A438,'Grocery and sales Data'!$A$1:$A$991,'Grocery and sales Data'!$B$1:$B$991)</f>
        <v>Sour Cream</v>
      </c>
      <c r="C438" t="str">
        <f>_xlfn.XLOOKUP(A438,'Grocery and sales Data'!$A$1:$A$991,'Grocery and sales Data'!$C$1:$C$991)</f>
        <v>Dairy</v>
      </c>
      <c r="D438" s="9">
        <f>_xlfn.XLOOKUP(A438,'Grocery and sales Data'!$A$1:$A$991,'Grocery and sales Data'!$I$1:$I$991)</f>
        <v>4</v>
      </c>
      <c r="E438">
        <f>_xlfn.XLOOKUP(A438,'Grocery and sales Data'!$A$1:$A$991,'Grocery and sales Data'!$R$1:$R$991)</f>
        <v>92</v>
      </c>
      <c r="F438" t="str">
        <f t="shared" si="6"/>
        <v>Low</v>
      </c>
    </row>
    <row r="439" spans="1:6" ht="16" x14ac:dyDescent="0.4">
      <c r="A439" s="2" t="s">
        <v>1715</v>
      </c>
      <c r="B439" t="str">
        <f>_xlfn.XLOOKUP(A439,'Grocery and sales Data'!$A$1:$A$991,'Grocery and sales Data'!$B$1:$B$991)</f>
        <v>Tuna</v>
      </c>
      <c r="C439" t="str">
        <f>_xlfn.XLOOKUP(A439,'Grocery and sales Data'!$A$1:$A$991,'Grocery and sales Data'!$C$1:$C$991)</f>
        <v>Seafood</v>
      </c>
      <c r="D439" s="9">
        <f>_xlfn.XLOOKUP(A439,'Grocery and sales Data'!$A$1:$A$991,'Grocery and sales Data'!$I$1:$I$991)</f>
        <v>18</v>
      </c>
      <c r="E439">
        <f>_xlfn.XLOOKUP(A439,'Grocery and sales Data'!$A$1:$A$991,'Grocery and sales Data'!$R$1:$R$991)</f>
        <v>486</v>
      </c>
      <c r="F439" t="str">
        <f t="shared" si="6"/>
        <v>Medium</v>
      </c>
    </row>
    <row r="440" spans="1:6" ht="16" x14ac:dyDescent="0.4">
      <c r="A440" s="2" t="s">
        <v>1718</v>
      </c>
      <c r="B440" t="str">
        <f>_xlfn.XLOOKUP(A440,'Grocery and sales Data'!$A$1:$A$991,'Grocery and sales Data'!$B$1:$B$991)</f>
        <v>Powdered Sugar</v>
      </c>
      <c r="C440" t="str">
        <f>_xlfn.XLOOKUP(A440,'Grocery and sales Data'!$A$1:$A$991,'Grocery and sales Data'!$C$1:$C$991)</f>
        <v>Grains &amp; Pulses</v>
      </c>
      <c r="D440" s="9">
        <f>_xlfn.XLOOKUP(A440,'Grocery and sales Data'!$A$1:$A$991,'Grocery and sales Data'!$I$1:$I$991)</f>
        <v>2.5</v>
      </c>
      <c r="E440">
        <f>_xlfn.XLOOKUP(A440,'Grocery and sales Data'!$A$1:$A$991,'Grocery and sales Data'!$R$1:$R$991)</f>
        <v>205</v>
      </c>
      <c r="F440" t="str">
        <f t="shared" si="6"/>
        <v>Medium</v>
      </c>
    </row>
    <row r="441" spans="1:6" ht="16" x14ac:dyDescent="0.4">
      <c r="A441" s="2" t="s">
        <v>1722</v>
      </c>
      <c r="B441" t="str">
        <f>_xlfn.XLOOKUP(A441,'Grocery and sales Data'!$A$1:$A$991,'Grocery and sales Data'!$B$1:$B$991)</f>
        <v>Tilapia</v>
      </c>
      <c r="C441" t="str">
        <f>_xlfn.XLOOKUP(A441,'Grocery and sales Data'!$A$1:$A$991,'Grocery and sales Data'!$C$1:$C$991)</f>
        <v>Seafood</v>
      </c>
      <c r="D441" s="9">
        <f>_xlfn.XLOOKUP(A441,'Grocery and sales Data'!$A$1:$A$991,'Grocery and sales Data'!$I$1:$I$991)</f>
        <v>7</v>
      </c>
      <c r="E441">
        <f>_xlfn.XLOOKUP(A441,'Grocery and sales Data'!$A$1:$A$991,'Grocery and sales Data'!$R$1:$R$991)</f>
        <v>336</v>
      </c>
      <c r="F441" t="str">
        <f t="shared" si="6"/>
        <v>Medium</v>
      </c>
    </row>
    <row r="442" spans="1:6" ht="16" x14ac:dyDescent="0.4">
      <c r="A442" s="2" t="s">
        <v>1725</v>
      </c>
      <c r="B442" t="str">
        <f>_xlfn.XLOOKUP(A442,'Grocery and sales Data'!$A$1:$A$991,'Grocery and sales Data'!$B$1:$B$991)</f>
        <v>Arabica Coffee</v>
      </c>
      <c r="C442" t="str">
        <f>_xlfn.XLOOKUP(A442,'Grocery and sales Data'!$A$1:$A$991,'Grocery and sales Data'!$C$1:$C$991)</f>
        <v>Beverages</v>
      </c>
      <c r="D442" s="9">
        <f>_xlfn.XLOOKUP(A442,'Grocery and sales Data'!$A$1:$A$991,'Grocery and sales Data'!$I$1:$I$991)</f>
        <v>20</v>
      </c>
      <c r="E442">
        <f>_xlfn.XLOOKUP(A442,'Grocery and sales Data'!$A$1:$A$991,'Grocery and sales Data'!$R$1:$R$991)</f>
        <v>780</v>
      </c>
      <c r="F442" t="str">
        <f t="shared" si="6"/>
        <v>Medium</v>
      </c>
    </row>
    <row r="443" spans="1:6" ht="16" x14ac:dyDescent="0.4">
      <c r="A443" s="2" t="s">
        <v>1728</v>
      </c>
      <c r="B443" t="str">
        <f>_xlfn.XLOOKUP(A443,'Grocery and sales Data'!$A$1:$A$991,'Grocery and sales Data'!$B$1:$B$991)</f>
        <v>Lemon</v>
      </c>
      <c r="C443" t="str">
        <f>_xlfn.XLOOKUP(A443,'Grocery and sales Data'!$A$1:$A$991,'Grocery and sales Data'!$C$1:$C$991)</f>
        <v>Fruits &amp; Vegetables</v>
      </c>
      <c r="D443" s="9">
        <f>_xlfn.XLOOKUP(A443,'Grocery and sales Data'!$A$1:$A$991,'Grocery and sales Data'!$I$1:$I$991)</f>
        <v>2.5</v>
      </c>
      <c r="E443">
        <f>_xlfn.XLOOKUP(A443,'Grocery and sales Data'!$A$1:$A$991,'Grocery and sales Data'!$R$1:$R$991)</f>
        <v>222.5</v>
      </c>
      <c r="F443" t="str">
        <f t="shared" si="6"/>
        <v>Medium</v>
      </c>
    </row>
    <row r="444" spans="1:6" ht="16" x14ac:dyDescent="0.4">
      <c r="A444" s="2" t="s">
        <v>1731</v>
      </c>
      <c r="B444" t="str">
        <f>_xlfn.XLOOKUP(A444,'Grocery and sales Data'!$A$1:$A$991,'Grocery and sales Data'!$B$1:$B$991)</f>
        <v>Rice Flour</v>
      </c>
      <c r="C444" t="str">
        <f>_xlfn.XLOOKUP(A444,'Grocery and sales Data'!$A$1:$A$991,'Grocery and sales Data'!$C$1:$C$991)</f>
        <v>Grains &amp; Pulses</v>
      </c>
      <c r="D444" s="9">
        <f>_xlfn.XLOOKUP(A444,'Grocery and sales Data'!$A$1:$A$991,'Grocery and sales Data'!$I$1:$I$991)</f>
        <v>2</v>
      </c>
      <c r="E444">
        <f>_xlfn.XLOOKUP(A444,'Grocery and sales Data'!$A$1:$A$991,'Grocery and sales Data'!$R$1:$R$991)</f>
        <v>70</v>
      </c>
      <c r="F444" t="str">
        <f t="shared" si="6"/>
        <v>Low</v>
      </c>
    </row>
    <row r="445" spans="1:6" ht="16" x14ac:dyDescent="0.4">
      <c r="A445" s="2" t="s">
        <v>1734</v>
      </c>
      <c r="B445" t="str">
        <f>_xlfn.XLOOKUP(A445,'Grocery and sales Data'!$A$1:$A$991,'Grocery and sales Data'!$B$1:$B$991)</f>
        <v>Lemon</v>
      </c>
      <c r="C445" t="str">
        <f>_xlfn.XLOOKUP(A445,'Grocery and sales Data'!$A$1:$A$991,'Grocery and sales Data'!$C$1:$C$991)</f>
        <v>Fruits &amp; Vegetables</v>
      </c>
      <c r="D445" s="9">
        <f>_xlfn.XLOOKUP(A445,'Grocery and sales Data'!$A$1:$A$991,'Grocery and sales Data'!$I$1:$I$991)</f>
        <v>2.5</v>
      </c>
      <c r="E445">
        <f>_xlfn.XLOOKUP(A445,'Grocery and sales Data'!$A$1:$A$991,'Grocery and sales Data'!$R$1:$R$991)</f>
        <v>82.5</v>
      </c>
      <c r="F445" t="str">
        <f t="shared" si="6"/>
        <v>Low</v>
      </c>
    </row>
    <row r="446" spans="1:6" ht="16" x14ac:dyDescent="0.4">
      <c r="A446" s="2" t="s">
        <v>1738</v>
      </c>
      <c r="B446" t="str">
        <f>_xlfn.XLOOKUP(A446,'Grocery and sales Data'!$A$1:$A$991,'Grocery and sales Data'!$B$1:$B$991)</f>
        <v>Broccoli</v>
      </c>
      <c r="C446" t="str">
        <f>_xlfn.XLOOKUP(A446,'Grocery and sales Data'!$A$1:$A$991,'Grocery and sales Data'!$C$1:$C$991)</f>
        <v>Fruits &amp; Vegetables</v>
      </c>
      <c r="D446" s="9">
        <f>_xlfn.XLOOKUP(A446,'Grocery and sales Data'!$A$1:$A$991,'Grocery and sales Data'!$I$1:$I$991)</f>
        <v>4</v>
      </c>
      <c r="E446">
        <f>_xlfn.XLOOKUP(A446,'Grocery and sales Data'!$A$1:$A$991,'Grocery and sales Data'!$R$1:$R$991)</f>
        <v>340</v>
      </c>
      <c r="F446" t="str">
        <f t="shared" si="6"/>
        <v>Medium</v>
      </c>
    </row>
    <row r="447" spans="1:6" ht="16" x14ac:dyDescent="0.4">
      <c r="A447" s="2" t="s">
        <v>1741</v>
      </c>
      <c r="B447" t="str">
        <f>_xlfn.XLOOKUP(A447,'Grocery and sales Data'!$A$1:$A$991,'Grocery and sales Data'!$B$1:$B$991)</f>
        <v>Egg (Duck)</v>
      </c>
      <c r="C447" t="str">
        <f>_xlfn.XLOOKUP(A447,'Grocery and sales Data'!$A$1:$A$991,'Grocery and sales Data'!$C$1:$C$991)</f>
        <v>Dairy</v>
      </c>
      <c r="D447" s="9">
        <f>_xlfn.XLOOKUP(A447,'Grocery and sales Data'!$A$1:$A$991,'Grocery and sales Data'!$I$1:$I$991)</f>
        <v>1</v>
      </c>
      <c r="E447">
        <f>_xlfn.XLOOKUP(A447,'Grocery and sales Data'!$A$1:$A$991,'Grocery and sales Data'!$R$1:$R$991)</f>
        <v>96</v>
      </c>
      <c r="F447" t="str">
        <f t="shared" si="6"/>
        <v>Low</v>
      </c>
    </row>
    <row r="448" spans="1:6" ht="16" x14ac:dyDescent="0.4">
      <c r="A448" s="2" t="s">
        <v>1744</v>
      </c>
      <c r="B448" t="str">
        <f>_xlfn.XLOOKUP(A448,'Grocery and sales Data'!$A$1:$A$991,'Grocery and sales Data'!$B$1:$B$991)</f>
        <v>Plum</v>
      </c>
      <c r="C448" t="str">
        <f>_xlfn.XLOOKUP(A448,'Grocery and sales Data'!$A$1:$A$991,'Grocery and sales Data'!$C$1:$C$991)</f>
        <v>Fruits &amp; Vegetables</v>
      </c>
      <c r="D448" s="9">
        <f>_xlfn.XLOOKUP(A448,'Grocery and sales Data'!$A$1:$A$991,'Grocery and sales Data'!$I$1:$I$991)</f>
        <v>4</v>
      </c>
      <c r="E448">
        <f>_xlfn.XLOOKUP(A448,'Grocery and sales Data'!$A$1:$A$991,'Grocery and sales Data'!$R$1:$R$991)</f>
        <v>188</v>
      </c>
      <c r="F448" t="str">
        <f t="shared" si="6"/>
        <v>Medium</v>
      </c>
    </row>
    <row r="449" spans="1:6" ht="16" x14ac:dyDescent="0.4">
      <c r="A449" s="2" t="s">
        <v>1747</v>
      </c>
      <c r="B449" t="str">
        <f>_xlfn.XLOOKUP(A449,'Grocery and sales Data'!$A$1:$A$991,'Grocery and sales Data'!$B$1:$B$991)</f>
        <v>Coconut Sugar</v>
      </c>
      <c r="C449" t="str">
        <f>_xlfn.XLOOKUP(A449,'Grocery and sales Data'!$A$1:$A$991,'Grocery and sales Data'!$C$1:$C$991)</f>
        <v>Grains &amp; Pulses</v>
      </c>
      <c r="D449" s="9">
        <f>_xlfn.XLOOKUP(A449,'Grocery and sales Data'!$A$1:$A$991,'Grocery and sales Data'!$I$1:$I$991)</f>
        <v>5</v>
      </c>
      <c r="E449">
        <f>_xlfn.XLOOKUP(A449,'Grocery and sales Data'!$A$1:$A$991,'Grocery and sales Data'!$R$1:$R$991)</f>
        <v>465</v>
      </c>
      <c r="F449" t="str">
        <f t="shared" si="6"/>
        <v>Medium</v>
      </c>
    </row>
    <row r="450" spans="1:6" ht="16" x14ac:dyDescent="0.4">
      <c r="A450" s="2" t="s">
        <v>1750</v>
      </c>
      <c r="B450" t="str">
        <f>_xlfn.XLOOKUP(A450,'Grocery and sales Data'!$A$1:$A$991,'Grocery and sales Data'!$B$1:$B$991)</f>
        <v>Pomegranate</v>
      </c>
      <c r="C450" t="str">
        <f>_xlfn.XLOOKUP(A450,'Grocery and sales Data'!$A$1:$A$991,'Grocery and sales Data'!$C$1:$C$991)</f>
        <v>Fruits &amp; Vegetables</v>
      </c>
      <c r="D450" s="9">
        <f>_xlfn.XLOOKUP(A450,'Grocery and sales Data'!$A$1:$A$991,'Grocery and sales Data'!$I$1:$I$991)</f>
        <v>6</v>
      </c>
      <c r="E450">
        <f>_xlfn.XLOOKUP(A450,'Grocery and sales Data'!$A$1:$A$991,'Grocery and sales Data'!$R$1:$R$991)</f>
        <v>282</v>
      </c>
      <c r="F450" t="str">
        <f t="shared" si="6"/>
        <v>Medium</v>
      </c>
    </row>
    <row r="451" spans="1:6" ht="16" x14ac:dyDescent="0.4">
      <c r="A451" s="2" t="s">
        <v>1753</v>
      </c>
      <c r="B451" t="str">
        <f>_xlfn.XLOOKUP(A451,'Grocery and sales Data'!$A$1:$A$991,'Grocery and sales Data'!$B$1:$B$991)</f>
        <v>Raw Sugar</v>
      </c>
      <c r="C451" t="str">
        <f>_xlfn.XLOOKUP(A451,'Grocery and sales Data'!$A$1:$A$991,'Grocery and sales Data'!$C$1:$C$991)</f>
        <v>Grains &amp; Pulses</v>
      </c>
      <c r="D451" s="9">
        <f>_xlfn.XLOOKUP(A451,'Grocery and sales Data'!$A$1:$A$991,'Grocery and sales Data'!$I$1:$I$991)</f>
        <v>1.5</v>
      </c>
      <c r="E451">
        <f>_xlfn.XLOOKUP(A451,'Grocery and sales Data'!$A$1:$A$991,'Grocery and sales Data'!$R$1:$R$991)</f>
        <v>58.5</v>
      </c>
      <c r="F451" t="str">
        <f t="shared" ref="F451:F514" si="7">IF(E451&gt;=1000,"High",IF(E451&gt;=100,"Medium","Low"))</f>
        <v>Low</v>
      </c>
    </row>
    <row r="452" spans="1:6" ht="16" x14ac:dyDescent="0.4">
      <c r="A452" s="2" t="s">
        <v>1756</v>
      </c>
      <c r="B452" t="str">
        <f>_xlfn.XLOOKUP(A452,'Grocery and sales Data'!$A$1:$A$991,'Grocery and sales Data'!$B$1:$B$991)</f>
        <v>Eggplant</v>
      </c>
      <c r="C452" t="str">
        <f>_xlfn.XLOOKUP(A452,'Grocery and sales Data'!$A$1:$A$991,'Grocery and sales Data'!$C$1:$C$991)</f>
        <v>Fruits &amp; Vegetables</v>
      </c>
      <c r="D452" s="9">
        <f>_xlfn.XLOOKUP(A452,'Grocery and sales Data'!$A$1:$A$991,'Grocery and sales Data'!$I$1:$I$991)</f>
        <v>3</v>
      </c>
      <c r="E452">
        <f>_xlfn.XLOOKUP(A452,'Grocery and sales Data'!$A$1:$A$991,'Grocery and sales Data'!$R$1:$R$991)</f>
        <v>117</v>
      </c>
      <c r="F452" t="str">
        <f t="shared" si="7"/>
        <v>Medium</v>
      </c>
    </row>
    <row r="453" spans="1:6" ht="16" x14ac:dyDescent="0.4">
      <c r="A453" s="2" t="s">
        <v>1759</v>
      </c>
      <c r="B453" t="str">
        <f>_xlfn.XLOOKUP(A453,'Grocery and sales Data'!$A$1:$A$991,'Grocery and sales Data'!$B$1:$B$991)</f>
        <v>Grapes</v>
      </c>
      <c r="C453" t="str">
        <f>_xlfn.XLOOKUP(A453,'Grocery and sales Data'!$A$1:$A$991,'Grocery and sales Data'!$C$1:$C$991)</f>
        <v>Fruits &amp; Vegetables</v>
      </c>
      <c r="D453" s="9">
        <f>_xlfn.XLOOKUP(A453,'Grocery and sales Data'!$A$1:$A$991,'Grocery and sales Data'!$I$1:$I$991)</f>
        <v>5.5</v>
      </c>
      <c r="E453">
        <f>_xlfn.XLOOKUP(A453,'Grocery and sales Data'!$A$1:$A$991,'Grocery and sales Data'!$R$1:$R$991)</f>
        <v>324.5</v>
      </c>
      <c r="F453" t="str">
        <f t="shared" si="7"/>
        <v>Medium</v>
      </c>
    </row>
    <row r="454" spans="1:6" ht="16" x14ac:dyDescent="0.4">
      <c r="A454" s="2" t="s">
        <v>1762</v>
      </c>
      <c r="B454" t="str">
        <f>_xlfn.XLOOKUP(A454,'Grocery and sales Data'!$A$1:$A$991,'Grocery and sales Data'!$B$1:$B$991)</f>
        <v>Watermelon</v>
      </c>
      <c r="C454" t="str">
        <f>_xlfn.XLOOKUP(A454,'Grocery and sales Data'!$A$1:$A$991,'Grocery and sales Data'!$C$1:$C$991)</f>
        <v>Fruits &amp; Vegetables</v>
      </c>
      <c r="D454" s="9">
        <f>_xlfn.XLOOKUP(A454,'Grocery and sales Data'!$A$1:$A$991,'Grocery and sales Data'!$I$1:$I$991)</f>
        <v>3</v>
      </c>
      <c r="E454">
        <f>_xlfn.XLOOKUP(A454,'Grocery and sales Data'!$A$1:$A$991,'Grocery and sales Data'!$R$1:$R$991)</f>
        <v>69</v>
      </c>
      <c r="F454" t="str">
        <f t="shared" si="7"/>
        <v>Low</v>
      </c>
    </row>
    <row r="455" spans="1:6" ht="16" x14ac:dyDescent="0.4">
      <c r="A455" s="2" t="s">
        <v>1766</v>
      </c>
      <c r="B455" t="str">
        <f>_xlfn.XLOOKUP(A455,'Grocery and sales Data'!$A$1:$A$991,'Grocery and sales Data'!$B$1:$B$991)</f>
        <v>Anchovies</v>
      </c>
      <c r="C455" t="str">
        <f>_xlfn.XLOOKUP(A455,'Grocery and sales Data'!$A$1:$A$991,'Grocery and sales Data'!$C$1:$C$991)</f>
        <v>Seafood</v>
      </c>
      <c r="D455" s="9">
        <f>_xlfn.XLOOKUP(A455,'Grocery and sales Data'!$A$1:$A$991,'Grocery and sales Data'!$I$1:$I$991)</f>
        <v>10</v>
      </c>
      <c r="E455">
        <f>_xlfn.XLOOKUP(A455,'Grocery and sales Data'!$A$1:$A$991,'Grocery and sales Data'!$R$1:$R$991)</f>
        <v>540</v>
      </c>
      <c r="F455" t="str">
        <f t="shared" si="7"/>
        <v>Medium</v>
      </c>
    </row>
    <row r="456" spans="1:6" ht="16" x14ac:dyDescent="0.4">
      <c r="A456" s="2" t="s">
        <v>1769</v>
      </c>
      <c r="B456" t="str">
        <f>_xlfn.XLOOKUP(A456,'Grocery and sales Data'!$A$1:$A$991,'Grocery and sales Data'!$B$1:$B$991)</f>
        <v>Yogurt</v>
      </c>
      <c r="C456" t="str">
        <f>_xlfn.XLOOKUP(A456,'Grocery and sales Data'!$A$1:$A$991,'Grocery and sales Data'!$C$1:$C$991)</f>
        <v>Dairy</v>
      </c>
      <c r="D456" s="9">
        <f>_xlfn.XLOOKUP(A456,'Grocery and sales Data'!$A$1:$A$991,'Grocery and sales Data'!$I$1:$I$991)</f>
        <v>1.7</v>
      </c>
      <c r="E456">
        <f>_xlfn.XLOOKUP(A456,'Grocery and sales Data'!$A$1:$A$991,'Grocery and sales Data'!$R$1:$R$991)</f>
        <v>105.39999999999999</v>
      </c>
      <c r="F456" t="str">
        <f t="shared" si="7"/>
        <v>Medium</v>
      </c>
    </row>
    <row r="457" spans="1:6" ht="16" x14ac:dyDescent="0.4">
      <c r="A457" s="2" t="s">
        <v>1772</v>
      </c>
      <c r="B457" t="str">
        <f>_xlfn.XLOOKUP(A457,'Grocery and sales Data'!$A$1:$A$991,'Grocery and sales Data'!$B$1:$B$991)</f>
        <v>Whipped Cream</v>
      </c>
      <c r="C457" t="str">
        <f>_xlfn.XLOOKUP(A457,'Grocery and sales Data'!$A$1:$A$991,'Grocery and sales Data'!$C$1:$C$991)</f>
        <v>Dairy</v>
      </c>
      <c r="D457" s="9">
        <f>_xlfn.XLOOKUP(A457,'Grocery and sales Data'!$A$1:$A$991,'Grocery and sales Data'!$I$1:$I$991)</f>
        <v>4</v>
      </c>
      <c r="E457">
        <f>_xlfn.XLOOKUP(A457,'Grocery and sales Data'!$A$1:$A$991,'Grocery and sales Data'!$R$1:$R$991)</f>
        <v>360</v>
      </c>
      <c r="F457" t="str">
        <f t="shared" si="7"/>
        <v>Medium</v>
      </c>
    </row>
    <row r="458" spans="1:6" ht="16" x14ac:dyDescent="0.4">
      <c r="A458" s="2" t="s">
        <v>1776</v>
      </c>
      <c r="B458" t="str">
        <f>_xlfn.XLOOKUP(A458,'Grocery and sales Data'!$A$1:$A$991,'Grocery and sales Data'!$B$1:$B$991)</f>
        <v>Egg (Quail)</v>
      </c>
      <c r="C458" t="str">
        <f>_xlfn.XLOOKUP(A458,'Grocery and sales Data'!$A$1:$A$991,'Grocery and sales Data'!$C$1:$C$991)</f>
        <v>Dairy</v>
      </c>
      <c r="D458" s="9">
        <f>_xlfn.XLOOKUP(A458,'Grocery and sales Data'!$A$1:$A$991,'Grocery and sales Data'!$I$1:$I$991)</f>
        <v>0.8</v>
      </c>
      <c r="E458">
        <f>_xlfn.XLOOKUP(A458,'Grocery and sales Data'!$A$1:$A$991,'Grocery and sales Data'!$R$1:$R$991)</f>
        <v>40</v>
      </c>
      <c r="F458" t="str">
        <f t="shared" si="7"/>
        <v>Low</v>
      </c>
    </row>
    <row r="459" spans="1:6" ht="16" x14ac:dyDescent="0.4">
      <c r="A459" s="2" t="s">
        <v>1779</v>
      </c>
      <c r="B459" t="str">
        <f>_xlfn.XLOOKUP(A459,'Grocery and sales Data'!$A$1:$A$991,'Grocery and sales Data'!$B$1:$B$991)</f>
        <v>Chocolate Biscuit</v>
      </c>
      <c r="C459" t="str">
        <f>_xlfn.XLOOKUP(A459,'Grocery and sales Data'!$A$1:$A$991,'Grocery and sales Data'!$C$1:$C$991)</f>
        <v>Bakery</v>
      </c>
      <c r="D459" s="9">
        <f>_xlfn.XLOOKUP(A459,'Grocery and sales Data'!$A$1:$A$991,'Grocery and sales Data'!$I$1:$I$991)</f>
        <v>5</v>
      </c>
      <c r="E459">
        <f>_xlfn.XLOOKUP(A459,'Grocery and sales Data'!$A$1:$A$991,'Grocery and sales Data'!$R$1:$R$991)</f>
        <v>235</v>
      </c>
      <c r="F459" t="str">
        <f t="shared" si="7"/>
        <v>Medium</v>
      </c>
    </row>
    <row r="460" spans="1:6" ht="16" x14ac:dyDescent="0.4">
      <c r="A460" s="2" t="s">
        <v>1782</v>
      </c>
      <c r="B460" t="str">
        <f>_xlfn.XLOOKUP(A460,'Grocery and sales Data'!$A$1:$A$991,'Grocery and sales Data'!$B$1:$B$991)</f>
        <v>Ricotta Cheese</v>
      </c>
      <c r="C460" t="str">
        <f>_xlfn.XLOOKUP(A460,'Grocery and sales Data'!$A$1:$A$991,'Grocery and sales Data'!$C$1:$C$991)</f>
        <v>Dairy</v>
      </c>
      <c r="D460" s="9">
        <f>_xlfn.XLOOKUP(A460,'Grocery and sales Data'!$A$1:$A$991,'Grocery and sales Data'!$I$1:$I$991)</f>
        <v>6</v>
      </c>
      <c r="E460">
        <f>_xlfn.XLOOKUP(A460,'Grocery and sales Data'!$A$1:$A$991,'Grocery and sales Data'!$R$1:$R$991)</f>
        <v>420</v>
      </c>
      <c r="F460" t="str">
        <f t="shared" si="7"/>
        <v>Medium</v>
      </c>
    </row>
    <row r="461" spans="1:6" ht="16" x14ac:dyDescent="0.4">
      <c r="A461" s="2" t="s">
        <v>1785</v>
      </c>
      <c r="B461" t="str">
        <f>_xlfn.XLOOKUP(A461,'Grocery and sales Data'!$A$1:$A$991,'Grocery and sales Data'!$B$1:$B$991)</f>
        <v>Vegetable Oil</v>
      </c>
      <c r="C461" t="str">
        <f>_xlfn.XLOOKUP(A461,'Grocery and sales Data'!$A$1:$A$991,'Grocery and sales Data'!$C$1:$C$991)</f>
        <v>Oils &amp; Fats</v>
      </c>
      <c r="D461" s="9">
        <f>_xlfn.XLOOKUP(A461,'Grocery and sales Data'!$A$1:$A$991,'Grocery and sales Data'!$I$1:$I$991)</f>
        <v>2</v>
      </c>
      <c r="E461">
        <f>_xlfn.XLOOKUP(A461,'Grocery and sales Data'!$A$1:$A$991,'Grocery and sales Data'!$R$1:$R$991)</f>
        <v>158</v>
      </c>
      <c r="F461" t="str">
        <f t="shared" si="7"/>
        <v>Medium</v>
      </c>
    </row>
    <row r="462" spans="1:6" ht="16" x14ac:dyDescent="0.4">
      <c r="A462" s="2" t="s">
        <v>1788</v>
      </c>
      <c r="B462" t="str">
        <f>_xlfn.XLOOKUP(A462,'Grocery and sales Data'!$A$1:$A$991,'Grocery and sales Data'!$B$1:$B$991)</f>
        <v>Heavy Cream</v>
      </c>
      <c r="C462" t="str">
        <f>_xlfn.XLOOKUP(A462,'Grocery and sales Data'!$A$1:$A$991,'Grocery and sales Data'!$C$1:$C$991)</f>
        <v>Dairy</v>
      </c>
      <c r="D462" s="9">
        <f>_xlfn.XLOOKUP(A462,'Grocery and sales Data'!$A$1:$A$991,'Grocery and sales Data'!$I$1:$I$991)</f>
        <v>4.0999999999999996</v>
      </c>
      <c r="E462">
        <f>_xlfn.XLOOKUP(A462,'Grocery and sales Data'!$A$1:$A$991,'Grocery and sales Data'!$R$1:$R$991)</f>
        <v>282.89999999999998</v>
      </c>
      <c r="F462" t="str">
        <f t="shared" si="7"/>
        <v>Medium</v>
      </c>
    </row>
    <row r="463" spans="1:6" ht="16" x14ac:dyDescent="0.4">
      <c r="A463" s="2" t="s">
        <v>1792</v>
      </c>
      <c r="B463" t="str">
        <f>_xlfn.XLOOKUP(A463,'Grocery and sales Data'!$A$1:$A$991,'Grocery and sales Data'!$B$1:$B$991)</f>
        <v>Cottage Cheese</v>
      </c>
      <c r="C463" t="str">
        <f>_xlfn.XLOOKUP(A463,'Grocery and sales Data'!$A$1:$A$991,'Grocery and sales Data'!$C$1:$C$991)</f>
        <v>Dairy</v>
      </c>
      <c r="D463" s="9">
        <f>_xlfn.XLOOKUP(A463,'Grocery and sales Data'!$A$1:$A$991,'Grocery and sales Data'!$I$1:$I$991)</f>
        <v>4.8</v>
      </c>
      <c r="E463">
        <f>_xlfn.XLOOKUP(A463,'Grocery and sales Data'!$A$1:$A$991,'Grocery and sales Data'!$R$1:$R$991)</f>
        <v>432</v>
      </c>
      <c r="F463" t="str">
        <f t="shared" si="7"/>
        <v>Medium</v>
      </c>
    </row>
    <row r="464" spans="1:6" ht="16" x14ac:dyDescent="0.4">
      <c r="A464" s="2" t="s">
        <v>1795</v>
      </c>
      <c r="B464" t="str">
        <f>_xlfn.XLOOKUP(A464,'Grocery and sales Data'!$A$1:$A$991,'Grocery and sales Data'!$B$1:$B$991)</f>
        <v>Corn Oil</v>
      </c>
      <c r="C464" t="str">
        <f>_xlfn.XLOOKUP(A464,'Grocery and sales Data'!$A$1:$A$991,'Grocery and sales Data'!$C$1:$C$991)</f>
        <v>Oils &amp; Fats</v>
      </c>
      <c r="D464" s="9">
        <f>_xlfn.XLOOKUP(A464,'Grocery and sales Data'!$A$1:$A$991,'Grocery and sales Data'!$I$1:$I$991)</f>
        <v>2.5</v>
      </c>
      <c r="E464">
        <f>_xlfn.XLOOKUP(A464,'Grocery and sales Data'!$A$1:$A$991,'Grocery and sales Data'!$R$1:$R$991)</f>
        <v>85</v>
      </c>
      <c r="F464" t="str">
        <f t="shared" si="7"/>
        <v>Low</v>
      </c>
    </row>
    <row r="465" spans="1:6" ht="16" x14ac:dyDescent="0.4">
      <c r="A465" s="2" t="s">
        <v>1799</v>
      </c>
      <c r="B465" t="str">
        <f>_xlfn.XLOOKUP(A465,'Grocery and sales Data'!$A$1:$A$991,'Grocery and sales Data'!$B$1:$B$991)</f>
        <v>Salmon</v>
      </c>
      <c r="C465" t="str">
        <f>_xlfn.XLOOKUP(A465,'Grocery and sales Data'!$A$1:$A$991,'Grocery and sales Data'!$C$1:$C$991)</f>
        <v>Seafood</v>
      </c>
      <c r="D465" s="9">
        <f>_xlfn.XLOOKUP(A465,'Grocery and sales Data'!$A$1:$A$991,'Grocery and sales Data'!$I$1:$I$991)</f>
        <v>15</v>
      </c>
      <c r="E465">
        <f>_xlfn.XLOOKUP(A465,'Grocery and sales Data'!$A$1:$A$991,'Grocery and sales Data'!$R$1:$R$991)</f>
        <v>1440</v>
      </c>
      <c r="F465" t="str">
        <f t="shared" si="7"/>
        <v>High</v>
      </c>
    </row>
    <row r="466" spans="1:6" ht="16" x14ac:dyDescent="0.4">
      <c r="A466" s="2" t="s">
        <v>1802</v>
      </c>
      <c r="B466" t="str">
        <f>_xlfn.XLOOKUP(A466,'Grocery and sales Data'!$A$1:$A$991,'Grocery and sales Data'!$B$1:$B$991)</f>
        <v>Mackerel</v>
      </c>
      <c r="C466" t="str">
        <f>_xlfn.XLOOKUP(A466,'Grocery and sales Data'!$A$1:$A$991,'Grocery and sales Data'!$C$1:$C$991)</f>
        <v>Seafood</v>
      </c>
      <c r="D466" s="9">
        <f>_xlfn.XLOOKUP(A466,'Grocery and sales Data'!$A$1:$A$991,'Grocery and sales Data'!$I$1:$I$991)</f>
        <v>7.5</v>
      </c>
      <c r="E466">
        <f>_xlfn.XLOOKUP(A466,'Grocery and sales Data'!$A$1:$A$991,'Grocery and sales Data'!$R$1:$R$991)</f>
        <v>360</v>
      </c>
      <c r="F466" t="str">
        <f t="shared" si="7"/>
        <v>Medium</v>
      </c>
    </row>
    <row r="467" spans="1:6" ht="16" x14ac:dyDescent="0.4">
      <c r="A467" s="2" t="s">
        <v>1806</v>
      </c>
      <c r="B467" t="str">
        <f>_xlfn.XLOOKUP(A467,'Grocery and sales Data'!$A$1:$A$991,'Grocery and sales Data'!$B$1:$B$991)</f>
        <v>Cheese</v>
      </c>
      <c r="C467" t="str">
        <f>_xlfn.XLOOKUP(A467,'Grocery and sales Data'!$A$1:$A$991,'Grocery and sales Data'!$C$1:$C$991)</f>
        <v>Dairy</v>
      </c>
      <c r="D467" s="9">
        <f>_xlfn.XLOOKUP(A467,'Grocery and sales Data'!$A$1:$A$991,'Grocery and sales Data'!$I$1:$I$991)</f>
        <v>9</v>
      </c>
      <c r="E467">
        <f>_xlfn.XLOOKUP(A467,'Grocery and sales Data'!$A$1:$A$991,'Grocery and sales Data'!$R$1:$R$991)</f>
        <v>504</v>
      </c>
      <c r="F467" t="str">
        <f t="shared" si="7"/>
        <v>Medium</v>
      </c>
    </row>
    <row r="468" spans="1:6" ht="16" x14ac:dyDescent="0.4">
      <c r="A468" s="2" t="s">
        <v>1809</v>
      </c>
      <c r="B468" t="str">
        <f>_xlfn.XLOOKUP(A468,'Grocery and sales Data'!$A$1:$A$991,'Grocery and sales Data'!$B$1:$B$991)</f>
        <v>Green Tea</v>
      </c>
      <c r="C468" t="str">
        <f>_xlfn.XLOOKUP(A468,'Grocery and sales Data'!$A$1:$A$991,'Grocery and sales Data'!$C$1:$C$991)</f>
        <v>Beverages</v>
      </c>
      <c r="D468" s="9">
        <f>_xlfn.XLOOKUP(A468,'Grocery and sales Data'!$A$1:$A$991,'Grocery and sales Data'!$I$1:$I$991)</f>
        <v>8</v>
      </c>
      <c r="E468">
        <f>_xlfn.XLOOKUP(A468,'Grocery and sales Data'!$A$1:$A$991,'Grocery and sales Data'!$R$1:$R$991)</f>
        <v>224</v>
      </c>
      <c r="F468" t="str">
        <f t="shared" si="7"/>
        <v>Medium</v>
      </c>
    </row>
    <row r="469" spans="1:6" ht="16" x14ac:dyDescent="0.4">
      <c r="A469" s="2" t="s">
        <v>1812</v>
      </c>
      <c r="B469" t="str">
        <f>_xlfn.XLOOKUP(A469,'Grocery and sales Data'!$A$1:$A$991,'Grocery and sales Data'!$B$1:$B$991)</f>
        <v>Cauliflower</v>
      </c>
      <c r="C469" t="str">
        <f>_xlfn.XLOOKUP(A469,'Grocery and sales Data'!$A$1:$A$991,'Grocery and sales Data'!$C$1:$C$991)</f>
        <v>Fruits &amp; Vegetables</v>
      </c>
      <c r="D469" s="9">
        <f>_xlfn.XLOOKUP(A469,'Grocery and sales Data'!$A$1:$A$991,'Grocery and sales Data'!$I$1:$I$991)</f>
        <v>2.5</v>
      </c>
      <c r="E469">
        <f>_xlfn.XLOOKUP(A469,'Grocery and sales Data'!$A$1:$A$991,'Grocery and sales Data'!$R$1:$R$991)</f>
        <v>117.5</v>
      </c>
      <c r="F469" t="str">
        <f t="shared" si="7"/>
        <v>Medium</v>
      </c>
    </row>
    <row r="470" spans="1:6" ht="16" x14ac:dyDescent="0.4">
      <c r="A470" s="2" t="s">
        <v>1815</v>
      </c>
      <c r="B470" t="str">
        <f>_xlfn.XLOOKUP(A470,'Grocery and sales Data'!$A$1:$A$991,'Grocery and sales Data'!$B$1:$B$991)</f>
        <v>Oatmeal Biscuit</v>
      </c>
      <c r="C470" t="str">
        <f>_xlfn.XLOOKUP(A470,'Grocery and sales Data'!$A$1:$A$991,'Grocery and sales Data'!$C$1:$C$991)</f>
        <v>Bakery</v>
      </c>
      <c r="D470" s="9">
        <f>_xlfn.XLOOKUP(A470,'Grocery and sales Data'!$A$1:$A$991,'Grocery and sales Data'!$I$1:$I$991)</f>
        <v>5</v>
      </c>
      <c r="E470">
        <f>_xlfn.XLOOKUP(A470,'Grocery and sales Data'!$A$1:$A$991,'Grocery and sales Data'!$R$1:$R$991)</f>
        <v>380</v>
      </c>
      <c r="F470" t="str">
        <f t="shared" si="7"/>
        <v>Medium</v>
      </c>
    </row>
    <row r="471" spans="1:6" ht="16" x14ac:dyDescent="0.4">
      <c r="A471" s="2" t="s">
        <v>1818</v>
      </c>
      <c r="B471" t="str">
        <f>_xlfn.XLOOKUP(A471,'Grocery and sales Data'!$A$1:$A$991,'Grocery and sales Data'!$B$1:$B$991)</f>
        <v>Egg (Turkey)</v>
      </c>
      <c r="C471" t="str">
        <f>_xlfn.XLOOKUP(A471,'Grocery and sales Data'!$A$1:$A$991,'Grocery and sales Data'!$C$1:$C$991)</f>
        <v>Dairy</v>
      </c>
      <c r="D471" s="9">
        <f>_xlfn.XLOOKUP(A471,'Grocery and sales Data'!$A$1:$A$991,'Grocery and sales Data'!$I$1:$I$991)</f>
        <v>2.4</v>
      </c>
      <c r="E471">
        <f>_xlfn.XLOOKUP(A471,'Grocery and sales Data'!$A$1:$A$991,'Grocery and sales Data'!$R$1:$R$991)</f>
        <v>194.4</v>
      </c>
      <c r="F471" t="str">
        <f t="shared" si="7"/>
        <v>Medium</v>
      </c>
    </row>
    <row r="472" spans="1:6" ht="16" x14ac:dyDescent="0.4">
      <c r="A472" s="2" t="s">
        <v>1822</v>
      </c>
      <c r="B472" t="str">
        <f>_xlfn.XLOOKUP(A472,'Grocery and sales Data'!$A$1:$A$991,'Grocery and sales Data'!$B$1:$B$991)</f>
        <v>Vanilla Biscuit</v>
      </c>
      <c r="C472" t="str">
        <f>_xlfn.XLOOKUP(A472,'Grocery and sales Data'!$A$1:$A$991,'Grocery and sales Data'!$C$1:$C$991)</f>
        <v>Bakery</v>
      </c>
      <c r="D472" s="9">
        <f>_xlfn.XLOOKUP(A472,'Grocery and sales Data'!$A$1:$A$991,'Grocery and sales Data'!$I$1:$I$991)</f>
        <v>5.5</v>
      </c>
      <c r="E472">
        <f>_xlfn.XLOOKUP(A472,'Grocery and sales Data'!$A$1:$A$991,'Grocery and sales Data'!$R$1:$R$991)</f>
        <v>407</v>
      </c>
      <c r="F472" t="str">
        <f t="shared" si="7"/>
        <v>Medium</v>
      </c>
    </row>
    <row r="473" spans="1:6" ht="16" x14ac:dyDescent="0.4">
      <c r="A473" s="2" t="s">
        <v>1826</v>
      </c>
      <c r="B473" t="str">
        <f>_xlfn.XLOOKUP(A473,'Grocery and sales Data'!$A$1:$A$991,'Grocery and sales Data'!$B$1:$B$991)</f>
        <v>Digestive Biscuit</v>
      </c>
      <c r="C473" t="str">
        <f>_xlfn.XLOOKUP(A473,'Grocery and sales Data'!$A$1:$A$991,'Grocery and sales Data'!$C$1:$C$991)</f>
        <v>Bakery</v>
      </c>
      <c r="D473" s="9">
        <f>_xlfn.XLOOKUP(A473,'Grocery and sales Data'!$A$1:$A$991,'Grocery and sales Data'!$I$1:$I$991)</f>
        <v>4</v>
      </c>
      <c r="E473">
        <f>_xlfn.XLOOKUP(A473,'Grocery and sales Data'!$A$1:$A$991,'Grocery and sales Data'!$R$1:$R$991)</f>
        <v>288</v>
      </c>
      <c r="F473" t="str">
        <f t="shared" si="7"/>
        <v>Medium</v>
      </c>
    </row>
    <row r="474" spans="1:6" ht="16" x14ac:dyDescent="0.4">
      <c r="A474" s="2" t="s">
        <v>1829</v>
      </c>
      <c r="B474" t="str">
        <f>_xlfn.XLOOKUP(A474,'Grocery and sales Data'!$A$1:$A$991,'Grocery and sales Data'!$B$1:$B$991)</f>
        <v>Evaporated Milk</v>
      </c>
      <c r="C474" t="str">
        <f>_xlfn.XLOOKUP(A474,'Grocery and sales Data'!$A$1:$A$991,'Grocery and sales Data'!$C$1:$C$991)</f>
        <v>Dairy</v>
      </c>
      <c r="D474" s="9">
        <f>_xlfn.XLOOKUP(A474,'Grocery and sales Data'!$A$1:$A$991,'Grocery and sales Data'!$I$1:$I$991)</f>
        <v>2</v>
      </c>
      <c r="E474">
        <f>_xlfn.XLOOKUP(A474,'Grocery and sales Data'!$A$1:$A$991,'Grocery and sales Data'!$R$1:$R$991)</f>
        <v>96</v>
      </c>
      <c r="F474" t="str">
        <f t="shared" si="7"/>
        <v>Low</v>
      </c>
    </row>
    <row r="475" spans="1:6" ht="16" x14ac:dyDescent="0.4">
      <c r="A475" s="2" t="s">
        <v>1832</v>
      </c>
      <c r="B475" t="str">
        <f>_xlfn.XLOOKUP(A475,'Grocery and sales Data'!$A$1:$A$991,'Grocery and sales Data'!$B$1:$B$991)</f>
        <v>White Tea</v>
      </c>
      <c r="C475" t="str">
        <f>_xlfn.XLOOKUP(A475,'Grocery and sales Data'!$A$1:$A$991,'Grocery and sales Data'!$C$1:$C$991)</f>
        <v>Beverages</v>
      </c>
      <c r="D475" s="9">
        <f>_xlfn.XLOOKUP(A475,'Grocery and sales Data'!$A$1:$A$991,'Grocery and sales Data'!$I$1:$I$991)</f>
        <v>25.3</v>
      </c>
      <c r="E475">
        <f>_xlfn.XLOOKUP(A475,'Grocery and sales Data'!$A$1:$A$991,'Grocery and sales Data'!$R$1:$R$991)</f>
        <v>1087.9000000000001</v>
      </c>
      <c r="F475" t="str">
        <f t="shared" si="7"/>
        <v>High</v>
      </c>
    </row>
    <row r="476" spans="1:6" ht="16" x14ac:dyDescent="0.4">
      <c r="A476" s="2" t="s">
        <v>1835</v>
      </c>
      <c r="B476" t="str">
        <f>_xlfn.XLOOKUP(A476,'Grocery and sales Data'!$A$1:$A$991,'Grocery and sales Data'!$B$1:$B$991)</f>
        <v>Avocado Oil</v>
      </c>
      <c r="C476" t="str">
        <f>_xlfn.XLOOKUP(A476,'Grocery and sales Data'!$A$1:$A$991,'Grocery and sales Data'!$C$1:$C$991)</f>
        <v>Oils &amp; Fats</v>
      </c>
      <c r="D476" s="9">
        <f>_xlfn.XLOOKUP(A476,'Grocery and sales Data'!$A$1:$A$991,'Grocery and sales Data'!$I$1:$I$991)</f>
        <v>10</v>
      </c>
      <c r="E476">
        <f>_xlfn.XLOOKUP(A476,'Grocery and sales Data'!$A$1:$A$991,'Grocery and sales Data'!$R$1:$R$991)</f>
        <v>270</v>
      </c>
      <c r="F476" t="str">
        <f t="shared" si="7"/>
        <v>Medium</v>
      </c>
    </row>
    <row r="477" spans="1:6" ht="16" x14ac:dyDescent="0.4">
      <c r="A477" s="2" t="s">
        <v>1838</v>
      </c>
      <c r="B477" t="str">
        <f>_xlfn.XLOOKUP(A477,'Grocery and sales Data'!$A$1:$A$991,'Grocery and sales Data'!$B$1:$B$991)</f>
        <v>Egg (Goose)</v>
      </c>
      <c r="C477" t="str">
        <f>_xlfn.XLOOKUP(A477,'Grocery and sales Data'!$A$1:$A$991,'Grocery and sales Data'!$C$1:$C$991)</f>
        <v>Dairy</v>
      </c>
      <c r="D477" s="9">
        <f>_xlfn.XLOOKUP(A477,'Grocery and sales Data'!$A$1:$A$991,'Grocery and sales Data'!$I$1:$I$991)</f>
        <v>2.5</v>
      </c>
      <c r="E477">
        <f>_xlfn.XLOOKUP(A477,'Grocery and sales Data'!$A$1:$A$991,'Grocery and sales Data'!$R$1:$R$991)</f>
        <v>127.5</v>
      </c>
      <c r="F477" t="str">
        <f t="shared" si="7"/>
        <v>Medium</v>
      </c>
    </row>
    <row r="478" spans="1:6" ht="16" x14ac:dyDescent="0.4">
      <c r="A478" s="2" t="s">
        <v>1841</v>
      </c>
      <c r="B478" t="str">
        <f>_xlfn.XLOOKUP(A478,'Grocery and sales Data'!$A$1:$A$991,'Grocery and sales Data'!$B$1:$B$991)</f>
        <v>Arborio Rice</v>
      </c>
      <c r="C478" t="str">
        <f>_xlfn.XLOOKUP(A478,'Grocery and sales Data'!$A$1:$A$991,'Grocery and sales Data'!$C$1:$C$991)</f>
        <v>Grains &amp; Pulses</v>
      </c>
      <c r="D478" s="9">
        <f>_xlfn.XLOOKUP(A478,'Grocery and sales Data'!$A$1:$A$991,'Grocery and sales Data'!$I$1:$I$991)</f>
        <v>4.5</v>
      </c>
      <c r="E478">
        <f>_xlfn.XLOOKUP(A478,'Grocery and sales Data'!$A$1:$A$991,'Grocery and sales Data'!$R$1:$R$991)</f>
        <v>99</v>
      </c>
      <c r="F478" t="str">
        <f t="shared" si="7"/>
        <v>Low</v>
      </c>
    </row>
    <row r="479" spans="1:6" ht="16" x14ac:dyDescent="0.4">
      <c r="A479" s="2" t="s">
        <v>1844</v>
      </c>
      <c r="B479" t="str">
        <f>_xlfn.XLOOKUP(A479,'Grocery and sales Data'!$A$1:$A$991,'Grocery and sales Data'!$B$1:$B$991)</f>
        <v>Cauliflower</v>
      </c>
      <c r="C479" t="str">
        <f>_xlfn.XLOOKUP(A479,'Grocery and sales Data'!$A$1:$A$991,'Grocery and sales Data'!$C$1:$C$991)</f>
        <v>Fruits &amp; Vegetables</v>
      </c>
      <c r="D479" s="9">
        <f>_xlfn.XLOOKUP(A479,'Grocery and sales Data'!$A$1:$A$991,'Grocery and sales Data'!$I$1:$I$991)</f>
        <v>2.5</v>
      </c>
      <c r="E479">
        <f>_xlfn.XLOOKUP(A479,'Grocery and sales Data'!$A$1:$A$991,'Grocery and sales Data'!$R$1:$R$991)</f>
        <v>75</v>
      </c>
      <c r="F479" t="str">
        <f t="shared" si="7"/>
        <v>Low</v>
      </c>
    </row>
    <row r="480" spans="1:6" ht="16" x14ac:dyDescent="0.4">
      <c r="A480" s="2" t="s">
        <v>1847</v>
      </c>
      <c r="B480" t="str">
        <f>_xlfn.XLOOKUP(A480,'Grocery and sales Data'!$A$1:$A$991,'Grocery and sales Data'!$B$1:$B$991)</f>
        <v>Almond Flour</v>
      </c>
      <c r="C480" t="str">
        <f>_xlfn.XLOOKUP(A480,'Grocery and sales Data'!$A$1:$A$991,'Grocery and sales Data'!$C$1:$C$991)</f>
        <v>Grains &amp; Pulses</v>
      </c>
      <c r="D480" s="9">
        <f>_xlfn.XLOOKUP(A480,'Grocery and sales Data'!$A$1:$A$991,'Grocery and sales Data'!$I$1:$I$991)</f>
        <v>9.5</v>
      </c>
      <c r="E480">
        <f>_xlfn.XLOOKUP(A480,'Grocery and sales Data'!$A$1:$A$991,'Grocery and sales Data'!$R$1:$R$991)</f>
        <v>570</v>
      </c>
      <c r="F480" t="str">
        <f t="shared" si="7"/>
        <v>Medium</v>
      </c>
    </row>
    <row r="481" spans="1:6" ht="16" x14ac:dyDescent="0.4">
      <c r="A481" s="2" t="s">
        <v>1850</v>
      </c>
      <c r="B481" t="str">
        <f>_xlfn.XLOOKUP(A481,'Grocery and sales Data'!$A$1:$A$991,'Grocery and sales Data'!$B$1:$B$991)</f>
        <v>Watermelon</v>
      </c>
      <c r="C481" t="str">
        <f>_xlfn.XLOOKUP(A481,'Grocery and sales Data'!$A$1:$A$991,'Grocery and sales Data'!$C$1:$C$991)</f>
        <v>Fruits &amp; Vegetables</v>
      </c>
      <c r="D481" s="9">
        <f>_xlfn.XLOOKUP(A481,'Grocery and sales Data'!$A$1:$A$991,'Grocery and sales Data'!$I$1:$I$991)</f>
        <v>3</v>
      </c>
      <c r="E481">
        <f>_xlfn.XLOOKUP(A481,'Grocery and sales Data'!$A$1:$A$991,'Grocery and sales Data'!$R$1:$R$991)</f>
        <v>210</v>
      </c>
      <c r="F481" t="str">
        <f t="shared" si="7"/>
        <v>Medium</v>
      </c>
    </row>
    <row r="482" spans="1:6" ht="16" x14ac:dyDescent="0.4">
      <c r="A482" s="2" t="s">
        <v>1853</v>
      </c>
      <c r="B482" t="str">
        <f>_xlfn.XLOOKUP(A482,'Grocery and sales Data'!$A$1:$A$991,'Grocery and sales Data'!$B$1:$B$991)</f>
        <v>Rye Bread</v>
      </c>
      <c r="C482" t="str">
        <f>_xlfn.XLOOKUP(A482,'Grocery and sales Data'!$A$1:$A$991,'Grocery and sales Data'!$C$1:$C$991)</f>
        <v>Bakery</v>
      </c>
      <c r="D482" s="9">
        <f>_xlfn.XLOOKUP(A482,'Grocery and sales Data'!$A$1:$A$991,'Grocery and sales Data'!$I$1:$I$991)</f>
        <v>3</v>
      </c>
      <c r="E482">
        <f>_xlfn.XLOOKUP(A482,'Grocery and sales Data'!$A$1:$A$991,'Grocery and sales Data'!$R$1:$R$991)</f>
        <v>249</v>
      </c>
      <c r="F482" t="str">
        <f t="shared" si="7"/>
        <v>Medium</v>
      </c>
    </row>
    <row r="483" spans="1:6" ht="16" x14ac:dyDescent="0.4">
      <c r="A483" s="2" t="s">
        <v>1856</v>
      </c>
      <c r="B483" t="str">
        <f>_xlfn.XLOOKUP(A483,'Grocery and sales Data'!$A$1:$A$991,'Grocery and sales Data'!$B$1:$B$991)</f>
        <v>Onion</v>
      </c>
      <c r="C483" t="str">
        <f>_xlfn.XLOOKUP(A483,'Grocery and sales Data'!$A$1:$A$991,'Grocery and sales Data'!$C$1:$C$991)</f>
        <v>Fruits &amp; Vegetables</v>
      </c>
      <c r="D483" s="9">
        <f>_xlfn.XLOOKUP(A483,'Grocery and sales Data'!$A$1:$A$991,'Grocery and sales Data'!$I$1:$I$991)</f>
        <v>2</v>
      </c>
      <c r="E483">
        <f>_xlfn.XLOOKUP(A483,'Grocery and sales Data'!$A$1:$A$991,'Grocery and sales Data'!$R$1:$R$991)</f>
        <v>74</v>
      </c>
      <c r="F483" t="str">
        <f t="shared" si="7"/>
        <v>Low</v>
      </c>
    </row>
    <row r="484" spans="1:6" ht="16" x14ac:dyDescent="0.4">
      <c r="A484" s="2" t="s">
        <v>1859</v>
      </c>
      <c r="B484" t="str">
        <f>_xlfn.XLOOKUP(A484,'Grocery and sales Data'!$A$1:$A$991,'Grocery and sales Data'!$B$1:$B$991)</f>
        <v>Sourdough Bread</v>
      </c>
      <c r="C484" t="str">
        <f>_xlfn.XLOOKUP(A484,'Grocery and sales Data'!$A$1:$A$991,'Grocery and sales Data'!$C$1:$C$991)</f>
        <v>Bakery</v>
      </c>
      <c r="D484" s="9">
        <f>_xlfn.XLOOKUP(A484,'Grocery and sales Data'!$A$1:$A$991,'Grocery and sales Data'!$I$1:$I$991)</f>
        <v>4.2</v>
      </c>
      <c r="E484">
        <f>_xlfn.XLOOKUP(A484,'Grocery and sales Data'!$A$1:$A$991,'Grocery and sales Data'!$R$1:$R$991)</f>
        <v>260.40000000000003</v>
      </c>
      <c r="F484" t="str">
        <f t="shared" si="7"/>
        <v>Medium</v>
      </c>
    </row>
    <row r="485" spans="1:6" ht="16" x14ac:dyDescent="0.4">
      <c r="A485" s="2" t="s">
        <v>1862</v>
      </c>
      <c r="B485" t="str">
        <f>_xlfn.XLOOKUP(A485,'Grocery and sales Data'!$A$1:$A$991,'Grocery and sales Data'!$B$1:$B$991)</f>
        <v>Cheese</v>
      </c>
      <c r="C485" t="str">
        <f>_xlfn.XLOOKUP(A485,'Grocery and sales Data'!$A$1:$A$991,'Grocery and sales Data'!$C$1:$C$991)</f>
        <v>Dairy</v>
      </c>
      <c r="D485" s="9">
        <f>_xlfn.XLOOKUP(A485,'Grocery and sales Data'!$A$1:$A$991,'Grocery and sales Data'!$I$1:$I$991)</f>
        <v>9.1999999999999993</v>
      </c>
      <c r="E485">
        <f>_xlfn.XLOOKUP(A485,'Grocery and sales Data'!$A$1:$A$991,'Grocery and sales Data'!$R$1:$R$991)</f>
        <v>552</v>
      </c>
      <c r="F485" t="str">
        <f t="shared" si="7"/>
        <v>Medium</v>
      </c>
    </row>
    <row r="486" spans="1:6" ht="16" x14ac:dyDescent="0.4">
      <c r="A486" s="2" t="s">
        <v>1865</v>
      </c>
      <c r="B486" t="str">
        <f>_xlfn.XLOOKUP(A486,'Grocery and sales Data'!$A$1:$A$991,'Grocery and sales Data'!$B$1:$B$991)</f>
        <v>Bell Pepper</v>
      </c>
      <c r="C486" t="str">
        <f>_xlfn.XLOOKUP(A486,'Grocery and sales Data'!$A$1:$A$991,'Grocery and sales Data'!$C$1:$C$991)</f>
        <v>Fruits &amp; Vegetables</v>
      </c>
      <c r="D486" s="9">
        <f>_xlfn.XLOOKUP(A486,'Grocery and sales Data'!$A$1:$A$991,'Grocery and sales Data'!$I$1:$I$991)</f>
        <v>4.4000000000000004</v>
      </c>
      <c r="E486">
        <f>_xlfn.XLOOKUP(A486,'Grocery and sales Data'!$A$1:$A$991,'Grocery and sales Data'!$R$1:$R$991)</f>
        <v>321.20000000000005</v>
      </c>
      <c r="F486" t="str">
        <f t="shared" si="7"/>
        <v>Medium</v>
      </c>
    </row>
    <row r="487" spans="1:6" ht="16" x14ac:dyDescent="0.4">
      <c r="A487" s="2" t="s">
        <v>1869</v>
      </c>
      <c r="B487" t="str">
        <f>_xlfn.XLOOKUP(A487,'Grocery and sales Data'!$A$1:$A$991,'Grocery and sales Data'!$B$1:$B$991)</f>
        <v>White Tea</v>
      </c>
      <c r="C487" t="str">
        <f>_xlfn.XLOOKUP(A487,'Grocery and sales Data'!$A$1:$A$991,'Grocery and sales Data'!$C$1:$C$991)</f>
        <v>Beverages</v>
      </c>
      <c r="D487" s="9">
        <f>_xlfn.XLOOKUP(A487,'Grocery and sales Data'!$A$1:$A$991,'Grocery and sales Data'!$I$1:$I$991)</f>
        <v>25</v>
      </c>
      <c r="E487">
        <f>_xlfn.XLOOKUP(A487,'Grocery and sales Data'!$A$1:$A$991,'Grocery and sales Data'!$R$1:$R$991)</f>
        <v>2225</v>
      </c>
      <c r="F487" t="str">
        <f t="shared" si="7"/>
        <v>High</v>
      </c>
    </row>
    <row r="488" spans="1:6" ht="16" x14ac:dyDescent="0.4">
      <c r="A488" s="2" t="s">
        <v>1873</v>
      </c>
      <c r="B488" t="str">
        <f>_xlfn.XLOOKUP(A488,'Grocery and sales Data'!$A$1:$A$991,'Grocery and sales Data'!$B$1:$B$991)</f>
        <v>Broccoli</v>
      </c>
      <c r="C488" t="str">
        <f>_xlfn.XLOOKUP(A488,'Grocery and sales Data'!$A$1:$A$991,'Grocery and sales Data'!$C$1:$C$991)</f>
        <v>Fruits &amp; Vegetables</v>
      </c>
      <c r="D488" s="9">
        <f>_xlfn.XLOOKUP(A488,'Grocery and sales Data'!$A$1:$A$991,'Grocery and sales Data'!$I$1:$I$991)</f>
        <v>4</v>
      </c>
      <c r="E488">
        <f>_xlfn.XLOOKUP(A488,'Grocery and sales Data'!$A$1:$A$991,'Grocery and sales Data'!$R$1:$R$991)</f>
        <v>268</v>
      </c>
      <c r="F488" t="str">
        <f t="shared" si="7"/>
        <v>Medium</v>
      </c>
    </row>
    <row r="489" spans="1:6" ht="16" x14ac:dyDescent="0.4">
      <c r="A489" s="2" t="s">
        <v>1876</v>
      </c>
      <c r="B489" t="str">
        <f>_xlfn.XLOOKUP(A489,'Grocery and sales Data'!$A$1:$A$991,'Grocery and sales Data'!$B$1:$B$991)</f>
        <v>Peach</v>
      </c>
      <c r="C489" t="str">
        <f>_xlfn.XLOOKUP(A489,'Grocery and sales Data'!$A$1:$A$991,'Grocery and sales Data'!$C$1:$C$991)</f>
        <v>Fruits &amp; Vegetables</v>
      </c>
      <c r="D489" s="9">
        <f>_xlfn.XLOOKUP(A489,'Grocery and sales Data'!$A$1:$A$991,'Grocery and sales Data'!$I$1:$I$991)</f>
        <v>4</v>
      </c>
      <c r="E489">
        <f>_xlfn.XLOOKUP(A489,'Grocery and sales Data'!$A$1:$A$991,'Grocery and sales Data'!$R$1:$R$991)</f>
        <v>300</v>
      </c>
      <c r="F489" t="str">
        <f t="shared" si="7"/>
        <v>Medium</v>
      </c>
    </row>
    <row r="490" spans="1:6" ht="16" x14ac:dyDescent="0.4">
      <c r="A490" s="2" t="s">
        <v>1879</v>
      </c>
      <c r="B490" t="str">
        <f>_xlfn.XLOOKUP(A490,'Grocery and sales Data'!$A$1:$A$991,'Grocery and sales Data'!$B$1:$B$991)</f>
        <v>Carrot</v>
      </c>
      <c r="C490" t="str">
        <f>_xlfn.XLOOKUP(A490,'Grocery and sales Data'!$A$1:$A$991,'Grocery and sales Data'!$C$1:$C$991)</f>
        <v>Fruits &amp; Vegetables</v>
      </c>
      <c r="D490" s="9">
        <f>_xlfn.XLOOKUP(A490,'Grocery and sales Data'!$A$1:$A$991,'Grocery and sales Data'!$I$1:$I$991)</f>
        <v>1.45</v>
      </c>
      <c r="E490">
        <f>_xlfn.XLOOKUP(A490,'Grocery and sales Data'!$A$1:$A$991,'Grocery and sales Data'!$R$1:$R$991)</f>
        <v>63.8</v>
      </c>
      <c r="F490" t="str">
        <f t="shared" si="7"/>
        <v>Low</v>
      </c>
    </row>
    <row r="491" spans="1:6" ht="16" x14ac:dyDescent="0.4">
      <c r="A491" s="2" t="s">
        <v>1882</v>
      </c>
      <c r="B491" t="str">
        <f>_xlfn.XLOOKUP(A491,'Grocery and sales Data'!$A$1:$A$991,'Grocery and sales Data'!$B$1:$B$991)</f>
        <v>Kale</v>
      </c>
      <c r="C491" t="str">
        <f>_xlfn.XLOOKUP(A491,'Grocery and sales Data'!$A$1:$A$991,'Grocery and sales Data'!$C$1:$C$991)</f>
        <v>Fruits &amp; Vegetables</v>
      </c>
      <c r="D491" s="9">
        <f>_xlfn.XLOOKUP(A491,'Grocery and sales Data'!$A$1:$A$991,'Grocery and sales Data'!$I$1:$I$991)</f>
        <v>4</v>
      </c>
      <c r="E491">
        <f>_xlfn.XLOOKUP(A491,'Grocery and sales Data'!$A$1:$A$991,'Grocery and sales Data'!$R$1:$R$991)</f>
        <v>320</v>
      </c>
      <c r="F491" t="str">
        <f t="shared" si="7"/>
        <v>Medium</v>
      </c>
    </row>
    <row r="492" spans="1:6" ht="16" x14ac:dyDescent="0.4">
      <c r="A492" s="2" t="s">
        <v>1885</v>
      </c>
      <c r="B492" t="str">
        <f>_xlfn.XLOOKUP(A492,'Grocery and sales Data'!$A$1:$A$991,'Grocery and sales Data'!$B$1:$B$991)</f>
        <v>Arabica Coffee</v>
      </c>
      <c r="C492" t="str">
        <f>_xlfn.XLOOKUP(A492,'Grocery and sales Data'!$A$1:$A$991,'Grocery and sales Data'!$C$1:$C$991)</f>
        <v>Beverages</v>
      </c>
      <c r="D492" s="9">
        <f>_xlfn.XLOOKUP(A492,'Grocery and sales Data'!$A$1:$A$991,'Grocery and sales Data'!$I$1:$I$991)</f>
        <v>20</v>
      </c>
      <c r="E492">
        <f>_xlfn.XLOOKUP(A492,'Grocery and sales Data'!$A$1:$A$991,'Grocery and sales Data'!$R$1:$R$991)</f>
        <v>620</v>
      </c>
      <c r="F492" t="str">
        <f t="shared" si="7"/>
        <v>Medium</v>
      </c>
    </row>
    <row r="493" spans="1:6" ht="16" x14ac:dyDescent="0.4">
      <c r="A493" s="2" t="s">
        <v>1888</v>
      </c>
      <c r="B493" t="str">
        <f>_xlfn.XLOOKUP(A493,'Grocery and sales Data'!$A$1:$A$991,'Grocery and sales Data'!$B$1:$B$991)</f>
        <v>Milk</v>
      </c>
      <c r="C493" t="str">
        <f>_xlfn.XLOOKUP(A493,'Grocery and sales Data'!$A$1:$A$991,'Grocery and sales Data'!$C$1:$C$991)</f>
        <v>Dairy</v>
      </c>
      <c r="D493" s="9">
        <f>_xlfn.XLOOKUP(A493,'Grocery and sales Data'!$A$1:$A$991,'Grocery and sales Data'!$I$1:$I$991)</f>
        <v>1</v>
      </c>
      <c r="E493">
        <f>_xlfn.XLOOKUP(A493,'Grocery and sales Data'!$A$1:$A$991,'Grocery and sales Data'!$R$1:$R$991)</f>
        <v>73</v>
      </c>
      <c r="F493" t="str">
        <f t="shared" si="7"/>
        <v>Low</v>
      </c>
    </row>
    <row r="494" spans="1:6" ht="16" x14ac:dyDescent="0.4">
      <c r="A494" s="2" t="s">
        <v>1892</v>
      </c>
      <c r="B494" t="str">
        <f>_xlfn.XLOOKUP(A494,'Grocery and sales Data'!$A$1:$A$991,'Grocery and sales Data'!$B$1:$B$991)</f>
        <v>Sunflower Oil</v>
      </c>
      <c r="C494" t="str">
        <f>_xlfn.XLOOKUP(A494,'Grocery and sales Data'!$A$1:$A$991,'Grocery and sales Data'!$C$1:$C$991)</f>
        <v>Oils &amp; Fats</v>
      </c>
      <c r="D494" s="9">
        <f>_xlfn.XLOOKUP(A494,'Grocery and sales Data'!$A$1:$A$991,'Grocery and sales Data'!$I$1:$I$991)</f>
        <v>2.5</v>
      </c>
      <c r="E494">
        <f>_xlfn.XLOOKUP(A494,'Grocery and sales Data'!$A$1:$A$991,'Grocery and sales Data'!$R$1:$R$991)</f>
        <v>227.5</v>
      </c>
      <c r="F494" t="str">
        <f t="shared" si="7"/>
        <v>Medium</v>
      </c>
    </row>
    <row r="495" spans="1:6" ht="16" x14ac:dyDescent="0.4">
      <c r="A495" s="2" t="s">
        <v>1895</v>
      </c>
      <c r="B495" t="str">
        <f>_xlfn.XLOOKUP(A495,'Grocery and sales Data'!$A$1:$A$991,'Grocery and sales Data'!$B$1:$B$991)</f>
        <v>Watermelon</v>
      </c>
      <c r="C495" t="str">
        <f>_xlfn.XLOOKUP(A495,'Grocery and sales Data'!$A$1:$A$991,'Grocery and sales Data'!$C$1:$C$991)</f>
        <v>Fruits &amp; Vegetables</v>
      </c>
      <c r="D495" s="9">
        <f>_xlfn.XLOOKUP(A495,'Grocery and sales Data'!$A$1:$A$991,'Grocery and sales Data'!$I$1:$I$991)</f>
        <v>3</v>
      </c>
      <c r="E495">
        <f>_xlfn.XLOOKUP(A495,'Grocery and sales Data'!$A$1:$A$991,'Grocery and sales Data'!$R$1:$R$991)</f>
        <v>72</v>
      </c>
      <c r="F495" t="str">
        <f t="shared" si="7"/>
        <v>Low</v>
      </c>
    </row>
    <row r="496" spans="1:6" ht="16" x14ac:dyDescent="0.4">
      <c r="A496" s="2" t="s">
        <v>1898</v>
      </c>
      <c r="B496" t="str">
        <f>_xlfn.XLOOKUP(A496,'Grocery and sales Data'!$A$1:$A$991,'Grocery and sales Data'!$B$1:$B$991)</f>
        <v>Yogurt</v>
      </c>
      <c r="C496" t="str">
        <f>_xlfn.XLOOKUP(A496,'Grocery and sales Data'!$A$1:$A$991,'Grocery and sales Data'!$C$1:$C$991)</f>
        <v>Dairy</v>
      </c>
      <c r="D496" s="9">
        <f>_xlfn.XLOOKUP(A496,'Grocery and sales Data'!$A$1:$A$991,'Grocery and sales Data'!$I$1:$I$991)</f>
        <v>1.75</v>
      </c>
      <c r="E496">
        <f>_xlfn.XLOOKUP(A496,'Grocery and sales Data'!$A$1:$A$991,'Grocery and sales Data'!$R$1:$R$991)</f>
        <v>85.75</v>
      </c>
      <c r="F496" t="str">
        <f t="shared" si="7"/>
        <v>Low</v>
      </c>
    </row>
    <row r="497" spans="1:6" ht="16" x14ac:dyDescent="0.4">
      <c r="A497" s="2" t="s">
        <v>1901</v>
      </c>
      <c r="B497" t="str">
        <f>_xlfn.XLOOKUP(A497,'Grocery and sales Data'!$A$1:$A$991,'Grocery and sales Data'!$B$1:$B$991)</f>
        <v>Sesame Oil</v>
      </c>
      <c r="C497" t="str">
        <f>_xlfn.XLOOKUP(A497,'Grocery and sales Data'!$A$1:$A$991,'Grocery and sales Data'!$C$1:$C$991)</f>
        <v>Oils &amp; Fats</v>
      </c>
      <c r="D497" s="9">
        <f>_xlfn.XLOOKUP(A497,'Grocery and sales Data'!$A$1:$A$991,'Grocery and sales Data'!$I$1:$I$991)</f>
        <v>6.5</v>
      </c>
      <c r="E497">
        <f>_xlfn.XLOOKUP(A497,'Grocery and sales Data'!$A$1:$A$991,'Grocery and sales Data'!$R$1:$R$991)</f>
        <v>318.5</v>
      </c>
      <c r="F497" t="str">
        <f t="shared" si="7"/>
        <v>Medium</v>
      </c>
    </row>
    <row r="498" spans="1:6" ht="16" x14ac:dyDescent="0.4">
      <c r="A498" s="2" t="s">
        <v>1904</v>
      </c>
      <c r="B498" t="str">
        <f>_xlfn.XLOOKUP(A498,'Grocery and sales Data'!$A$1:$A$991,'Grocery and sales Data'!$B$1:$B$991)</f>
        <v>Anchovies</v>
      </c>
      <c r="C498" t="str">
        <f>_xlfn.XLOOKUP(A498,'Grocery and sales Data'!$A$1:$A$991,'Grocery and sales Data'!$C$1:$C$991)</f>
        <v>Seafood</v>
      </c>
      <c r="D498" s="9">
        <f>_xlfn.XLOOKUP(A498,'Grocery and sales Data'!$A$1:$A$991,'Grocery and sales Data'!$I$1:$I$991)</f>
        <v>10</v>
      </c>
      <c r="E498">
        <f>_xlfn.XLOOKUP(A498,'Grocery and sales Data'!$A$1:$A$991,'Grocery and sales Data'!$R$1:$R$991)</f>
        <v>270</v>
      </c>
      <c r="F498" t="str">
        <f t="shared" si="7"/>
        <v>Medium</v>
      </c>
    </row>
    <row r="499" spans="1:6" ht="16" x14ac:dyDescent="0.4">
      <c r="A499" s="2" t="s">
        <v>1907</v>
      </c>
      <c r="B499" t="str">
        <f>_xlfn.XLOOKUP(A499,'Grocery and sales Data'!$A$1:$A$991,'Grocery and sales Data'!$B$1:$B$991)</f>
        <v>Corn Oil</v>
      </c>
      <c r="C499" t="str">
        <f>_xlfn.XLOOKUP(A499,'Grocery and sales Data'!$A$1:$A$991,'Grocery and sales Data'!$C$1:$C$991)</f>
        <v>Oils &amp; Fats</v>
      </c>
      <c r="D499" s="9">
        <f>_xlfn.XLOOKUP(A499,'Grocery and sales Data'!$A$1:$A$991,'Grocery and sales Data'!$I$1:$I$991)</f>
        <v>2.5</v>
      </c>
      <c r="E499">
        <f>_xlfn.XLOOKUP(A499,'Grocery and sales Data'!$A$1:$A$991,'Grocery and sales Data'!$R$1:$R$991)</f>
        <v>57.5</v>
      </c>
      <c r="F499" t="str">
        <f t="shared" si="7"/>
        <v>Low</v>
      </c>
    </row>
    <row r="500" spans="1:6" ht="16" x14ac:dyDescent="0.4">
      <c r="A500" s="2" t="s">
        <v>1910</v>
      </c>
      <c r="B500" t="str">
        <f>_xlfn.XLOOKUP(A500,'Grocery and sales Data'!$A$1:$A$991,'Grocery and sales Data'!$B$1:$B$991)</f>
        <v>Grapes</v>
      </c>
      <c r="C500" t="str">
        <f>_xlfn.XLOOKUP(A500,'Grocery and sales Data'!$A$1:$A$991,'Grocery and sales Data'!$C$1:$C$991)</f>
        <v>Fruits &amp; Vegetables</v>
      </c>
      <c r="D500" s="9">
        <f>_xlfn.XLOOKUP(A500,'Grocery and sales Data'!$A$1:$A$991,'Grocery and sales Data'!$I$1:$I$991)</f>
        <v>5.5</v>
      </c>
      <c r="E500">
        <f>_xlfn.XLOOKUP(A500,'Grocery and sales Data'!$A$1:$A$991,'Grocery and sales Data'!$R$1:$R$991)</f>
        <v>231</v>
      </c>
      <c r="F500" t="str">
        <f t="shared" si="7"/>
        <v>Medium</v>
      </c>
    </row>
    <row r="501" spans="1:6" ht="16" x14ac:dyDescent="0.4">
      <c r="A501" s="2" t="s">
        <v>1913</v>
      </c>
      <c r="B501" t="str">
        <f>_xlfn.XLOOKUP(A501,'Grocery and sales Data'!$A$1:$A$991,'Grocery and sales Data'!$B$1:$B$991)</f>
        <v>Digestive Biscuit</v>
      </c>
      <c r="C501" t="str">
        <f>_xlfn.XLOOKUP(A501,'Grocery and sales Data'!$A$1:$A$991,'Grocery and sales Data'!$C$1:$C$991)</f>
        <v>Bakery</v>
      </c>
      <c r="D501" s="9">
        <f>_xlfn.XLOOKUP(A501,'Grocery and sales Data'!$A$1:$A$991,'Grocery and sales Data'!$I$1:$I$991)</f>
        <v>4</v>
      </c>
      <c r="E501">
        <f>_xlfn.XLOOKUP(A501,'Grocery and sales Data'!$A$1:$A$991,'Grocery and sales Data'!$R$1:$R$991)</f>
        <v>312</v>
      </c>
      <c r="F501" t="str">
        <f t="shared" si="7"/>
        <v>Medium</v>
      </c>
    </row>
    <row r="502" spans="1:6" ht="16" x14ac:dyDescent="0.4">
      <c r="A502" s="2" t="s">
        <v>1916</v>
      </c>
      <c r="B502" t="str">
        <f>_xlfn.XLOOKUP(A502,'Grocery and sales Data'!$A$1:$A$991,'Grocery and sales Data'!$B$1:$B$991)</f>
        <v>Swiss Cheese</v>
      </c>
      <c r="C502" t="str">
        <f>_xlfn.XLOOKUP(A502,'Grocery and sales Data'!$A$1:$A$991,'Grocery and sales Data'!$C$1:$C$991)</f>
        <v>Dairy</v>
      </c>
      <c r="D502" s="9">
        <f>_xlfn.XLOOKUP(A502,'Grocery and sales Data'!$A$1:$A$991,'Grocery and sales Data'!$I$1:$I$991)</f>
        <v>8</v>
      </c>
      <c r="E502">
        <f>_xlfn.XLOOKUP(A502,'Grocery and sales Data'!$A$1:$A$991,'Grocery and sales Data'!$R$1:$R$991)</f>
        <v>544</v>
      </c>
      <c r="F502" t="str">
        <f t="shared" si="7"/>
        <v>Medium</v>
      </c>
    </row>
    <row r="503" spans="1:6" ht="16" x14ac:dyDescent="0.4">
      <c r="A503" s="2" t="s">
        <v>1920</v>
      </c>
      <c r="B503" t="str">
        <f>_xlfn.XLOOKUP(A503,'Grocery and sales Data'!$A$1:$A$991,'Grocery and sales Data'!$B$1:$B$991)</f>
        <v>Cabbage</v>
      </c>
      <c r="C503" t="str">
        <f>_xlfn.XLOOKUP(A503,'Grocery and sales Data'!$A$1:$A$991,'Grocery and sales Data'!$C$1:$C$991)</f>
        <v>Fruits &amp; Vegetables</v>
      </c>
      <c r="D503" s="9">
        <f>_xlfn.XLOOKUP(A503,'Grocery and sales Data'!$A$1:$A$991,'Grocery and sales Data'!$I$1:$I$991)</f>
        <v>1</v>
      </c>
      <c r="E503">
        <f>_xlfn.XLOOKUP(A503,'Grocery and sales Data'!$A$1:$A$991,'Grocery and sales Data'!$R$1:$R$991)</f>
        <v>25</v>
      </c>
      <c r="F503" t="str">
        <f t="shared" si="7"/>
        <v>Low</v>
      </c>
    </row>
    <row r="504" spans="1:6" ht="16" x14ac:dyDescent="0.4">
      <c r="A504" s="2" t="s">
        <v>1923</v>
      </c>
      <c r="B504" t="str">
        <f>_xlfn.XLOOKUP(A504,'Grocery and sales Data'!$A$1:$A$991,'Grocery and sales Data'!$B$1:$B$991)</f>
        <v>Oatmeal Biscuit</v>
      </c>
      <c r="C504" t="str">
        <f>_xlfn.XLOOKUP(A504,'Grocery and sales Data'!$A$1:$A$991,'Grocery and sales Data'!$C$1:$C$991)</f>
        <v>Bakery</v>
      </c>
      <c r="D504" s="9">
        <f>_xlfn.XLOOKUP(A504,'Grocery and sales Data'!$A$1:$A$991,'Grocery and sales Data'!$I$1:$I$991)</f>
        <v>5</v>
      </c>
      <c r="E504">
        <f>_xlfn.XLOOKUP(A504,'Grocery and sales Data'!$A$1:$A$991,'Grocery and sales Data'!$R$1:$R$991)</f>
        <v>105</v>
      </c>
      <c r="F504" t="str">
        <f t="shared" si="7"/>
        <v>Medium</v>
      </c>
    </row>
    <row r="505" spans="1:6" ht="16" x14ac:dyDescent="0.4">
      <c r="A505" s="2" t="s">
        <v>1926</v>
      </c>
      <c r="B505" t="str">
        <f>_xlfn.XLOOKUP(A505,'Grocery and sales Data'!$A$1:$A$991,'Grocery and sales Data'!$B$1:$B$991)</f>
        <v>Sourdough Bread</v>
      </c>
      <c r="C505" t="str">
        <f>_xlfn.XLOOKUP(A505,'Grocery and sales Data'!$A$1:$A$991,'Grocery and sales Data'!$C$1:$C$991)</f>
        <v>Bakery</v>
      </c>
      <c r="D505" s="9">
        <f>_xlfn.XLOOKUP(A505,'Grocery and sales Data'!$A$1:$A$991,'Grocery and sales Data'!$I$1:$I$991)</f>
        <v>4</v>
      </c>
      <c r="E505">
        <f>_xlfn.XLOOKUP(A505,'Grocery and sales Data'!$A$1:$A$991,'Grocery and sales Data'!$R$1:$R$991)</f>
        <v>232</v>
      </c>
      <c r="F505" t="str">
        <f t="shared" si="7"/>
        <v>Medium</v>
      </c>
    </row>
    <row r="506" spans="1:6" ht="16" x14ac:dyDescent="0.4">
      <c r="A506" s="2" t="s">
        <v>1930</v>
      </c>
      <c r="B506" t="str">
        <f>_xlfn.XLOOKUP(A506,'Grocery and sales Data'!$A$1:$A$991,'Grocery and sales Data'!$B$1:$B$991)</f>
        <v>Mozzarella Cheese</v>
      </c>
      <c r="C506" t="str">
        <f>_xlfn.XLOOKUP(A506,'Grocery and sales Data'!$A$1:$A$991,'Grocery and sales Data'!$C$1:$C$991)</f>
        <v>Dairy</v>
      </c>
      <c r="D506" s="9">
        <f>_xlfn.XLOOKUP(A506,'Grocery and sales Data'!$A$1:$A$991,'Grocery and sales Data'!$I$1:$I$991)</f>
        <v>7</v>
      </c>
      <c r="E506">
        <f>_xlfn.XLOOKUP(A506,'Grocery and sales Data'!$A$1:$A$991,'Grocery and sales Data'!$R$1:$R$991)</f>
        <v>434</v>
      </c>
      <c r="F506" t="str">
        <f t="shared" si="7"/>
        <v>Medium</v>
      </c>
    </row>
    <row r="507" spans="1:6" ht="16" x14ac:dyDescent="0.4">
      <c r="A507" s="2" t="s">
        <v>1933</v>
      </c>
      <c r="B507" t="str">
        <f>_xlfn.XLOOKUP(A507,'Grocery and sales Data'!$A$1:$A$991,'Grocery and sales Data'!$B$1:$B$991)</f>
        <v>Rice Flour</v>
      </c>
      <c r="C507" t="str">
        <f>_xlfn.XLOOKUP(A507,'Grocery and sales Data'!$A$1:$A$991,'Grocery and sales Data'!$C$1:$C$991)</f>
        <v>Grains &amp; Pulses</v>
      </c>
      <c r="D507" s="9">
        <f>_xlfn.XLOOKUP(A507,'Grocery and sales Data'!$A$1:$A$991,'Grocery and sales Data'!$I$1:$I$991)</f>
        <v>2</v>
      </c>
      <c r="E507">
        <f>_xlfn.XLOOKUP(A507,'Grocery and sales Data'!$A$1:$A$991,'Grocery and sales Data'!$R$1:$R$991)</f>
        <v>180</v>
      </c>
      <c r="F507" t="str">
        <f t="shared" si="7"/>
        <v>Medium</v>
      </c>
    </row>
    <row r="508" spans="1:6" ht="16" x14ac:dyDescent="0.4">
      <c r="A508" s="2" t="s">
        <v>1936</v>
      </c>
      <c r="B508" t="str">
        <f>_xlfn.XLOOKUP(A508,'Grocery and sales Data'!$A$1:$A$991,'Grocery and sales Data'!$B$1:$B$991)</f>
        <v>Pineapple</v>
      </c>
      <c r="C508" t="str">
        <f>_xlfn.XLOOKUP(A508,'Grocery and sales Data'!$A$1:$A$991,'Grocery and sales Data'!$C$1:$C$991)</f>
        <v>Fruits &amp; Vegetables</v>
      </c>
      <c r="D508" s="9">
        <f>_xlfn.XLOOKUP(A508,'Grocery and sales Data'!$A$1:$A$991,'Grocery and sales Data'!$I$1:$I$991)</f>
        <v>3.5</v>
      </c>
      <c r="E508">
        <f>_xlfn.XLOOKUP(A508,'Grocery and sales Data'!$A$1:$A$991,'Grocery and sales Data'!$R$1:$R$991)</f>
        <v>87.5</v>
      </c>
      <c r="F508" t="str">
        <f t="shared" si="7"/>
        <v>Low</v>
      </c>
    </row>
    <row r="509" spans="1:6" ht="16" x14ac:dyDescent="0.4">
      <c r="A509" s="2" t="s">
        <v>1939</v>
      </c>
      <c r="B509" t="str">
        <f>_xlfn.XLOOKUP(A509,'Grocery and sales Data'!$A$1:$A$991,'Grocery and sales Data'!$B$1:$B$991)</f>
        <v>White Sugar</v>
      </c>
      <c r="C509" t="str">
        <f>_xlfn.XLOOKUP(A509,'Grocery and sales Data'!$A$1:$A$991,'Grocery and sales Data'!$C$1:$C$991)</f>
        <v>Grains &amp; Pulses</v>
      </c>
      <c r="D509" s="9">
        <f>_xlfn.XLOOKUP(A509,'Grocery and sales Data'!$A$1:$A$991,'Grocery and sales Data'!$I$1:$I$991)</f>
        <v>2</v>
      </c>
      <c r="E509">
        <f>_xlfn.XLOOKUP(A509,'Grocery and sales Data'!$A$1:$A$991,'Grocery and sales Data'!$R$1:$R$991)</f>
        <v>76</v>
      </c>
      <c r="F509" t="str">
        <f t="shared" si="7"/>
        <v>Low</v>
      </c>
    </row>
    <row r="510" spans="1:6" ht="16" x14ac:dyDescent="0.4">
      <c r="A510" s="2" t="s">
        <v>1943</v>
      </c>
      <c r="B510" t="str">
        <f>_xlfn.XLOOKUP(A510,'Grocery and sales Data'!$A$1:$A$991,'Grocery and sales Data'!$B$1:$B$991)</f>
        <v>Sesame Oil</v>
      </c>
      <c r="C510" t="str">
        <f>_xlfn.XLOOKUP(A510,'Grocery and sales Data'!$A$1:$A$991,'Grocery and sales Data'!$C$1:$C$991)</f>
        <v>Oils &amp; Fats</v>
      </c>
      <c r="D510" s="9">
        <f>_xlfn.XLOOKUP(A510,'Grocery and sales Data'!$A$1:$A$991,'Grocery and sales Data'!$I$1:$I$991)</f>
        <v>6.5</v>
      </c>
      <c r="E510">
        <f>_xlfn.XLOOKUP(A510,'Grocery and sales Data'!$A$1:$A$991,'Grocery and sales Data'!$R$1:$R$991)</f>
        <v>559</v>
      </c>
      <c r="F510" t="str">
        <f t="shared" si="7"/>
        <v>Medium</v>
      </c>
    </row>
    <row r="511" spans="1:6" ht="16" x14ac:dyDescent="0.4">
      <c r="A511" s="2" t="s">
        <v>1946</v>
      </c>
      <c r="B511" t="str">
        <f>_xlfn.XLOOKUP(A511,'Grocery and sales Data'!$A$1:$A$991,'Grocery and sales Data'!$B$1:$B$991)</f>
        <v>Egg (Goose)</v>
      </c>
      <c r="C511" t="str">
        <f>_xlfn.XLOOKUP(A511,'Grocery and sales Data'!$A$1:$A$991,'Grocery and sales Data'!$C$1:$C$991)</f>
        <v>Dairy</v>
      </c>
      <c r="D511" s="9">
        <f>_xlfn.XLOOKUP(A511,'Grocery and sales Data'!$A$1:$A$991,'Grocery and sales Data'!$I$1:$I$991)</f>
        <v>2.4500000000000002</v>
      </c>
      <c r="E511">
        <f>_xlfn.XLOOKUP(A511,'Grocery and sales Data'!$A$1:$A$991,'Grocery and sales Data'!$R$1:$R$991)</f>
        <v>186.20000000000002</v>
      </c>
      <c r="F511" t="str">
        <f t="shared" si="7"/>
        <v>Medium</v>
      </c>
    </row>
    <row r="512" spans="1:6" ht="16" x14ac:dyDescent="0.4">
      <c r="A512" s="2" t="s">
        <v>1949</v>
      </c>
      <c r="B512" t="str">
        <f>_xlfn.XLOOKUP(A512,'Grocery and sales Data'!$A$1:$A$991,'Grocery and sales Data'!$B$1:$B$991)</f>
        <v>Black Coffee</v>
      </c>
      <c r="C512" t="str">
        <f>_xlfn.XLOOKUP(A512,'Grocery and sales Data'!$A$1:$A$991,'Grocery and sales Data'!$C$1:$C$991)</f>
        <v>Beverages</v>
      </c>
      <c r="D512" s="9">
        <f>_xlfn.XLOOKUP(A512,'Grocery and sales Data'!$A$1:$A$991,'Grocery and sales Data'!$I$1:$I$991)</f>
        <v>15.5</v>
      </c>
      <c r="E512">
        <f>_xlfn.XLOOKUP(A512,'Grocery and sales Data'!$A$1:$A$991,'Grocery and sales Data'!$R$1:$R$991)</f>
        <v>527</v>
      </c>
      <c r="F512" t="str">
        <f t="shared" si="7"/>
        <v>Medium</v>
      </c>
    </row>
    <row r="513" spans="1:6" ht="16" x14ac:dyDescent="0.4">
      <c r="A513" s="2" t="s">
        <v>1953</v>
      </c>
      <c r="B513" t="str">
        <f>_xlfn.XLOOKUP(A513,'Grocery and sales Data'!$A$1:$A$991,'Grocery and sales Data'!$B$1:$B$991)</f>
        <v>Peanut Oil</v>
      </c>
      <c r="C513" t="str">
        <f>_xlfn.XLOOKUP(A513,'Grocery and sales Data'!$A$1:$A$991,'Grocery and sales Data'!$C$1:$C$991)</f>
        <v>Oils &amp; Fats</v>
      </c>
      <c r="D513" s="9">
        <f>_xlfn.XLOOKUP(A513,'Grocery and sales Data'!$A$1:$A$991,'Grocery and sales Data'!$I$1:$I$991)</f>
        <v>4</v>
      </c>
      <c r="E513">
        <f>_xlfn.XLOOKUP(A513,'Grocery and sales Data'!$A$1:$A$991,'Grocery and sales Data'!$R$1:$R$991)</f>
        <v>184</v>
      </c>
      <c r="F513" t="str">
        <f t="shared" si="7"/>
        <v>Medium</v>
      </c>
    </row>
    <row r="514" spans="1:6" ht="16" x14ac:dyDescent="0.4">
      <c r="A514" s="2" t="s">
        <v>1957</v>
      </c>
      <c r="B514" t="str">
        <f>_xlfn.XLOOKUP(A514,'Grocery and sales Data'!$A$1:$A$991,'Grocery and sales Data'!$B$1:$B$991)</f>
        <v>Peas</v>
      </c>
      <c r="C514" t="str">
        <f>_xlfn.XLOOKUP(A514,'Grocery and sales Data'!$A$1:$A$991,'Grocery and sales Data'!$C$1:$C$991)</f>
        <v>Fruits &amp; Vegetables</v>
      </c>
      <c r="D514" s="9">
        <f>_xlfn.XLOOKUP(A514,'Grocery and sales Data'!$A$1:$A$991,'Grocery and sales Data'!$I$1:$I$991)</f>
        <v>3</v>
      </c>
      <c r="E514">
        <f>_xlfn.XLOOKUP(A514,'Grocery and sales Data'!$A$1:$A$991,'Grocery and sales Data'!$R$1:$R$991)</f>
        <v>288</v>
      </c>
      <c r="F514" t="str">
        <f t="shared" si="7"/>
        <v>Medium</v>
      </c>
    </row>
    <row r="515" spans="1:6" ht="16" x14ac:dyDescent="0.4">
      <c r="A515" s="2" t="s">
        <v>1960</v>
      </c>
      <c r="B515" t="str">
        <f>_xlfn.XLOOKUP(A515,'Grocery and sales Data'!$A$1:$A$991,'Grocery and sales Data'!$B$1:$B$991)</f>
        <v>Almond Flour</v>
      </c>
      <c r="C515" t="str">
        <f>_xlfn.XLOOKUP(A515,'Grocery and sales Data'!$A$1:$A$991,'Grocery and sales Data'!$C$1:$C$991)</f>
        <v>Grains &amp; Pulses</v>
      </c>
      <c r="D515" s="9">
        <f>_xlfn.XLOOKUP(A515,'Grocery and sales Data'!$A$1:$A$991,'Grocery and sales Data'!$I$1:$I$991)</f>
        <v>9.5</v>
      </c>
      <c r="E515">
        <f>_xlfn.XLOOKUP(A515,'Grocery and sales Data'!$A$1:$A$991,'Grocery and sales Data'!$R$1:$R$991)</f>
        <v>228</v>
      </c>
      <c r="F515" t="str">
        <f t="shared" ref="F515:F578" si="8">IF(E515&gt;=1000,"High",IF(E515&gt;=100,"Medium","Low"))</f>
        <v>Medium</v>
      </c>
    </row>
    <row r="516" spans="1:6" ht="16" x14ac:dyDescent="0.4">
      <c r="A516" s="2" t="s">
        <v>1964</v>
      </c>
      <c r="B516" t="str">
        <f>_xlfn.XLOOKUP(A516,'Grocery and sales Data'!$A$1:$A$991,'Grocery and sales Data'!$B$1:$B$991)</f>
        <v>Canola Oil</v>
      </c>
      <c r="C516" t="str">
        <f>_xlfn.XLOOKUP(A516,'Grocery and sales Data'!$A$1:$A$991,'Grocery and sales Data'!$C$1:$C$991)</f>
        <v>Oils &amp; Fats</v>
      </c>
      <c r="D516" s="9">
        <f>_xlfn.XLOOKUP(A516,'Grocery and sales Data'!$A$1:$A$991,'Grocery and sales Data'!$I$1:$I$991)</f>
        <v>2.2999999999999998</v>
      </c>
      <c r="E516">
        <f>_xlfn.XLOOKUP(A516,'Grocery and sales Data'!$A$1:$A$991,'Grocery and sales Data'!$R$1:$R$991)</f>
        <v>140.29999999999998</v>
      </c>
      <c r="F516" t="str">
        <f t="shared" si="8"/>
        <v>Medium</v>
      </c>
    </row>
    <row r="517" spans="1:6" ht="16" x14ac:dyDescent="0.4">
      <c r="A517" s="2" t="s">
        <v>1967</v>
      </c>
      <c r="B517" t="str">
        <f>_xlfn.XLOOKUP(A517,'Grocery and sales Data'!$A$1:$A$991,'Grocery and sales Data'!$B$1:$B$991)</f>
        <v>Canola Oil</v>
      </c>
      <c r="C517" t="str">
        <f>_xlfn.XLOOKUP(A517,'Grocery and sales Data'!$A$1:$A$991,'Grocery and sales Data'!$C$1:$C$991)</f>
        <v>Oils &amp; Fats</v>
      </c>
      <c r="D517" s="9">
        <f>_xlfn.XLOOKUP(A517,'Grocery and sales Data'!$A$1:$A$991,'Grocery and sales Data'!$I$1:$I$991)</f>
        <v>2.2999999999999998</v>
      </c>
      <c r="E517">
        <f>_xlfn.XLOOKUP(A517,'Grocery and sales Data'!$A$1:$A$991,'Grocery and sales Data'!$R$1:$R$991)</f>
        <v>181.7</v>
      </c>
      <c r="F517" t="str">
        <f t="shared" si="8"/>
        <v>Medium</v>
      </c>
    </row>
    <row r="518" spans="1:6" ht="16" x14ac:dyDescent="0.4">
      <c r="A518" s="2" t="s">
        <v>1971</v>
      </c>
      <c r="B518" t="str">
        <f>_xlfn.XLOOKUP(A518,'Grocery and sales Data'!$A$1:$A$991,'Grocery and sales Data'!$B$1:$B$991)</f>
        <v>Butter</v>
      </c>
      <c r="C518" t="str">
        <f>_xlfn.XLOOKUP(A518,'Grocery and sales Data'!$A$1:$A$991,'Grocery and sales Data'!$C$1:$C$991)</f>
        <v>Dairy</v>
      </c>
      <c r="D518" s="9">
        <f>_xlfn.XLOOKUP(A518,'Grocery and sales Data'!$A$1:$A$991,'Grocery and sales Data'!$I$1:$I$991)</f>
        <v>3</v>
      </c>
      <c r="E518">
        <f>_xlfn.XLOOKUP(A518,'Grocery and sales Data'!$A$1:$A$991,'Grocery and sales Data'!$R$1:$R$991)</f>
        <v>285</v>
      </c>
      <c r="F518" t="str">
        <f t="shared" si="8"/>
        <v>Medium</v>
      </c>
    </row>
    <row r="519" spans="1:6" ht="16" x14ac:dyDescent="0.4">
      <c r="A519" s="2" t="s">
        <v>1974</v>
      </c>
      <c r="B519" t="str">
        <f>_xlfn.XLOOKUP(A519,'Grocery and sales Data'!$A$1:$A$991,'Grocery and sales Data'!$B$1:$B$991)</f>
        <v>Cream</v>
      </c>
      <c r="C519" t="str">
        <f>_xlfn.XLOOKUP(A519,'Grocery and sales Data'!$A$1:$A$991,'Grocery and sales Data'!$C$1:$C$991)</f>
        <v>Dairy</v>
      </c>
      <c r="D519" s="9">
        <f>_xlfn.XLOOKUP(A519,'Grocery and sales Data'!$A$1:$A$991,'Grocery and sales Data'!$I$1:$I$991)</f>
        <v>2.4</v>
      </c>
      <c r="E519">
        <f>_xlfn.XLOOKUP(A519,'Grocery and sales Data'!$A$1:$A$991,'Grocery and sales Data'!$R$1:$R$991)</f>
        <v>115.19999999999999</v>
      </c>
      <c r="F519" t="str">
        <f t="shared" si="8"/>
        <v>Medium</v>
      </c>
    </row>
    <row r="520" spans="1:6" ht="16" x14ac:dyDescent="0.4">
      <c r="A520" s="2" t="s">
        <v>1978</v>
      </c>
      <c r="B520" t="str">
        <f>_xlfn.XLOOKUP(A520,'Grocery and sales Data'!$A$1:$A$991,'Grocery and sales Data'!$B$1:$B$991)</f>
        <v>Zucchini</v>
      </c>
      <c r="C520" t="str">
        <f>_xlfn.XLOOKUP(A520,'Grocery and sales Data'!$A$1:$A$991,'Grocery and sales Data'!$C$1:$C$991)</f>
        <v>Fruits &amp; Vegetables</v>
      </c>
      <c r="D520" s="9">
        <f>_xlfn.XLOOKUP(A520,'Grocery and sales Data'!$A$1:$A$991,'Grocery and sales Data'!$I$1:$I$991)</f>
        <v>2.5</v>
      </c>
      <c r="E520">
        <f>_xlfn.XLOOKUP(A520,'Grocery and sales Data'!$A$1:$A$991,'Grocery and sales Data'!$R$1:$R$991)</f>
        <v>55</v>
      </c>
      <c r="F520" t="str">
        <f t="shared" si="8"/>
        <v>Low</v>
      </c>
    </row>
    <row r="521" spans="1:6" ht="16" x14ac:dyDescent="0.4">
      <c r="A521" s="2" t="s">
        <v>1981</v>
      </c>
      <c r="B521" t="str">
        <f>_xlfn.XLOOKUP(A521,'Grocery and sales Data'!$A$1:$A$991,'Grocery and sales Data'!$B$1:$B$991)</f>
        <v>Green Coffee</v>
      </c>
      <c r="C521" t="str">
        <f>_xlfn.XLOOKUP(A521,'Grocery and sales Data'!$A$1:$A$991,'Grocery and sales Data'!$C$1:$C$991)</f>
        <v>Beverages</v>
      </c>
      <c r="D521" s="9">
        <f>_xlfn.XLOOKUP(A521,'Grocery and sales Data'!$A$1:$A$991,'Grocery and sales Data'!$I$1:$I$991)</f>
        <v>12</v>
      </c>
      <c r="E521">
        <f>_xlfn.XLOOKUP(A521,'Grocery and sales Data'!$A$1:$A$991,'Grocery and sales Data'!$R$1:$R$991)</f>
        <v>972</v>
      </c>
      <c r="F521" t="str">
        <f t="shared" si="8"/>
        <v>Medium</v>
      </c>
    </row>
    <row r="522" spans="1:6" ht="16" x14ac:dyDescent="0.4">
      <c r="A522" s="2" t="s">
        <v>1984</v>
      </c>
      <c r="B522" t="str">
        <f>_xlfn.XLOOKUP(A522,'Grocery and sales Data'!$A$1:$A$991,'Grocery and sales Data'!$B$1:$B$991)</f>
        <v>Milk</v>
      </c>
      <c r="C522" t="str">
        <f>_xlfn.XLOOKUP(A522,'Grocery and sales Data'!$A$1:$A$991,'Grocery and sales Data'!$C$1:$C$991)</f>
        <v>Dairy</v>
      </c>
      <c r="D522" s="9">
        <f>_xlfn.XLOOKUP(A522,'Grocery and sales Data'!$A$1:$A$991,'Grocery and sales Data'!$I$1:$I$991)</f>
        <v>0.9</v>
      </c>
      <c r="E522">
        <f>_xlfn.XLOOKUP(A522,'Grocery and sales Data'!$A$1:$A$991,'Grocery and sales Data'!$R$1:$R$991)</f>
        <v>41.4</v>
      </c>
      <c r="F522" t="str">
        <f t="shared" si="8"/>
        <v>Low</v>
      </c>
    </row>
    <row r="523" spans="1:6" ht="16" x14ac:dyDescent="0.4">
      <c r="A523" s="2" t="s">
        <v>1988</v>
      </c>
      <c r="B523" t="str">
        <f>_xlfn.XLOOKUP(A523,'Grocery and sales Data'!$A$1:$A$991,'Grocery and sales Data'!$B$1:$B$991)</f>
        <v>Cabbage</v>
      </c>
      <c r="C523" t="str">
        <f>_xlfn.XLOOKUP(A523,'Grocery and sales Data'!$A$1:$A$991,'Grocery and sales Data'!$C$1:$C$991)</f>
        <v>Fruits &amp; Vegetables</v>
      </c>
      <c r="D523" s="9">
        <f>_xlfn.XLOOKUP(A523,'Grocery and sales Data'!$A$1:$A$991,'Grocery and sales Data'!$I$1:$I$991)</f>
        <v>1</v>
      </c>
      <c r="E523">
        <f>_xlfn.XLOOKUP(A523,'Grocery and sales Data'!$A$1:$A$991,'Grocery and sales Data'!$R$1:$R$991)</f>
        <v>34</v>
      </c>
      <c r="F523" t="str">
        <f t="shared" si="8"/>
        <v>Low</v>
      </c>
    </row>
    <row r="524" spans="1:6" ht="16" x14ac:dyDescent="0.4">
      <c r="A524" s="2" t="s">
        <v>1991</v>
      </c>
      <c r="B524" t="str">
        <f>_xlfn.XLOOKUP(A524,'Grocery and sales Data'!$A$1:$A$991,'Grocery and sales Data'!$B$1:$B$991)</f>
        <v>Coconut Sugar</v>
      </c>
      <c r="C524" t="str">
        <f>_xlfn.XLOOKUP(A524,'Grocery and sales Data'!$A$1:$A$991,'Grocery and sales Data'!$C$1:$C$991)</f>
        <v>Grains &amp; Pulses</v>
      </c>
      <c r="D524" s="9">
        <f>_xlfn.XLOOKUP(A524,'Grocery and sales Data'!$A$1:$A$991,'Grocery and sales Data'!$I$1:$I$991)</f>
        <v>5</v>
      </c>
      <c r="E524">
        <f>_xlfn.XLOOKUP(A524,'Grocery and sales Data'!$A$1:$A$991,'Grocery and sales Data'!$R$1:$R$991)</f>
        <v>380</v>
      </c>
      <c r="F524" t="str">
        <f t="shared" si="8"/>
        <v>Medium</v>
      </c>
    </row>
    <row r="525" spans="1:6" ht="16" x14ac:dyDescent="0.4">
      <c r="A525" s="2" t="s">
        <v>1994</v>
      </c>
      <c r="B525" t="str">
        <f>_xlfn.XLOOKUP(A525,'Grocery and sales Data'!$A$1:$A$991,'Grocery and sales Data'!$B$1:$B$991)</f>
        <v>Sesame Oil</v>
      </c>
      <c r="C525" t="str">
        <f>_xlfn.XLOOKUP(A525,'Grocery and sales Data'!$A$1:$A$991,'Grocery and sales Data'!$C$1:$C$991)</f>
        <v>Oils &amp; Fats</v>
      </c>
      <c r="D525" s="9">
        <f>_xlfn.XLOOKUP(A525,'Grocery and sales Data'!$A$1:$A$991,'Grocery and sales Data'!$I$1:$I$991)</f>
        <v>6.5</v>
      </c>
      <c r="E525">
        <f>_xlfn.XLOOKUP(A525,'Grocery and sales Data'!$A$1:$A$991,'Grocery and sales Data'!$R$1:$R$991)</f>
        <v>500.5</v>
      </c>
      <c r="F525" t="str">
        <f t="shared" si="8"/>
        <v>Medium</v>
      </c>
    </row>
    <row r="526" spans="1:6" ht="16" x14ac:dyDescent="0.4">
      <c r="A526" s="2" t="s">
        <v>1997</v>
      </c>
      <c r="B526" t="str">
        <f>_xlfn.XLOOKUP(A526,'Grocery and sales Data'!$A$1:$A$991,'Grocery and sales Data'!$B$1:$B$991)</f>
        <v>All-Purpose Flour</v>
      </c>
      <c r="C526" t="str">
        <f>_xlfn.XLOOKUP(A526,'Grocery and sales Data'!$A$1:$A$991,'Grocery and sales Data'!$C$1:$C$991)</f>
        <v>Grains &amp; Pulses</v>
      </c>
      <c r="D526" s="9">
        <f>_xlfn.XLOOKUP(A526,'Grocery and sales Data'!$A$1:$A$991,'Grocery and sales Data'!$I$1:$I$991)</f>
        <v>1.75</v>
      </c>
      <c r="E526">
        <f>_xlfn.XLOOKUP(A526,'Grocery and sales Data'!$A$1:$A$991,'Grocery and sales Data'!$R$1:$R$991)</f>
        <v>134.75</v>
      </c>
      <c r="F526" t="str">
        <f t="shared" si="8"/>
        <v>Medium</v>
      </c>
    </row>
    <row r="527" spans="1:6" ht="16" x14ac:dyDescent="0.4">
      <c r="A527" s="2" t="s">
        <v>2000</v>
      </c>
      <c r="B527" t="str">
        <f>_xlfn.XLOOKUP(A527,'Grocery and sales Data'!$A$1:$A$991,'Grocery and sales Data'!$B$1:$B$991)</f>
        <v>Whipped Cream</v>
      </c>
      <c r="C527" t="str">
        <f>_xlfn.XLOOKUP(A527,'Grocery and sales Data'!$A$1:$A$991,'Grocery and sales Data'!$C$1:$C$991)</f>
        <v>Dairy</v>
      </c>
      <c r="D527" s="9">
        <f>_xlfn.XLOOKUP(A527,'Grocery and sales Data'!$A$1:$A$991,'Grocery and sales Data'!$I$1:$I$991)</f>
        <v>4.0999999999999996</v>
      </c>
      <c r="E527">
        <f>_xlfn.XLOOKUP(A527,'Grocery and sales Data'!$A$1:$A$991,'Grocery and sales Data'!$R$1:$R$991)</f>
        <v>364.9</v>
      </c>
      <c r="F527" t="str">
        <f t="shared" si="8"/>
        <v>Medium</v>
      </c>
    </row>
    <row r="528" spans="1:6" ht="16" x14ac:dyDescent="0.4">
      <c r="A528" s="2" t="s">
        <v>2003</v>
      </c>
      <c r="B528" t="str">
        <f>_xlfn.XLOOKUP(A528,'Grocery and sales Data'!$A$1:$A$991,'Grocery and sales Data'!$B$1:$B$991)</f>
        <v>Herbal Tea</v>
      </c>
      <c r="C528" t="str">
        <f>_xlfn.XLOOKUP(A528,'Grocery and sales Data'!$A$1:$A$991,'Grocery and sales Data'!$C$1:$C$991)</f>
        <v>Beverages</v>
      </c>
      <c r="D528" s="9">
        <f>_xlfn.XLOOKUP(A528,'Grocery and sales Data'!$A$1:$A$991,'Grocery and sales Data'!$I$1:$I$991)</f>
        <v>30.5</v>
      </c>
      <c r="E528">
        <f>_xlfn.XLOOKUP(A528,'Grocery and sales Data'!$A$1:$A$991,'Grocery and sales Data'!$R$1:$R$991)</f>
        <v>1403</v>
      </c>
      <c r="F528" t="str">
        <f t="shared" si="8"/>
        <v>High</v>
      </c>
    </row>
    <row r="529" spans="1:6" ht="16" x14ac:dyDescent="0.4">
      <c r="A529" s="2" t="s">
        <v>2007</v>
      </c>
      <c r="B529" t="str">
        <f>_xlfn.XLOOKUP(A529,'Grocery and sales Data'!$A$1:$A$991,'Grocery and sales Data'!$B$1:$B$991)</f>
        <v>Haddock</v>
      </c>
      <c r="C529" t="str">
        <f>_xlfn.XLOOKUP(A529,'Grocery and sales Data'!$A$1:$A$991,'Grocery and sales Data'!$C$1:$C$991)</f>
        <v>Seafood</v>
      </c>
      <c r="D529" s="9">
        <f>_xlfn.XLOOKUP(A529,'Grocery and sales Data'!$A$1:$A$991,'Grocery and sales Data'!$I$1:$I$991)</f>
        <v>9</v>
      </c>
      <c r="E529">
        <f>_xlfn.XLOOKUP(A529,'Grocery and sales Data'!$A$1:$A$991,'Grocery and sales Data'!$R$1:$R$991)</f>
        <v>594</v>
      </c>
      <c r="F529" t="str">
        <f t="shared" si="8"/>
        <v>Medium</v>
      </c>
    </row>
    <row r="530" spans="1:6" ht="16" x14ac:dyDescent="0.4">
      <c r="A530" s="2" t="s">
        <v>2010</v>
      </c>
      <c r="B530" t="str">
        <f>_xlfn.XLOOKUP(A530,'Grocery and sales Data'!$A$1:$A$991,'Grocery and sales Data'!$B$1:$B$991)</f>
        <v>Green Coffee</v>
      </c>
      <c r="C530" t="str">
        <f>_xlfn.XLOOKUP(A530,'Grocery and sales Data'!$A$1:$A$991,'Grocery and sales Data'!$C$1:$C$991)</f>
        <v>Beverages</v>
      </c>
      <c r="D530" s="9">
        <f>_xlfn.XLOOKUP(A530,'Grocery and sales Data'!$A$1:$A$991,'Grocery and sales Data'!$I$1:$I$991)</f>
        <v>12</v>
      </c>
      <c r="E530">
        <f>_xlfn.XLOOKUP(A530,'Grocery and sales Data'!$A$1:$A$991,'Grocery and sales Data'!$R$1:$R$991)</f>
        <v>336</v>
      </c>
      <c r="F530" t="str">
        <f t="shared" si="8"/>
        <v>Medium</v>
      </c>
    </row>
    <row r="531" spans="1:6" ht="16" x14ac:dyDescent="0.4">
      <c r="A531" s="2" t="s">
        <v>2013</v>
      </c>
      <c r="B531" t="str">
        <f>_xlfn.XLOOKUP(A531,'Grocery and sales Data'!$A$1:$A$991,'Grocery and sales Data'!$B$1:$B$991)</f>
        <v>Grapes</v>
      </c>
      <c r="C531" t="str">
        <f>_xlfn.XLOOKUP(A531,'Grocery and sales Data'!$A$1:$A$991,'Grocery and sales Data'!$C$1:$C$991)</f>
        <v>Fruits &amp; Vegetables</v>
      </c>
      <c r="D531" s="9">
        <f>_xlfn.XLOOKUP(A531,'Grocery and sales Data'!$A$1:$A$991,'Grocery and sales Data'!$I$1:$I$991)</f>
        <v>5.5</v>
      </c>
      <c r="E531">
        <f>_xlfn.XLOOKUP(A531,'Grocery and sales Data'!$A$1:$A$991,'Grocery and sales Data'!$R$1:$R$991)</f>
        <v>187</v>
      </c>
      <c r="F531" t="str">
        <f t="shared" si="8"/>
        <v>Medium</v>
      </c>
    </row>
    <row r="532" spans="1:6" ht="16" x14ac:dyDescent="0.4">
      <c r="A532" s="2" t="s">
        <v>2016</v>
      </c>
      <c r="B532" t="str">
        <f>_xlfn.XLOOKUP(A532,'Grocery and sales Data'!$A$1:$A$991,'Grocery and sales Data'!$B$1:$B$991)</f>
        <v>Cheddar Cheese</v>
      </c>
      <c r="C532" t="str">
        <f>_xlfn.XLOOKUP(A532,'Grocery and sales Data'!$A$1:$A$991,'Grocery and sales Data'!$C$1:$C$991)</f>
        <v>Dairy</v>
      </c>
      <c r="D532" s="9">
        <f>_xlfn.XLOOKUP(A532,'Grocery and sales Data'!$A$1:$A$991,'Grocery and sales Data'!$I$1:$I$991)</f>
        <v>8.9</v>
      </c>
      <c r="E532">
        <f>_xlfn.XLOOKUP(A532,'Grocery and sales Data'!$A$1:$A$991,'Grocery and sales Data'!$R$1:$R$991)</f>
        <v>507.3</v>
      </c>
      <c r="F532" t="str">
        <f t="shared" si="8"/>
        <v>Medium</v>
      </c>
    </row>
    <row r="533" spans="1:6" ht="16" x14ac:dyDescent="0.4">
      <c r="A533" s="2" t="s">
        <v>2020</v>
      </c>
      <c r="B533" t="str">
        <f>_xlfn.XLOOKUP(A533,'Grocery and sales Data'!$A$1:$A$991,'Grocery and sales Data'!$B$1:$B$991)</f>
        <v>Basmati Rice</v>
      </c>
      <c r="C533" t="str">
        <f>_xlfn.XLOOKUP(A533,'Grocery and sales Data'!$A$1:$A$991,'Grocery and sales Data'!$C$1:$C$991)</f>
        <v>Grains &amp; Pulses</v>
      </c>
      <c r="D533" s="9">
        <f>_xlfn.XLOOKUP(A533,'Grocery and sales Data'!$A$1:$A$991,'Grocery and sales Data'!$I$1:$I$991)</f>
        <v>4.4000000000000004</v>
      </c>
      <c r="E533">
        <f>_xlfn.XLOOKUP(A533,'Grocery and sales Data'!$A$1:$A$991,'Grocery and sales Data'!$R$1:$R$991)</f>
        <v>237.60000000000002</v>
      </c>
      <c r="F533" t="str">
        <f t="shared" si="8"/>
        <v>Medium</v>
      </c>
    </row>
    <row r="534" spans="1:6" ht="16" x14ac:dyDescent="0.4">
      <c r="A534" s="2" t="s">
        <v>2023</v>
      </c>
      <c r="B534" t="str">
        <f>_xlfn.XLOOKUP(A534,'Grocery and sales Data'!$A$1:$A$991,'Grocery and sales Data'!$B$1:$B$991)</f>
        <v>White Tea</v>
      </c>
      <c r="C534" t="str">
        <f>_xlfn.XLOOKUP(A534,'Grocery and sales Data'!$A$1:$A$991,'Grocery and sales Data'!$C$1:$C$991)</f>
        <v>Beverages</v>
      </c>
      <c r="D534" s="9">
        <f>_xlfn.XLOOKUP(A534,'Grocery and sales Data'!$A$1:$A$991,'Grocery and sales Data'!$I$1:$I$991)</f>
        <v>25</v>
      </c>
      <c r="E534">
        <f>_xlfn.XLOOKUP(A534,'Grocery and sales Data'!$A$1:$A$991,'Grocery and sales Data'!$R$1:$R$991)</f>
        <v>1575</v>
      </c>
      <c r="F534" t="str">
        <f t="shared" si="8"/>
        <v>High</v>
      </c>
    </row>
    <row r="535" spans="1:6" ht="16" x14ac:dyDescent="0.4">
      <c r="A535" s="2" t="s">
        <v>2026</v>
      </c>
      <c r="B535" t="str">
        <f>_xlfn.XLOOKUP(A535,'Grocery and sales Data'!$A$1:$A$991,'Grocery and sales Data'!$B$1:$B$991)</f>
        <v>Ricotta Cheese</v>
      </c>
      <c r="C535" t="str">
        <f>_xlfn.XLOOKUP(A535,'Grocery and sales Data'!$A$1:$A$991,'Grocery and sales Data'!$C$1:$C$991)</f>
        <v>Dairy</v>
      </c>
      <c r="D535" s="9">
        <f>_xlfn.XLOOKUP(A535,'Grocery and sales Data'!$A$1:$A$991,'Grocery and sales Data'!$I$1:$I$991)</f>
        <v>6.2</v>
      </c>
      <c r="E535">
        <f>_xlfn.XLOOKUP(A535,'Grocery and sales Data'!$A$1:$A$991,'Grocery and sales Data'!$R$1:$R$991)</f>
        <v>545.6</v>
      </c>
      <c r="F535" t="str">
        <f t="shared" si="8"/>
        <v>Medium</v>
      </c>
    </row>
    <row r="536" spans="1:6" ht="16" x14ac:dyDescent="0.4">
      <c r="A536" s="2" t="s">
        <v>2029</v>
      </c>
      <c r="B536" t="str">
        <f>_xlfn.XLOOKUP(A536,'Grocery and sales Data'!$A$1:$A$991,'Grocery and sales Data'!$B$1:$B$991)</f>
        <v>Trout</v>
      </c>
      <c r="C536" t="str">
        <f>_xlfn.XLOOKUP(A536,'Grocery and sales Data'!$A$1:$A$991,'Grocery and sales Data'!$C$1:$C$991)</f>
        <v>Seafood</v>
      </c>
      <c r="D536" s="9">
        <f>_xlfn.XLOOKUP(A536,'Grocery and sales Data'!$A$1:$A$991,'Grocery and sales Data'!$I$1:$I$991)</f>
        <v>12</v>
      </c>
      <c r="E536">
        <f>_xlfn.XLOOKUP(A536,'Grocery and sales Data'!$A$1:$A$991,'Grocery and sales Data'!$R$1:$R$991)</f>
        <v>744</v>
      </c>
      <c r="F536" t="str">
        <f t="shared" si="8"/>
        <v>Medium</v>
      </c>
    </row>
    <row r="537" spans="1:6" ht="16" x14ac:dyDescent="0.4">
      <c r="A537" s="2" t="s">
        <v>2032</v>
      </c>
      <c r="B537" t="str">
        <f>_xlfn.XLOOKUP(A537,'Grocery and sales Data'!$A$1:$A$991,'Grocery and sales Data'!$B$1:$B$991)</f>
        <v>Egg (Duck)</v>
      </c>
      <c r="C537" t="str">
        <f>_xlfn.XLOOKUP(A537,'Grocery and sales Data'!$A$1:$A$991,'Grocery and sales Data'!$C$1:$C$991)</f>
        <v>Dairy</v>
      </c>
      <c r="D537" s="9">
        <f>_xlfn.XLOOKUP(A537,'Grocery and sales Data'!$A$1:$A$991,'Grocery and sales Data'!$I$1:$I$991)</f>
        <v>1</v>
      </c>
      <c r="E537">
        <f>_xlfn.XLOOKUP(A537,'Grocery and sales Data'!$A$1:$A$991,'Grocery and sales Data'!$R$1:$R$991)</f>
        <v>90</v>
      </c>
      <c r="F537" t="str">
        <f t="shared" si="8"/>
        <v>Low</v>
      </c>
    </row>
    <row r="538" spans="1:6" ht="16" x14ac:dyDescent="0.4">
      <c r="A538" s="2" t="s">
        <v>2035</v>
      </c>
      <c r="B538" t="str">
        <f>_xlfn.XLOOKUP(A538,'Grocery and sales Data'!$A$1:$A$991,'Grocery and sales Data'!$B$1:$B$991)</f>
        <v>White Bread</v>
      </c>
      <c r="C538" t="str">
        <f>_xlfn.XLOOKUP(A538,'Grocery and sales Data'!$A$1:$A$991,'Grocery and sales Data'!$C$1:$C$991)</f>
        <v>Bakery</v>
      </c>
      <c r="D538" s="9">
        <f>_xlfn.XLOOKUP(A538,'Grocery and sales Data'!$A$1:$A$991,'Grocery and sales Data'!$I$1:$I$991)</f>
        <v>2.5</v>
      </c>
      <c r="E538">
        <f>_xlfn.XLOOKUP(A538,'Grocery and sales Data'!$A$1:$A$991,'Grocery and sales Data'!$R$1:$R$991)</f>
        <v>222.5</v>
      </c>
      <c r="F538" t="str">
        <f t="shared" si="8"/>
        <v>Medium</v>
      </c>
    </row>
    <row r="539" spans="1:6" ht="16" x14ac:dyDescent="0.4">
      <c r="A539" s="2" t="s">
        <v>2038</v>
      </c>
      <c r="B539" t="str">
        <f>_xlfn.XLOOKUP(A539,'Grocery and sales Data'!$A$1:$A$991,'Grocery and sales Data'!$B$1:$B$991)</f>
        <v>Cauliflower</v>
      </c>
      <c r="C539" t="str">
        <f>_xlfn.XLOOKUP(A539,'Grocery and sales Data'!$A$1:$A$991,'Grocery and sales Data'!$C$1:$C$991)</f>
        <v>Fruits &amp; Vegetables</v>
      </c>
      <c r="D539" s="9">
        <f>_xlfn.XLOOKUP(A539,'Grocery and sales Data'!$A$1:$A$991,'Grocery and sales Data'!$I$1:$I$991)</f>
        <v>2.5499999999999998</v>
      </c>
      <c r="E539">
        <f>_xlfn.XLOOKUP(A539,'Grocery and sales Data'!$A$1:$A$991,'Grocery and sales Data'!$R$1:$R$991)</f>
        <v>132.6</v>
      </c>
      <c r="F539" t="str">
        <f t="shared" si="8"/>
        <v>Medium</v>
      </c>
    </row>
    <row r="540" spans="1:6" ht="16" x14ac:dyDescent="0.4">
      <c r="A540" s="2" t="s">
        <v>2041</v>
      </c>
      <c r="B540" t="str">
        <f>_xlfn.XLOOKUP(A540,'Grocery and sales Data'!$A$1:$A$991,'Grocery and sales Data'!$B$1:$B$991)</f>
        <v>Arabica Coffee</v>
      </c>
      <c r="C540" t="str">
        <f>_xlfn.XLOOKUP(A540,'Grocery and sales Data'!$A$1:$A$991,'Grocery and sales Data'!$C$1:$C$991)</f>
        <v>Beverages</v>
      </c>
      <c r="D540" s="9">
        <f>_xlfn.XLOOKUP(A540,'Grocery and sales Data'!$A$1:$A$991,'Grocery and sales Data'!$I$1:$I$991)</f>
        <v>20</v>
      </c>
      <c r="E540">
        <f>_xlfn.XLOOKUP(A540,'Grocery and sales Data'!$A$1:$A$991,'Grocery and sales Data'!$R$1:$R$991)</f>
        <v>2000</v>
      </c>
      <c r="F540" t="str">
        <f t="shared" si="8"/>
        <v>High</v>
      </c>
    </row>
    <row r="541" spans="1:6" ht="16" x14ac:dyDescent="0.4">
      <c r="A541" s="2" t="s">
        <v>2045</v>
      </c>
      <c r="B541" t="str">
        <f>_xlfn.XLOOKUP(A541,'Grocery and sales Data'!$A$1:$A$991,'Grocery and sales Data'!$B$1:$B$991)</f>
        <v>Pineapple</v>
      </c>
      <c r="C541" t="str">
        <f>_xlfn.XLOOKUP(A541,'Grocery and sales Data'!$A$1:$A$991,'Grocery and sales Data'!$C$1:$C$991)</f>
        <v>Fruits &amp; Vegetables</v>
      </c>
      <c r="D541" s="9">
        <f>_xlfn.XLOOKUP(A541,'Grocery and sales Data'!$A$1:$A$991,'Grocery and sales Data'!$I$1:$I$991)</f>
        <v>3.5</v>
      </c>
      <c r="E541">
        <f>_xlfn.XLOOKUP(A541,'Grocery and sales Data'!$A$1:$A$991,'Grocery and sales Data'!$R$1:$R$991)</f>
        <v>308</v>
      </c>
      <c r="F541" t="str">
        <f t="shared" si="8"/>
        <v>Medium</v>
      </c>
    </row>
    <row r="542" spans="1:6" ht="16" x14ac:dyDescent="0.4">
      <c r="A542" s="2" t="s">
        <v>2048</v>
      </c>
      <c r="B542" t="str">
        <f>_xlfn.XLOOKUP(A542,'Grocery and sales Data'!$A$1:$A$991,'Grocery and sales Data'!$B$1:$B$991)</f>
        <v>Cauliflower</v>
      </c>
      <c r="C542" t="str">
        <f>_xlfn.XLOOKUP(A542,'Grocery and sales Data'!$A$1:$A$991,'Grocery and sales Data'!$C$1:$C$991)</f>
        <v>Fruits &amp; Vegetables</v>
      </c>
      <c r="D542" s="9">
        <f>_xlfn.XLOOKUP(A542,'Grocery and sales Data'!$A$1:$A$991,'Grocery and sales Data'!$I$1:$I$991)</f>
        <v>2.48</v>
      </c>
      <c r="E542">
        <f>_xlfn.XLOOKUP(A542,'Grocery and sales Data'!$A$1:$A$991,'Grocery and sales Data'!$R$1:$R$991)</f>
        <v>228.16</v>
      </c>
      <c r="F542" t="str">
        <f t="shared" si="8"/>
        <v>Medium</v>
      </c>
    </row>
    <row r="543" spans="1:6" ht="16" x14ac:dyDescent="0.4">
      <c r="A543" s="2" t="s">
        <v>2051</v>
      </c>
      <c r="B543" t="str">
        <f>_xlfn.XLOOKUP(A543,'Grocery and sales Data'!$A$1:$A$991,'Grocery and sales Data'!$B$1:$B$991)</f>
        <v>Egg (Turkey)</v>
      </c>
      <c r="C543" t="str">
        <f>_xlfn.XLOOKUP(A543,'Grocery and sales Data'!$A$1:$A$991,'Grocery and sales Data'!$C$1:$C$991)</f>
        <v>Dairy</v>
      </c>
      <c r="D543" s="9">
        <f>_xlfn.XLOOKUP(A543,'Grocery and sales Data'!$A$1:$A$991,'Grocery and sales Data'!$I$1:$I$991)</f>
        <v>2.5</v>
      </c>
      <c r="E543">
        <f>_xlfn.XLOOKUP(A543,'Grocery and sales Data'!$A$1:$A$991,'Grocery and sales Data'!$R$1:$R$991)</f>
        <v>65</v>
      </c>
      <c r="F543" t="str">
        <f t="shared" si="8"/>
        <v>Low</v>
      </c>
    </row>
    <row r="544" spans="1:6" ht="16" x14ac:dyDescent="0.4">
      <c r="A544" s="2" t="s">
        <v>2054</v>
      </c>
      <c r="B544" t="str">
        <f>_xlfn.XLOOKUP(A544,'Grocery and sales Data'!$A$1:$A$991,'Grocery and sales Data'!$B$1:$B$991)</f>
        <v>Peas</v>
      </c>
      <c r="C544" t="str">
        <f>_xlfn.XLOOKUP(A544,'Grocery and sales Data'!$A$1:$A$991,'Grocery and sales Data'!$C$1:$C$991)</f>
        <v>Fruits &amp; Vegetables</v>
      </c>
      <c r="D544" s="9">
        <f>_xlfn.XLOOKUP(A544,'Grocery and sales Data'!$A$1:$A$991,'Grocery and sales Data'!$I$1:$I$991)</f>
        <v>3</v>
      </c>
      <c r="E544">
        <f>_xlfn.XLOOKUP(A544,'Grocery and sales Data'!$A$1:$A$991,'Grocery and sales Data'!$R$1:$R$991)</f>
        <v>153</v>
      </c>
      <c r="F544" t="str">
        <f t="shared" si="8"/>
        <v>Medium</v>
      </c>
    </row>
    <row r="545" spans="1:6" ht="16" x14ac:dyDescent="0.4">
      <c r="A545" s="2" t="s">
        <v>2058</v>
      </c>
      <c r="B545" t="str">
        <f>_xlfn.XLOOKUP(A545,'Grocery and sales Data'!$A$1:$A$991,'Grocery and sales Data'!$B$1:$B$991)</f>
        <v>Strawberries</v>
      </c>
      <c r="C545" t="str">
        <f>_xlfn.XLOOKUP(A545,'Grocery and sales Data'!$A$1:$A$991,'Grocery and sales Data'!$C$1:$C$991)</f>
        <v>Fruits &amp; Vegetables</v>
      </c>
      <c r="D545" s="9">
        <f>_xlfn.XLOOKUP(A545,'Grocery and sales Data'!$A$1:$A$991,'Grocery and sales Data'!$I$1:$I$991)</f>
        <v>5.9</v>
      </c>
      <c r="E545">
        <f>_xlfn.XLOOKUP(A545,'Grocery and sales Data'!$A$1:$A$991,'Grocery and sales Data'!$R$1:$R$991)</f>
        <v>306.8</v>
      </c>
      <c r="F545" t="str">
        <f t="shared" si="8"/>
        <v>Medium</v>
      </c>
    </row>
    <row r="546" spans="1:6" ht="16" x14ac:dyDescent="0.4">
      <c r="A546" s="2" t="s">
        <v>2061</v>
      </c>
      <c r="B546" t="str">
        <f>_xlfn.XLOOKUP(A546,'Grocery and sales Data'!$A$1:$A$991,'Grocery and sales Data'!$B$1:$B$991)</f>
        <v>Greek Yogurt</v>
      </c>
      <c r="C546" t="str">
        <f>_xlfn.XLOOKUP(A546,'Grocery and sales Data'!$A$1:$A$991,'Grocery and sales Data'!$C$1:$C$991)</f>
        <v>Dairy</v>
      </c>
      <c r="D546" s="9">
        <f>_xlfn.XLOOKUP(A546,'Grocery and sales Data'!$A$1:$A$991,'Grocery and sales Data'!$I$1:$I$991)</f>
        <v>3</v>
      </c>
      <c r="E546">
        <f>_xlfn.XLOOKUP(A546,'Grocery and sales Data'!$A$1:$A$991,'Grocery and sales Data'!$R$1:$R$991)</f>
        <v>141</v>
      </c>
      <c r="F546" t="str">
        <f t="shared" si="8"/>
        <v>Medium</v>
      </c>
    </row>
    <row r="547" spans="1:6" ht="16" x14ac:dyDescent="0.4">
      <c r="A547" s="2" t="s">
        <v>2064</v>
      </c>
      <c r="B547" t="str">
        <f>_xlfn.XLOOKUP(A547,'Grocery and sales Data'!$A$1:$A$991,'Grocery and sales Data'!$B$1:$B$991)</f>
        <v>Papaya</v>
      </c>
      <c r="C547" t="str">
        <f>_xlfn.XLOOKUP(A547,'Grocery and sales Data'!$A$1:$A$991,'Grocery and sales Data'!$C$1:$C$991)</f>
        <v>Fruits &amp; Vegetables</v>
      </c>
      <c r="D547" s="9">
        <f>_xlfn.XLOOKUP(A547,'Grocery and sales Data'!$A$1:$A$991,'Grocery and sales Data'!$I$1:$I$991)</f>
        <v>4.4000000000000004</v>
      </c>
      <c r="E547">
        <f>_xlfn.XLOOKUP(A547,'Grocery and sales Data'!$A$1:$A$991,'Grocery and sales Data'!$R$1:$R$991)</f>
        <v>237.60000000000002</v>
      </c>
      <c r="F547" t="str">
        <f t="shared" si="8"/>
        <v>Medium</v>
      </c>
    </row>
    <row r="548" spans="1:6" ht="16" x14ac:dyDescent="0.4">
      <c r="A548" s="2" t="s">
        <v>2067</v>
      </c>
      <c r="B548" t="str">
        <f>_xlfn.XLOOKUP(A548,'Grocery and sales Data'!$A$1:$A$991,'Grocery and sales Data'!$B$1:$B$991)</f>
        <v>Sardines</v>
      </c>
      <c r="C548" t="str">
        <f>_xlfn.XLOOKUP(A548,'Grocery and sales Data'!$A$1:$A$991,'Grocery and sales Data'!$C$1:$C$991)</f>
        <v>Seafood</v>
      </c>
      <c r="D548" s="9">
        <f>_xlfn.XLOOKUP(A548,'Grocery and sales Data'!$A$1:$A$991,'Grocery and sales Data'!$I$1:$I$991)</f>
        <v>6</v>
      </c>
      <c r="E548">
        <f>_xlfn.XLOOKUP(A548,'Grocery and sales Data'!$A$1:$A$991,'Grocery and sales Data'!$R$1:$R$991)</f>
        <v>336</v>
      </c>
      <c r="F548" t="str">
        <f t="shared" si="8"/>
        <v>Medium</v>
      </c>
    </row>
    <row r="549" spans="1:6" ht="16" x14ac:dyDescent="0.4">
      <c r="A549" s="2" t="s">
        <v>2070</v>
      </c>
      <c r="B549" t="str">
        <f>_xlfn.XLOOKUP(A549,'Grocery and sales Data'!$A$1:$A$991,'Grocery and sales Data'!$B$1:$B$991)</f>
        <v>Sesame Oil</v>
      </c>
      <c r="C549" t="str">
        <f>_xlfn.XLOOKUP(A549,'Grocery and sales Data'!$A$1:$A$991,'Grocery and sales Data'!$C$1:$C$991)</f>
        <v>Oils &amp; Fats</v>
      </c>
      <c r="D549" s="9">
        <f>_xlfn.XLOOKUP(A549,'Grocery and sales Data'!$A$1:$A$991,'Grocery and sales Data'!$I$1:$I$991)</f>
        <v>6.5</v>
      </c>
      <c r="E549">
        <f>_xlfn.XLOOKUP(A549,'Grocery and sales Data'!$A$1:$A$991,'Grocery and sales Data'!$R$1:$R$991)</f>
        <v>331.5</v>
      </c>
      <c r="F549" t="str">
        <f t="shared" si="8"/>
        <v>Medium</v>
      </c>
    </row>
    <row r="550" spans="1:6" ht="16" x14ac:dyDescent="0.4">
      <c r="A550" s="2" t="s">
        <v>2073</v>
      </c>
      <c r="B550" t="str">
        <f>_xlfn.XLOOKUP(A550,'Grocery and sales Data'!$A$1:$A$991,'Grocery and sales Data'!$B$1:$B$991)</f>
        <v>Powdered Sugar</v>
      </c>
      <c r="C550" t="str">
        <f>_xlfn.XLOOKUP(A550,'Grocery and sales Data'!$A$1:$A$991,'Grocery and sales Data'!$C$1:$C$991)</f>
        <v>Grains &amp; Pulses</v>
      </c>
      <c r="D550" s="9">
        <f>_xlfn.XLOOKUP(A550,'Grocery and sales Data'!$A$1:$A$991,'Grocery and sales Data'!$I$1:$I$991)</f>
        <v>2.5</v>
      </c>
      <c r="E550">
        <f>_xlfn.XLOOKUP(A550,'Grocery and sales Data'!$A$1:$A$991,'Grocery and sales Data'!$R$1:$R$991)</f>
        <v>92.5</v>
      </c>
      <c r="F550" t="str">
        <f t="shared" si="8"/>
        <v>Low</v>
      </c>
    </row>
    <row r="551" spans="1:6" ht="16" x14ac:dyDescent="0.4">
      <c r="A551" s="2" t="s">
        <v>2076</v>
      </c>
      <c r="B551" t="str">
        <f>_xlfn.XLOOKUP(A551,'Grocery and sales Data'!$A$1:$A$991,'Grocery and sales Data'!$B$1:$B$991)</f>
        <v>Jasmine Rice</v>
      </c>
      <c r="C551" t="str">
        <f>_xlfn.XLOOKUP(A551,'Grocery and sales Data'!$A$1:$A$991,'Grocery and sales Data'!$C$1:$C$991)</f>
        <v>Grains &amp; Pulses</v>
      </c>
      <c r="D551" s="9">
        <f>_xlfn.XLOOKUP(A551,'Grocery and sales Data'!$A$1:$A$991,'Grocery and sales Data'!$I$1:$I$991)</f>
        <v>4.75</v>
      </c>
      <c r="E551">
        <f>_xlfn.XLOOKUP(A551,'Grocery and sales Data'!$A$1:$A$991,'Grocery and sales Data'!$R$1:$R$991)</f>
        <v>275.5</v>
      </c>
      <c r="F551" t="str">
        <f t="shared" si="8"/>
        <v>Medium</v>
      </c>
    </row>
    <row r="552" spans="1:6" ht="16" x14ac:dyDescent="0.4">
      <c r="A552" s="2" t="s">
        <v>2080</v>
      </c>
      <c r="B552" t="str">
        <f>_xlfn.XLOOKUP(A552,'Grocery and sales Data'!$A$1:$A$991,'Grocery and sales Data'!$B$1:$B$991)</f>
        <v>Cauliflower</v>
      </c>
      <c r="C552" t="str">
        <f>_xlfn.XLOOKUP(A552,'Grocery and sales Data'!$A$1:$A$991,'Grocery and sales Data'!$C$1:$C$991)</f>
        <v>Fruits &amp; Vegetables</v>
      </c>
      <c r="D552" s="9">
        <f>_xlfn.XLOOKUP(A552,'Grocery and sales Data'!$A$1:$A$991,'Grocery and sales Data'!$I$1:$I$991)</f>
        <v>2.5</v>
      </c>
      <c r="E552">
        <f>_xlfn.XLOOKUP(A552,'Grocery and sales Data'!$A$1:$A$991,'Grocery and sales Data'!$R$1:$R$991)</f>
        <v>70</v>
      </c>
      <c r="F552" t="str">
        <f t="shared" si="8"/>
        <v>Low</v>
      </c>
    </row>
    <row r="553" spans="1:6" ht="16" x14ac:dyDescent="0.4">
      <c r="A553" s="2" t="s">
        <v>2083</v>
      </c>
      <c r="B553" t="str">
        <f>_xlfn.XLOOKUP(A553,'Grocery and sales Data'!$A$1:$A$991,'Grocery and sales Data'!$B$1:$B$991)</f>
        <v>Jasmine Rice</v>
      </c>
      <c r="C553" t="str">
        <f>_xlfn.XLOOKUP(A553,'Grocery and sales Data'!$A$1:$A$991,'Grocery and sales Data'!$C$1:$C$991)</f>
        <v>Grains &amp; Pulses</v>
      </c>
      <c r="D553" s="9">
        <f>_xlfn.XLOOKUP(A553,'Grocery and sales Data'!$A$1:$A$991,'Grocery and sales Data'!$I$1:$I$991)</f>
        <v>4.75</v>
      </c>
      <c r="E553">
        <f>_xlfn.XLOOKUP(A553,'Grocery and sales Data'!$A$1:$A$991,'Grocery and sales Data'!$R$1:$R$991)</f>
        <v>337.25</v>
      </c>
      <c r="F553" t="str">
        <f t="shared" si="8"/>
        <v>Medium</v>
      </c>
    </row>
    <row r="554" spans="1:6" ht="16" x14ac:dyDescent="0.4">
      <c r="A554" s="2" t="s">
        <v>2086</v>
      </c>
      <c r="B554" t="str">
        <f>_xlfn.XLOOKUP(A554,'Grocery and sales Data'!$A$1:$A$991,'Grocery and sales Data'!$B$1:$B$991)</f>
        <v>Plum</v>
      </c>
      <c r="C554" t="str">
        <f>_xlfn.XLOOKUP(A554,'Grocery and sales Data'!$A$1:$A$991,'Grocery and sales Data'!$C$1:$C$991)</f>
        <v>Fruits &amp; Vegetables</v>
      </c>
      <c r="D554" s="9">
        <f>_xlfn.XLOOKUP(A554,'Grocery and sales Data'!$A$1:$A$991,'Grocery and sales Data'!$I$1:$I$991)</f>
        <v>3.9</v>
      </c>
      <c r="E554">
        <f>_xlfn.XLOOKUP(A554,'Grocery and sales Data'!$A$1:$A$991,'Grocery and sales Data'!$R$1:$R$991)</f>
        <v>234</v>
      </c>
      <c r="F554" t="str">
        <f t="shared" si="8"/>
        <v>Medium</v>
      </c>
    </row>
    <row r="555" spans="1:6" ht="16" x14ac:dyDescent="0.4">
      <c r="A555" s="2" t="s">
        <v>2089</v>
      </c>
      <c r="B555" t="str">
        <f>_xlfn.XLOOKUP(A555,'Grocery and sales Data'!$A$1:$A$991,'Grocery and sales Data'!$B$1:$B$991)</f>
        <v>Grapes</v>
      </c>
      <c r="C555" t="str">
        <f>_xlfn.XLOOKUP(A555,'Grocery and sales Data'!$A$1:$A$991,'Grocery and sales Data'!$C$1:$C$991)</f>
        <v>Fruits &amp; Vegetables</v>
      </c>
      <c r="D555" s="9">
        <f>_xlfn.XLOOKUP(A555,'Grocery and sales Data'!$A$1:$A$991,'Grocery and sales Data'!$I$1:$I$991)</f>
        <v>5.5</v>
      </c>
      <c r="E555">
        <f>_xlfn.XLOOKUP(A555,'Grocery and sales Data'!$A$1:$A$991,'Grocery and sales Data'!$R$1:$R$991)</f>
        <v>121</v>
      </c>
      <c r="F555" t="str">
        <f t="shared" si="8"/>
        <v>Medium</v>
      </c>
    </row>
    <row r="556" spans="1:6" ht="16" x14ac:dyDescent="0.4">
      <c r="A556" s="2" t="s">
        <v>2092</v>
      </c>
      <c r="B556" t="str">
        <f>_xlfn.XLOOKUP(A556,'Grocery and sales Data'!$A$1:$A$991,'Grocery and sales Data'!$B$1:$B$991)</f>
        <v>Papaya</v>
      </c>
      <c r="C556" t="str">
        <f>_xlfn.XLOOKUP(A556,'Grocery and sales Data'!$A$1:$A$991,'Grocery and sales Data'!$C$1:$C$991)</f>
        <v>Fruits &amp; Vegetables</v>
      </c>
      <c r="D556" s="9">
        <f>_xlfn.XLOOKUP(A556,'Grocery and sales Data'!$A$1:$A$991,'Grocery and sales Data'!$I$1:$I$991)</f>
        <v>4.5</v>
      </c>
      <c r="E556">
        <f>_xlfn.XLOOKUP(A556,'Grocery and sales Data'!$A$1:$A$991,'Grocery and sales Data'!$R$1:$R$991)</f>
        <v>108</v>
      </c>
      <c r="F556" t="str">
        <f t="shared" si="8"/>
        <v>Medium</v>
      </c>
    </row>
    <row r="557" spans="1:6" ht="16" x14ac:dyDescent="0.4">
      <c r="A557" s="2" t="s">
        <v>2095</v>
      </c>
      <c r="B557" t="str">
        <f>_xlfn.XLOOKUP(A557,'Grocery and sales Data'!$A$1:$A$991,'Grocery and sales Data'!$B$1:$B$991)</f>
        <v>Sushi Rice</v>
      </c>
      <c r="C557" t="str">
        <f>_xlfn.XLOOKUP(A557,'Grocery and sales Data'!$A$1:$A$991,'Grocery and sales Data'!$C$1:$C$991)</f>
        <v>Grains &amp; Pulses</v>
      </c>
      <c r="D557" s="9">
        <f>_xlfn.XLOOKUP(A557,'Grocery and sales Data'!$A$1:$A$991,'Grocery and sales Data'!$I$1:$I$991)</f>
        <v>4.2</v>
      </c>
      <c r="E557">
        <f>_xlfn.XLOOKUP(A557,'Grocery and sales Data'!$A$1:$A$991,'Grocery and sales Data'!$R$1:$R$991)</f>
        <v>134.4</v>
      </c>
      <c r="F557" t="str">
        <f t="shared" si="8"/>
        <v>Medium</v>
      </c>
    </row>
    <row r="558" spans="1:6" ht="16" x14ac:dyDescent="0.4">
      <c r="A558" s="2" t="s">
        <v>2098</v>
      </c>
      <c r="B558" t="str">
        <f>_xlfn.XLOOKUP(A558,'Grocery and sales Data'!$A$1:$A$991,'Grocery and sales Data'!$B$1:$B$991)</f>
        <v>Digestive Biscuit</v>
      </c>
      <c r="C558" t="str">
        <f>_xlfn.XLOOKUP(A558,'Grocery and sales Data'!$A$1:$A$991,'Grocery and sales Data'!$C$1:$C$991)</f>
        <v>Bakery</v>
      </c>
      <c r="D558" s="9">
        <f>_xlfn.XLOOKUP(A558,'Grocery and sales Data'!$A$1:$A$991,'Grocery and sales Data'!$I$1:$I$991)</f>
        <v>4</v>
      </c>
      <c r="E558">
        <f>_xlfn.XLOOKUP(A558,'Grocery and sales Data'!$A$1:$A$991,'Grocery and sales Data'!$R$1:$R$991)</f>
        <v>292</v>
      </c>
      <c r="F558" t="str">
        <f t="shared" si="8"/>
        <v>Medium</v>
      </c>
    </row>
    <row r="559" spans="1:6" ht="16" x14ac:dyDescent="0.4">
      <c r="A559" s="2" t="s">
        <v>2101</v>
      </c>
      <c r="B559" t="str">
        <f>_xlfn.XLOOKUP(A559,'Grocery and sales Data'!$A$1:$A$991,'Grocery and sales Data'!$B$1:$B$991)</f>
        <v>Rye Bread</v>
      </c>
      <c r="C559" t="str">
        <f>_xlfn.XLOOKUP(A559,'Grocery and sales Data'!$A$1:$A$991,'Grocery and sales Data'!$C$1:$C$991)</f>
        <v>Bakery</v>
      </c>
      <c r="D559" s="9">
        <f>_xlfn.XLOOKUP(A559,'Grocery and sales Data'!$A$1:$A$991,'Grocery and sales Data'!$I$1:$I$991)</f>
        <v>2.8</v>
      </c>
      <c r="E559">
        <f>_xlfn.XLOOKUP(A559,'Grocery and sales Data'!$A$1:$A$991,'Grocery and sales Data'!$R$1:$R$991)</f>
        <v>75.599999999999994</v>
      </c>
      <c r="F559" t="str">
        <f t="shared" si="8"/>
        <v>Low</v>
      </c>
    </row>
    <row r="560" spans="1:6" ht="16" x14ac:dyDescent="0.4">
      <c r="A560" s="2" t="s">
        <v>2104</v>
      </c>
      <c r="B560" t="str">
        <f>_xlfn.XLOOKUP(A560,'Grocery and sales Data'!$A$1:$A$991,'Grocery and sales Data'!$B$1:$B$991)</f>
        <v>Chocolate Biscuit</v>
      </c>
      <c r="C560" t="str">
        <f>_xlfn.XLOOKUP(A560,'Grocery and sales Data'!$A$1:$A$991,'Grocery and sales Data'!$C$1:$C$991)</f>
        <v>Bakery</v>
      </c>
      <c r="D560" s="9">
        <f>_xlfn.XLOOKUP(A560,'Grocery and sales Data'!$A$1:$A$991,'Grocery and sales Data'!$I$1:$I$991)</f>
        <v>5</v>
      </c>
      <c r="E560">
        <f>_xlfn.XLOOKUP(A560,'Grocery and sales Data'!$A$1:$A$991,'Grocery and sales Data'!$R$1:$R$991)</f>
        <v>175</v>
      </c>
      <c r="F560" t="str">
        <f t="shared" si="8"/>
        <v>Medium</v>
      </c>
    </row>
    <row r="561" spans="1:6" ht="16" x14ac:dyDescent="0.4">
      <c r="A561" s="2" t="s">
        <v>2107</v>
      </c>
      <c r="B561" t="str">
        <f>_xlfn.XLOOKUP(A561,'Grocery and sales Data'!$A$1:$A$991,'Grocery and sales Data'!$B$1:$B$991)</f>
        <v>Arabica Coffee</v>
      </c>
      <c r="C561" t="str">
        <f>_xlfn.XLOOKUP(A561,'Grocery and sales Data'!$A$1:$A$991,'Grocery and sales Data'!$C$1:$C$991)</f>
        <v>Beverages</v>
      </c>
      <c r="D561" s="9">
        <f>_xlfn.XLOOKUP(A561,'Grocery and sales Data'!$A$1:$A$991,'Grocery and sales Data'!$I$1:$I$991)</f>
        <v>20</v>
      </c>
      <c r="E561">
        <f>_xlfn.XLOOKUP(A561,'Grocery and sales Data'!$A$1:$A$991,'Grocery and sales Data'!$R$1:$R$991)</f>
        <v>720</v>
      </c>
      <c r="F561" t="str">
        <f t="shared" si="8"/>
        <v>Medium</v>
      </c>
    </row>
    <row r="562" spans="1:6" ht="16" x14ac:dyDescent="0.4">
      <c r="A562" s="2" t="s">
        <v>2110</v>
      </c>
      <c r="B562" t="str">
        <f>_xlfn.XLOOKUP(A562,'Grocery and sales Data'!$A$1:$A$991,'Grocery and sales Data'!$B$1:$B$991)</f>
        <v>Bread Flour</v>
      </c>
      <c r="C562" t="str">
        <f>_xlfn.XLOOKUP(A562,'Grocery and sales Data'!$A$1:$A$991,'Grocery and sales Data'!$C$1:$C$991)</f>
        <v>Grains &amp; Pulses</v>
      </c>
      <c r="D562" s="9">
        <f>_xlfn.XLOOKUP(A562,'Grocery and sales Data'!$A$1:$A$991,'Grocery and sales Data'!$I$1:$I$991)</f>
        <v>1.5</v>
      </c>
      <c r="E562">
        <f>_xlfn.XLOOKUP(A562,'Grocery and sales Data'!$A$1:$A$991,'Grocery and sales Data'!$R$1:$R$991)</f>
        <v>87</v>
      </c>
      <c r="F562" t="str">
        <f t="shared" si="8"/>
        <v>Low</v>
      </c>
    </row>
    <row r="563" spans="1:6" ht="16" x14ac:dyDescent="0.4">
      <c r="A563" s="2" t="s">
        <v>2113</v>
      </c>
      <c r="B563" t="str">
        <f>_xlfn.XLOOKUP(A563,'Grocery and sales Data'!$A$1:$A$991,'Grocery and sales Data'!$B$1:$B$991)</f>
        <v>Almond Flour</v>
      </c>
      <c r="C563" t="str">
        <f>_xlfn.XLOOKUP(A563,'Grocery and sales Data'!$A$1:$A$991,'Grocery and sales Data'!$C$1:$C$991)</f>
        <v>Grains &amp; Pulses</v>
      </c>
      <c r="D563" s="9">
        <f>_xlfn.XLOOKUP(A563,'Grocery and sales Data'!$A$1:$A$991,'Grocery and sales Data'!$I$1:$I$991)</f>
        <v>9.5</v>
      </c>
      <c r="E563">
        <f>_xlfn.XLOOKUP(A563,'Grocery and sales Data'!$A$1:$A$991,'Grocery and sales Data'!$R$1:$R$991)</f>
        <v>361</v>
      </c>
      <c r="F563" t="str">
        <f t="shared" si="8"/>
        <v>Medium</v>
      </c>
    </row>
    <row r="564" spans="1:6" ht="16" x14ac:dyDescent="0.4">
      <c r="A564" s="2" t="s">
        <v>2116</v>
      </c>
      <c r="B564" t="str">
        <f>_xlfn.XLOOKUP(A564,'Grocery and sales Data'!$A$1:$A$991,'Grocery and sales Data'!$B$1:$B$991)</f>
        <v>Robusta Coffee</v>
      </c>
      <c r="C564" t="str">
        <f>_xlfn.XLOOKUP(A564,'Grocery and sales Data'!$A$1:$A$991,'Grocery and sales Data'!$C$1:$C$991)</f>
        <v>Beverages</v>
      </c>
      <c r="D564" s="9">
        <f>_xlfn.XLOOKUP(A564,'Grocery and sales Data'!$A$1:$A$991,'Grocery and sales Data'!$I$1:$I$991)</f>
        <v>10.3</v>
      </c>
      <c r="E564">
        <f>_xlfn.XLOOKUP(A564,'Grocery and sales Data'!$A$1:$A$991,'Grocery and sales Data'!$R$1:$R$991)</f>
        <v>927.00000000000011</v>
      </c>
      <c r="F564" t="str">
        <f t="shared" si="8"/>
        <v>Medium</v>
      </c>
    </row>
    <row r="565" spans="1:6" ht="16" x14ac:dyDescent="0.4">
      <c r="A565" s="2" t="s">
        <v>2119</v>
      </c>
      <c r="B565" t="str">
        <f>_xlfn.XLOOKUP(A565,'Grocery and sales Data'!$A$1:$A$991,'Grocery and sales Data'!$B$1:$B$991)</f>
        <v>Pomegranate</v>
      </c>
      <c r="C565" t="str">
        <f>_xlfn.XLOOKUP(A565,'Grocery and sales Data'!$A$1:$A$991,'Grocery and sales Data'!$C$1:$C$991)</f>
        <v>Fruits &amp; Vegetables</v>
      </c>
      <c r="D565" s="9">
        <f>_xlfn.XLOOKUP(A565,'Grocery and sales Data'!$A$1:$A$991,'Grocery and sales Data'!$I$1:$I$991)</f>
        <v>6</v>
      </c>
      <c r="E565">
        <f>_xlfn.XLOOKUP(A565,'Grocery and sales Data'!$A$1:$A$991,'Grocery and sales Data'!$R$1:$R$991)</f>
        <v>270</v>
      </c>
      <c r="F565" t="str">
        <f t="shared" si="8"/>
        <v>Medium</v>
      </c>
    </row>
    <row r="566" spans="1:6" ht="16" x14ac:dyDescent="0.4">
      <c r="A566" s="2" t="s">
        <v>2123</v>
      </c>
      <c r="B566" t="str">
        <f>_xlfn.XLOOKUP(A566,'Grocery and sales Data'!$A$1:$A$991,'Grocery and sales Data'!$B$1:$B$991)</f>
        <v>Yogurt</v>
      </c>
      <c r="C566" t="str">
        <f>_xlfn.XLOOKUP(A566,'Grocery and sales Data'!$A$1:$A$991,'Grocery and sales Data'!$C$1:$C$991)</f>
        <v>Dairy</v>
      </c>
      <c r="D566" s="9">
        <f>_xlfn.XLOOKUP(A566,'Grocery and sales Data'!$A$1:$A$991,'Grocery and sales Data'!$I$1:$I$991)</f>
        <v>1.7</v>
      </c>
      <c r="E566">
        <f>_xlfn.XLOOKUP(A566,'Grocery and sales Data'!$A$1:$A$991,'Grocery and sales Data'!$R$1:$R$991)</f>
        <v>95.2</v>
      </c>
      <c r="F566" t="str">
        <f t="shared" si="8"/>
        <v>Low</v>
      </c>
    </row>
    <row r="567" spans="1:6" ht="16" x14ac:dyDescent="0.4">
      <c r="A567" s="2" t="s">
        <v>2126</v>
      </c>
      <c r="B567" t="str">
        <f>_xlfn.XLOOKUP(A567,'Grocery and sales Data'!$A$1:$A$991,'Grocery and sales Data'!$B$1:$B$991)</f>
        <v>Grapes</v>
      </c>
      <c r="C567" t="str">
        <f>_xlfn.XLOOKUP(A567,'Grocery and sales Data'!$A$1:$A$991,'Grocery and sales Data'!$C$1:$C$991)</f>
        <v>Fruits &amp; Vegetables</v>
      </c>
      <c r="D567" s="9">
        <f>_xlfn.XLOOKUP(A567,'Grocery and sales Data'!$A$1:$A$991,'Grocery and sales Data'!$I$1:$I$991)</f>
        <v>5.5</v>
      </c>
      <c r="E567">
        <f>_xlfn.XLOOKUP(A567,'Grocery and sales Data'!$A$1:$A$991,'Grocery and sales Data'!$R$1:$R$991)</f>
        <v>324.5</v>
      </c>
      <c r="F567" t="str">
        <f t="shared" si="8"/>
        <v>Medium</v>
      </c>
    </row>
    <row r="568" spans="1:6" ht="16" x14ac:dyDescent="0.4">
      <c r="A568" s="2" t="s">
        <v>2129</v>
      </c>
      <c r="B568" t="str">
        <f>_xlfn.XLOOKUP(A568,'Grocery and sales Data'!$A$1:$A$991,'Grocery and sales Data'!$B$1:$B$991)</f>
        <v>Mackerel</v>
      </c>
      <c r="C568" t="str">
        <f>_xlfn.XLOOKUP(A568,'Grocery and sales Data'!$A$1:$A$991,'Grocery and sales Data'!$C$1:$C$991)</f>
        <v>Seafood</v>
      </c>
      <c r="D568" s="9">
        <f>_xlfn.XLOOKUP(A568,'Grocery and sales Data'!$A$1:$A$991,'Grocery and sales Data'!$I$1:$I$991)</f>
        <v>7.5</v>
      </c>
      <c r="E568">
        <f>_xlfn.XLOOKUP(A568,'Grocery and sales Data'!$A$1:$A$991,'Grocery and sales Data'!$R$1:$R$991)</f>
        <v>232.5</v>
      </c>
      <c r="F568" t="str">
        <f t="shared" si="8"/>
        <v>Medium</v>
      </c>
    </row>
    <row r="569" spans="1:6" ht="16" x14ac:dyDescent="0.4">
      <c r="A569" s="2" t="s">
        <v>2133</v>
      </c>
      <c r="B569" t="str">
        <f>_xlfn.XLOOKUP(A569,'Grocery and sales Data'!$A$1:$A$991,'Grocery and sales Data'!$B$1:$B$991)</f>
        <v>Egg (Quail)</v>
      </c>
      <c r="C569" t="str">
        <f>_xlfn.XLOOKUP(A569,'Grocery and sales Data'!$A$1:$A$991,'Grocery and sales Data'!$C$1:$C$991)</f>
        <v>Dairy</v>
      </c>
      <c r="D569" s="9">
        <f>_xlfn.XLOOKUP(A569,'Grocery and sales Data'!$A$1:$A$991,'Grocery and sales Data'!$I$1:$I$991)</f>
        <v>0.8</v>
      </c>
      <c r="E569">
        <f>_xlfn.XLOOKUP(A569,'Grocery and sales Data'!$A$1:$A$991,'Grocery and sales Data'!$R$1:$R$991)</f>
        <v>76.800000000000011</v>
      </c>
      <c r="F569" t="str">
        <f t="shared" si="8"/>
        <v>Low</v>
      </c>
    </row>
    <row r="570" spans="1:6" ht="16" x14ac:dyDescent="0.4">
      <c r="A570" s="2" t="s">
        <v>2136</v>
      </c>
      <c r="B570" t="str">
        <f>_xlfn.XLOOKUP(A570,'Grocery and sales Data'!$A$1:$A$991,'Grocery and sales Data'!$B$1:$B$991)</f>
        <v>Eggplant</v>
      </c>
      <c r="C570" t="str">
        <f>_xlfn.XLOOKUP(A570,'Grocery and sales Data'!$A$1:$A$991,'Grocery and sales Data'!$C$1:$C$991)</f>
        <v>Fruits &amp; Vegetables</v>
      </c>
      <c r="D570" s="9">
        <f>_xlfn.XLOOKUP(A570,'Grocery and sales Data'!$A$1:$A$991,'Grocery and sales Data'!$I$1:$I$991)</f>
        <v>3</v>
      </c>
      <c r="E570">
        <f>_xlfn.XLOOKUP(A570,'Grocery and sales Data'!$A$1:$A$991,'Grocery and sales Data'!$R$1:$R$991)</f>
        <v>171</v>
      </c>
      <c r="F570" t="str">
        <f t="shared" si="8"/>
        <v>Medium</v>
      </c>
    </row>
    <row r="571" spans="1:6" ht="16" x14ac:dyDescent="0.4">
      <c r="A571" s="2" t="s">
        <v>2140</v>
      </c>
      <c r="B571" t="str">
        <f>_xlfn.XLOOKUP(A571,'Grocery and sales Data'!$A$1:$A$991,'Grocery and sales Data'!$B$1:$B$991)</f>
        <v>Egg (Turkey)</v>
      </c>
      <c r="C571" t="str">
        <f>_xlfn.XLOOKUP(A571,'Grocery and sales Data'!$A$1:$A$991,'Grocery and sales Data'!$C$1:$C$991)</f>
        <v>Dairy</v>
      </c>
      <c r="D571" s="9">
        <f>_xlfn.XLOOKUP(A571,'Grocery and sales Data'!$A$1:$A$991,'Grocery and sales Data'!$I$1:$I$991)</f>
        <v>2.5</v>
      </c>
      <c r="E571">
        <f>_xlfn.XLOOKUP(A571,'Grocery and sales Data'!$A$1:$A$991,'Grocery and sales Data'!$R$1:$R$991)</f>
        <v>85</v>
      </c>
      <c r="F571" t="str">
        <f t="shared" si="8"/>
        <v>Low</v>
      </c>
    </row>
    <row r="572" spans="1:6" ht="16" x14ac:dyDescent="0.4">
      <c r="A572" s="2" t="s">
        <v>2144</v>
      </c>
      <c r="B572" t="str">
        <f>_xlfn.XLOOKUP(A572,'Grocery and sales Data'!$A$1:$A$991,'Grocery and sales Data'!$B$1:$B$991)</f>
        <v>Oatmeal Biscuit</v>
      </c>
      <c r="C572" t="str">
        <f>_xlfn.XLOOKUP(A572,'Grocery and sales Data'!$A$1:$A$991,'Grocery and sales Data'!$C$1:$C$991)</f>
        <v>Bakery</v>
      </c>
      <c r="D572" s="9">
        <f>_xlfn.XLOOKUP(A572,'Grocery and sales Data'!$A$1:$A$991,'Grocery and sales Data'!$I$1:$I$991)</f>
        <v>5</v>
      </c>
      <c r="E572">
        <f>_xlfn.XLOOKUP(A572,'Grocery and sales Data'!$A$1:$A$991,'Grocery and sales Data'!$R$1:$R$991)</f>
        <v>250</v>
      </c>
      <c r="F572" t="str">
        <f t="shared" si="8"/>
        <v>Medium</v>
      </c>
    </row>
    <row r="573" spans="1:6" ht="16" x14ac:dyDescent="0.4">
      <c r="A573" s="2" t="s">
        <v>2147</v>
      </c>
      <c r="B573" t="str">
        <f>_xlfn.XLOOKUP(A573,'Grocery and sales Data'!$A$1:$A$991,'Grocery and sales Data'!$B$1:$B$991)</f>
        <v>Cauliflower</v>
      </c>
      <c r="C573" t="str">
        <f>_xlfn.XLOOKUP(A573,'Grocery and sales Data'!$A$1:$A$991,'Grocery and sales Data'!$C$1:$C$991)</f>
        <v>Fruits &amp; Vegetables</v>
      </c>
      <c r="D573" s="9">
        <f>_xlfn.XLOOKUP(A573,'Grocery and sales Data'!$A$1:$A$991,'Grocery and sales Data'!$I$1:$I$991)</f>
        <v>2.5</v>
      </c>
      <c r="E573">
        <f>_xlfn.XLOOKUP(A573,'Grocery and sales Data'!$A$1:$A$991,'Grocery and sales Data'!$R$1:$R$991)</f>
        <v>160</v>
      </c>
      <c r="F573" t="str">
        <f t="shared" si="8"/>
        <v>Medium</v>
      </c>
    </row>
    <row r="574" spans="1:6" ht="16" x14ac:dyDescent="0.4">
      <c r="A574" s="2" t="s">
        <v>2151</v>
      </c>
      <c r="B574" t="str">
        <f>_xlfn.XLOOKUP(A574,'Grocery and sales Data'!$A$1:$A$991,'Grocery and sales Data'!$B$1:$B$991)</f>
        <v>Egg (Duck)</v>
      </c>
      <c r="C574" t="str">
        <f>_xlfn.XLOOKUP(A574,'Grocery and sales Data'!$A$1:$A$991,'Grocery and sales Data'!$C$1:$C$991)</f>
        <v>Dairy</v>
      </c>
      <c r="D574" s="9">
        <f>_xlfn.XLOOKUP(A574,'Grocery and sales Data'!$A$1:$A$991,'Grocery and sales Data'!$I$1:$I$991)</f>
        <v>1</v>
      </c>
      <c r="E574">
        <f>_xlfn.XLOOKUP(A574,'Grocery and sales Data'!$A$1:$A$991,'Grocery and sales Data'!$R$1:$R$991)</f>
        <v>30</v>
      </c>
      <c r="F574" t="str">
        <f t="shared" si="8"/>
        <v>Low</v>
      </c>
    </row>
    <row r="575" spans="1:6" ht="16" x14ac:dyDescent="0.4">
      <c r="A575" s="2" t="s">
        <v>2154</v>
      </c>
      <c r="B575" t="str">
        <f>_xlfn.XLOOKUP(A575,'Grocery and sales Data'!$A$1:$A$991,'Grocery and sales Data'!$B$1:$B$991)</f>
        <v>Orange</v>
      </c>
      <c r="C575" t="str">
        <f>_xlfn.XLOOKUP(A575,'Grocery and sales Data'!$A$1:$A$991,'Grocery and sales Data'!$C$1:$C$991)</f>
        <v>Fruits &amp; Vegetables</v>
      </c>
      <c r="D575" s="9">
        <f>_xlfn.XLOOKUP(A575,'Grocery and sales Data'!$A$1:$A$991,'Grocery and sales Data'!$I$1:$I$991)</f>
        <v>2.95</v>
      </c>
      <c r="E575">
        <f>_xlfn.XLOOKUP(A575,'Grocery and sales Data'!$A$1:$A$991,'Grocery and sales Data'!$R$1:$R$991)</f>
        <v>123.9</v>
      </c>
      <c r="F575" t="str">
        <f t="shared" si="8"/>
        <v>Medium</v>
      </c>
    </row>
    <row r="576" spans="1:6" ht="16" x14ac:dyDescent="0.4">
      <c r="A576" s="2" t="s">
        <v>2157</v>
      </c>
      <c r="B576" t="str">
        <f>_xlfn.XLOOKUP(A576,'Grocery and sales Data'!$A$1:$A$991,'Grocery and sales Data'!$B$1:$B$991)</f>
        <v>Avocado Oil</v>
      </c>
      <c r="C576" t="str">
        <f>_xlfn.XLOOKUP(A576,'Grocery and sales Data'!$A$1:$A$991,'Grocery and sales Data'!$C$1:$C$991)</f>
        <v>Oils &amp; Fats</v>
      </c>
      <c r="D576" s="9">
        <f>_xlfn.XLOOKUP(A576,'Grocery and sales Data'!$A$1:$A$991,'Grocery and sales Data'!$I$1:$I$991)</f>
        <v>10</v>
      </c>
      <c r="E576">
        <f>_xlfn.XLOOKUP(A576,'Grocery and sales Data'!$A$1:$A$991,'Grocery and sales Data'!$R$1:$R$991)</f>
        <v>220</v>
      </c>
      <c r="F576" t="str">
        <f t="shared" si="8"/>
        <v>Medium</v>
      </c>
    </row>
    <row r="577" spans="1:6" ht="16" x14ac:dyDescent="0.4">
      <c r="A577" s="2" t="s">
        <v>2160</v>
      </c>
      <c r="B577" t="str">
        <f>_xlfn.XLOOKUP(A577,'Grocery and sales Data'!$A$1:$A$991,'Grocery and sales Data'!$B$1:$B$991)</f>
        <v>Chocolate Biscuit</v>
      </c>
      <c r="C577" t="str">
        <f>_xlfn.XLOOKUP(A577,'Grocery and sales Data'!$A$1:$A$991,'Grocery and sales Data'!$C$1:$C$991)</f>
        <v>Bakery</v>
      </c>
      <c r="D577" s="9">
        <f>_xlfn.XLOOKUP(A577,'Grocery and sales Data'!$A$1:$A$991,'Grocery and sales Data'!$I$1:$I$991)</f>
        <v>5</v>
      </c>
      <c r="E577">
        <f>_xlfn.XLOOKUP(A577,'Grocery and sales Data'!$A$1:$A$991,'Grocery and sales Data'!$R$1:$R$991)</f>
        <v>350</v>
      </c>
      <c r="F577" t="str">
        <f t="shared" si="8"/>
        <v>Medium</v>
      </c>
    </row>
    <row r="578" spans="1:6" ht="16" x14ac:dyDescent="0.4">
      <c r="A578" s="2" t="s">
        <v>2163</v>
      </c>
      <c r="B578" t="str">
        <f>_xlfn.XLOOKUP(A578,'Grocery and sales Data'!$A$1:$A$991,'Grocery and sales Data'!$B$1:$B$991)</f>
        <v>Swiss Cheese</v>
      </c>
      <c r="C578" t="str">
        <f>_xlfn.XLOOKUP(A578,'Grocery and sales Data'!$A$1:$A$991,'Grocery and sales Data'!$C$1:$C$991)</f>
        <v>Dairy</v>
      </c>
      <c r="D578" s="9">
        <f>_xlfn.XLOOKUP(A578,'Grocery and sales Data'!$A$1:$A$991,'Grocery and sales Data'!$I$1:$I$991)</f>
        <v>8</v>
      </c>
      <c r="E578">
        <f>_xlfn.XLOOKUP(A578,'Grocery and sales Data'!$A$1:$A$991,'Grocery and sales Data'!$R$1:$R$991)</f>
        <v>568</v>
      </c>
      <c r="F578" t="str">
        <f t="shared" si="8"/>
        <v>Medium</v>
      </c>
    </row>
    <row r="579" spans="1:6" ht="16" x14ac:dyDescent="0.4">
      <c r="A579" s="2" t="s">
        <v>2166</v>
      </c>
      <c r="B579" t="str">
        <f>_xlfn.XLOOKUP(A579,'Grocery and sales Data'!$A$1:$A$991,'Grocery and sales Data'!$B$1:$B$991)</f>
        <v>Garlic</v>
      </c>
      <c r="C579" t="str">
        <f>_xlfn.XLOOKUP(A579,'Grocery and sales Data'!$A$1:$A$991,'Grocery and sales Data'!$C$1:$C$991)</f>
        <v>Fruits &amp; Vegetables</v>
      </c>
      <c r="D579" s="9">
        <f>_xlfn.XLOOKUP(A579,'Grocery and sales Data'!$A$1:$A$991,'Grocery and sales Data'!$I$1:$I$991)</f>
        <v>7</v>
      </c>
      <c r="E579">
        <f>_xlfn.XLOOKUP(A579,'Grocery and sales Data'!$A$1:$A$991,'Grocery and sales Data'!$R$1:$R$991)</f>
        <v>322</v>
      </c>
      <c r="F579" t="str">
        <f t="shared" ref="F579:F642" si="9">IF(E579&gt;=1000,"High",IF(E579&gt;=100,"Medium","Low"))</f>
        <v>Medium</v>
      </c>
    </row>
    <row r="580" spans="1:6" ht="16" x14ac:dyDescent="0.4">
      <c r="A580" s="2" t="s">
        <v>2169</v>
      </c>
      <c r="B580" t="str">
        <f>_xlfn.XLOOKUP(A580,'Grocery and sales Data'!$A$1:$A$991,'Grocery and sales Data'!$B$1:$B$991)</f>
        <v>Cauliflower</v>
      </c>
      <c r="C580" t="str">
        <f>_xlfn.XLOOKUP(A580,'Grocery and sales Data'!$A$1:$A$991,'Grocery and sales Data'!$C$1:$C$991)</f>
        <v>Fruits &amp; Vegetables</v>
      </c>
      <c r="D580" s="9">
        <f>_xlfn.XLOOKUP(A580,'Grocery and sales Data'!$A$1:$A$991,'Grocery and sales Data'!$I$1:$I$991)</f>
        <v>2.5</v>
      </c>
      <c r="E580">
        <f>_xlfn.XLOOKUP(A580,'Grocery and sales Data'!$A$1:$A$991,'Grocery and sales Data'!$R$1:$R$991)</f>
        <v>225</v>
      </c>
      <c r="F580" t="str">
        <f t="shared" si="9"/>
        <v>Medium</v>
      </c>
    </row>
    <row r="581" spans="1:6" ht="16" x14ac:dyDescent="0.4">
      <c r="A581" s="2" t="s">
        <v>2172</v>
      </c>
      <c r="B581" t="str">
        <f>_xlfn.XLOOKUP(A581,'Grocery and sales Data'!$A$1:$A$991,'Grocery and sales Data'!$B$1:$B$991)</f>
        <v>Watermelon</v>
      </c>
      <c r="C581" t="str">
        <f>_xlfn.XLOOKUP(A581,'Grocery and sales Data'!$A$1:$A$991,'Grocery and sales Data'!$C$1:$C$991)</f>
        <v>Fruits &amp; Vegetables</v>
      </c>
      <c r="D581" s="9">
        <f>_xlfn.XLOOKUP(A581,'Grocery and sales Data'!$A$1:$A$991,'Grocery and sales Data'!$I$1:$I$991)</f>
        <v>3</v>
      </c>
      <c r="E581">
        <f>_xlfn.XLOOKUP(A581,'Grocery and sales Data'!$A$1:$A$991,'Grocery and sales Data'!$R$1:$R$991)</f>
        <v>246</v>
      </c>
      <c r="F581" t="str">
        <f t="shared" si="9"/>
        <v>Medium</v>
      </c>
    </row>
    <row r="582" spans="1:6" ht="16" x14ac:dyDescent="0.4">
      <c r="A582" s="2" t="s">
        <v>2176</v>
      </c>
      <c r="B582" t="str">
        <f>_xlfn.XLOOKUP(A582,'Grocery and sales Data'!$A$1:$A$991,'Grocery and sales Data'!$B$1:$B$991)</f>
        <v>Brown Rice</v>
      </c>
      <c r="C582" t="str">
        <f>_xlfn.XLOOKUP(A582,'Grocery and sales Data'!$A$1:$A$991,'Grocery and sales Data'!$C$1:$C$991)</f>
        <v>Grains &amp; Pulses</v>
      </c>
      <c r="D582" s="9">
        <f>_xlfn.XLOOKUP(A582,'Grocery and sales Data'!$A$1:$A$991,'Grocery and sales Data'!$I$1:$I$991)</f>
        <v>2.5</v>
      </c>
      <c r="E582">
        <f>_xlfn.XLOOKUP(A582,'Grocery and sales Data'!$A$1:$A$991,'Grocery and sales Data'!$R$1:$R$991)</f>
        <v>62.5</v>
      </c>
      <c r="F582" t="str">
        <f t="shared" si="9"/>
        <v>Low</v>
      </c>
    </row>
    <row r="583" spans="1:6" ht="16" x14ac:dyDescent="0.4">
      <c r="A583" s="2" t="s">
        <v>2179</v>
      </c>
      <c r="B583" t="str">
        <f>_xlfn.XLOOKUP(A583,'Grocery and sales Data'!$A$1:$A$991,'Grocery and sales Data'!$B$1:$B$991)</f>
        <v>Asparagus</v>
      </c>
      <c r="C583" t="str">
        <f>_xlfn.XLOOKUP(A583,'Grocery and sales Data'!$A$1:$A$991,'Grocery and sales Data'!$C$1:$C$991)</f>
        <v>Fruits &amp; Vegetables</v>
      </c>
      <c r="D583" s="9">
        <f>_xlfn.XLOOKUP(A583,'Grocery and sales Data'!$A$1:$A$991,'Grocery and sales Data'!$I$1:$I$991)</f>
        <v>5</v>
      </c>
      <c r="E583">
        <f>_xlfn.XLOOKUP(A583,'Grocery and sales Data'!$A$1:$A$991,'Grocery and sales Data'!$R$1:$R$991)</f>
        <v>310</v>
      </c>
      <c r="F583" t="str">
        <f t="shared" si="9"/>
        <v>Medium</v>
      </c>
    </row>
    <row r="584" spans="1:6" ht="16" x14ac:dyDescent="0.4">
      <c r="A584" s="2" t="s">
        <v>2183</v>
      </c>
      <c r="B584" t="str">
        <f>_xlfn.XLOOKUP(A584,'Grocery and sales Data'!$A$1:$A$991,'Grocery and sales Data'!$B$1:$B$991)</f>
        <v>Cauliflower</v>
      </c>
      <c r="C584" t="str">
        <f>_xlfn.XLOOKUP(A584,'Grocery and sales Data'!$A$1:$A$991,'Grocery and sales Data'!$C$1:$C$991)</f>
        <v>Fruits &amp; Vegetables</v>
      </c>
      <c r="D584" s="9">
        <f>_xlfn.XLOOKUP(A584,'Grocery and sales Data'!$A$1:$A$991,'Grocery and sales Data'!$I$1:$I$991)</f>
        <v>2.5</v>
      </c>
      <c r="E584">
        <f>_xlfn.XLOOKUP(A584,'Grocery and sales Data'!$A$1:$A$991,'Grocery and sales Data'!$R$1:$R$991)</f>
        <v>212.5</v>
      </c>
      <c r="F584" t="str">
        <f t="shared" si="9"/>
        <v>Medium</v>
      </c>
    </row>
    <row r="585" spans="1:6" ht="16" x14ac:dyDescent="0.4">
      <c r="A585" s="2" t="s">
        <v>2186</v>
      </c>
      <c r="B585" t="str">
        <f>_xlfn.XLOOKUP(A585,'Grocery and sales Data'!$A$1:$A$991,'Grocery and sales Data'!$B$1:$B$991)</f>
        <v>Anchovies</v>
      </c>
      <c r="C585" t="str">
        <f>_xlfn.XLOOKUP(A585,'Grocery and sales Data'!$A$1:$A$991,'Grocery and sales Data'!$C$1:$C$991)</f>
        <v>Seafood</v>
      </c>
      <c r="D585" s="9">
        <f>_xlfn.XLOOKUP(A585,'Grocery and sales Data'!$A$1:$A$991,'Grocery and sales Data'!$I$1:$I$991)</f>
        <v>10</v>
      </c>
      <c r="E585">
        <f>_xlfn.XLOOKUP(A585,'Grocery and sales Data'!$A$1:$A$991,'Grocery and sales Data'!$R$1:$R$991)</f>
        <v>330</v>
      </c>
      <c r="F585" t="str">
        <f t="shared" si="9"/>
        <v>Medium</v>
      </c>
    </row>
    <row r="586" spans="1:6" ht="16" x14ac:dyDescent="0.4">
      <c r="A586" s="2" t="s">
        <v>2189</v>
      </c>
      <c r="B586" t="str">
        <f>_xlfn.XLOOKUP(A586,'Grocery and sales Data'!$A$1:$A$991,'Grocery and sales Data'!$B$1:$B$991)</f>
        <v>Mango</v>
      </c>
      <c r="C586" t="str">
        <f>_xlfn.XLOOKUP(A586,'Grocery and sales Data'!$A$1:$A$991,'Grocery and sales Data'!$C$1:$C$991)</f>
        <v>Fruits &amp; Vegetables</v>
      </c>
      <c r="D586" s="9">
        <f>_xlfn.XLOOKUP(A586,'Grocery and sales Data'!$A$1:$A$991,'Grocery and sales Data'!$I$1:$I$991)</f>
        <v>5</v>
      </c>
      <c r="E586">
        <f>_xlfn.XLOOKUP(A586,'Grocery and sales Data'!$A$1:$A$991,'Grocery and sales Data'!$R$1:$R$991)</f>
        <v>150</v>
      </c>
      <c r="F586" t="str">
        <f t="shared" si="9"/>
        <v>Medium</v>
      </c>
    </row>
    <row r="587" spans="1:6" ht="16" x14ac:dyDescent="0.4">
      <c r="A587" s="2" t="s">
        <v>2192</v>
      </c>
      <c r="B587" t="str">
        <f>_xlfn.XLOOKUP(A587,'Grocery and sales Data'!$A$1:$A$991,'Grocery and sales Data'!$B$1:$B$991)</f>
        <v>Haddock</v>
      </c>
      <c r="C587" t="str">
        <f>_xlfn.XLOOKUP(A587,'Grocery and sales Data'!$A$1:$A$991,'Grocery and sales Data'!$C$1:$C$991)</f>
        <v>Seafood</v>
      </c>
      <c r="D587" s="9">
        <f>_xlfn.XLOOKUP(A587,'Grocery and sales Data'!$A$1:$A$991,'Grocery and sales Data'!$I$1:$I$991)</f>
        <v>9</v>
      </c>
      <c r="E587">
        <f>_xlfn.XLOOKUP(A587,'Grocery and sales Data'!$A$1:$A$991,'Grocery and sales Data'!$R$1:$R$991)</f>
        <v>468</v>
      </c>
      <c r="F587" t="str">
        <f t="shared" si="9"/>
        <v>Medium</v>
      </c>
    </row>
    <row r="588" spans="1:6" ht="16" x14ac:dyDescent="0.4">
      <c r="A588" s="2" t="s">
        <v>2195</v>
      </c>
      <c r="B588" t="str">
        <f>_xlfn.XLOOKUP(A588,'Grocery and sales Data'!$A$1:$A$991,'Grocery and sales Data'!$B$1:$B$991)</f>
        <v>Pomegranate</v>
      </c>
      <c r="C588" t="str">
        <f>_xlfn.XLOOKUP(A588,'Grocery and sales Data'!$A$1:$A$991,'Grocery and sales Data'!$C$1:$C$991)</f>
        <v>Fruits &amp; Vegetables</v>
      </c>
      <c r="D588" s="9">
        <f>_xlfn.XLOOKUP(A588,'Grocery and sales Data'!$A$1:$A$991,'Grocery and sales Data'!$I$1:$I$991)</f>
        <v>6</v>
      </c>
      <c r="E588">
        <f>_xlfn.XLOOKUP(A588,'Grocery and sales Data'!$A$1:$A$991,'Grocery and sales Data'!$R$1:$R$991)</f>
        <v>492</v>
      </c>
      <c r="F588" t="str">
        <f t="shared" si="9"/>
        <v>Medium</v>
      </c>
    </row>
    <row r="589" spans="1:6" ht="16" x14ac:dyDescent="0.4">
      <c r="A589" s="2" t="s">
        <v>2198</v>
      </c>
      <c r="B589" t="str">
        <f>_xlfn.XLOOKUP(A589,'Grocery and sales Data'!$A$1:$A$991,'Grocery and sales Data'!$B$1:$B$991)</f>
        <v>Green Coffee</v>
      </c>
      <c r="C589" t="str">
        <f>_xlfn.XLOOKUP(A589,'Grocery and sales Data'!$A$1:$A$991,'Grocery and sales Data'!$C$1:$C$991)</f>
        <v>Beverages</v>
      </c>
      <c r="D589" s="9">
        <f>_xlfn.XLOOKUP(A589,'Grocery and sales Data'!$A$1:$A$991,'Grocery and sales Data'!$I$1:$I$991)</f>
        <v>12.5</v>
      </c>
      <c r="E589">
        <f>_xlfn.XLOOKUP(A589,'Grocery and sales Data'!$A$1:$A$991,'Grocery and sales Data'!$R$1:$R$991)</f>
        <v>1187.5</v>
      </c>
      <c r="F589" t="str">
        <f t="shared" si="9"/>
        <v>High</v>
      </c>
    </row>
    <row r="590" spans="1:6" ht="16" x14ac:dyDescent="0.4">
      <c r="A590" s="2" t="s">
        <v>2202</v>
      </c>
      <c r="B590" t="str">
        <f>_xlfn.XLOOKUP(A590,'Grocery and sales Data'!$A$1:$A$991,'Grocery and sales Data'!$B$1:$B$991)</f>
        <v>Evaporated Milk</v>
      </c>
      <c r="C590" t="str">
        <f>_xlfn.XLOOKUP(A590,'Grocery and sales Data'!$A$1:$A$991,'Grocery and sales Data'!$C$1:$C$991)</f>
        <v>Dairy</v>
      </c>
      <c r="D590" s="9">
        <f>_xlfn.XLOOKUP(A590,'Grocery and sales Data'!$A$1:$A$991,'Grocery and sales Data'!$I$1:$I$991)</f>
        <v>1.9</v>
      </c>
      <c r="E590">
        <f>_xlfn.XLOOKUP(A590,'Grocery and sales Data'!$A$1:$A$991,'Grocery and sales Data'!$R$1:$R$991)</f>
        <v>134.9</v>
      </c>
      <c r="F590" t="str">
        <f t="shared" si="9"/>
        <v>Medium</v>
      </c>
    </row>
    <row r="591" spans="1:6" ht="16" x14ac:dyDescent="0.4">
      <c r="A591" s="2" t="s">
        <v>2205</v>
      </c>
      <c r="B591" t="str">
        <f>_xlfn.XLOOKUP(A591,'Grocery and sales Data'!$A$1:$A$991,'Grocery and sales Data'!$B$1:$B$991)</f>
        <v>Apricot</v>
      </c>
      <c r="C591" t="str">
        <f>_xlfn.XLOOKUP(A591,'Grocery and sales Data'!$A$1:$A$991,'Grocery and sales Data'!$C$1:$C$991)</f>
        <v>Fruits &amp; Vegetables</v>
      </c>
      <c r="D591" s="9">
        <f>_xlfn.XLOOKUP(A591,'Grocery and sales Data'!$A$1:$A$991,'Grocery and sales Data'!$I$1:$I$991)</f>
        <v>5</v>
      </c>
      <c r="E591">
        <f>_xlfn.XLOOKUP(A591,'Grocery and sales Data'!$A$1:$A$991,'Grocery and sales Data'!$R$1:$R$991)</f>
        <v>435</v>
      </c>
      <c r="F591" t="str">
        <f t="shared" si="9"/>
        <v>Medium</v>
      </c>
    </row>
    <row r="592" spans="1:6" ht="16" x14ac:dyDescent="0.4">
      <c r="A592" s="2" t="s">
        <v>2209</v>
      </c>
      <c r="B592" t="str">
        <f>_xlfn.XLOOKUP(A592,'Grocery and sales Data'!$A$1:$A$991,'Grocery and sales Data'!$B$1:$B$991)</f>
        <v>Whole Wheat Flour</v>
      </c>
      <c r="C592" t="str">
        <f>_xlfn.XLOOKUP(A592,'Grocery and sales Data'!$A$1:$A$991,'Grocery and sales Data'!$C$1:$C$991)</f>
        <v>Grains &amp; Pulses</v>
      </c>
      <c r="D592" s="9">
        <f>_xlfn.XLOOKUP(A592,'Grocery and sales Data'!$A$1:$A$991,'Grocery and sales Data'!$I$1:$I$991)</f>
        <v>2.65</v>
      </c>
      <c r="E592">
        <f>_xlfn.XLOOKUP(A592,'Grocery and sales Data'!$A$1:$A$991,'Grocery and sales Data'!$R$1:$R$991)</f>
        <v>132.5</v>
      </c>
      <c r="F592" t="str">
        <f t="shared" si="9"/>
        <v>Medium</v>
      </c>
    </row>
    <row r="593" spans="1:6" ht="16" x14ac:dyDescent="0.4">
      <c r="A593" s="2" t="s">
        <v>2212</v>
      </c>
      <c r="B593" t="str">
        <f>_xlfn.XLOOKUP(A593,'Grocery and sales Data'!$A$1:$A$991,'Grocery and sales Data'!$B$1:$B$991)</f>
        <v>Avocado Oil</v>
      </c>
      <c r="C593" t="str">
        <f>_xlfn.XLOOKUP(A593,'Grocery and sales Data'!$A$1:$A$991,'Grocery and sales Data'!$C$1:$C$991)</f>
        <v>Oils &amp; Fats</v>
      </c>
      <c r="D593" s="9">
        <f>_xlfn.XLOOKUP(A593,'Grocery and sales Data'!$A$1:$A$991,'Grocery and sales Data'!$I$1:$I$991)</f>
        <v>10</v>
      </c>
      <c r="E593">
        <f>_xlfn.XLOOKUP(A593,'Grocery and sales Data'!$A$1:$A$991,'Grocery and sales Data'!$R$1:$R$991)</f>
        <v>650</v>
      </c>
      <c r="F593" t="str">
        <f t="shared" si="9"/>
        <v>Medium</v>
      </c>
    </row>
    <row r="594" spans="1:6" ht="16" x14ac:dyDescent="0.4">
      <c r="A594" s="2" t="s">
        <v>2215</v>
      </c>
      <c r="B594" t="str">
        <f>_xlfn.XLOOKUP(A594,'Grocery and sales Data'!$A$1:$A$991,'Grocery and sales Data'!$B$1:$B$991)</f>
        <v>Mango</v>
      </c>
      <c r="C594" t="str">
        <f>_xlfn.XLOOKUP(A594,'Grocery and sales Data'!$A$1:$A$991,'Grocery and sales Data'!$C$1:$C$991)</f>
        <v>Fruits &amp; Vegetables</v>
      </c>
      <c r="D594" s="9">
        <f>_xlfn.XLOOKUP(A594,'Grocery and sales Data'!$A$1:$A$991,'Grocery and sales Data'!$I$1:$I$991)</f>
        <v>5</v>
      </c>
      <c r="E594">
        <f>_xlfn.XLOOKUP(A594,'Grocery and sales Data'!$A$1:$A$991,'Grocery and sales Data'!$R$1:$R$991)</f>
        <v>260</v>
      </c>
      <c r="F594" t="str">
        <f t="shared" si="9"/>
        <v>Medium</v>
      </c>
    </row>
    <row r="595" spans="1:6" ht="16" x14ac:dyDescent="0.4">
      <c r="A595" s="2" t="s">
        <v>2218</v>
      </c>
      <c r="B595" t="str">
        <f>_xlfn.XLOOKUP(A595,'Grocery and sales Data'!$A$1:$A$991,'Grocery and sales Data'!$B$1:$B$991)</f>
        <v>Asparagus</v>
      </c>
      <c r="C595" t="str">
        <f>_xlfn.XLOOKUP(A595,'Grocery and sales Data'!$A$1:$A$991,'Grocery and sales Data'!$C$1:$C$991)</f>
        <v>Fruits &amp; Vegetables</v>
      </c>
      <c r="D595" s="9">
        <f>_xlfn.XLOOKUP(A595,'Grocery and sales Data'!$A$1:$A$991,'Grocery and sales Data'!$I$1:$I$991)</f>
        <v>5</v>
      </c>
      <c r="E595">
        <f>_xlfn.XLOOKUP(A595,'Grocery and sales Data'!$A$1:$A$991,'Grocery and sales Data'!$R$1:$R$991)</f>
        <v>130</v>
      </c>
      <c r="F595" t="str">
        <f t="shared" si="9"/>
        <v>Medium</v>
      </c>
    </row>
    <row r="596" spans="1:6" ht="16" x14ac:dyDescent="0.4">
      <c r="A596" s="2" t="s">
        <v>2222</v>
      </c>
      <c r="B596" t="str">
        <f>_xlfn.XLOOKUP(A596,'Grocery and sales Data'!$A$1:$A$991,'Grocery and sales Data'!$B$1:$B$991)</f>
        <v>Eggplant</v>
      </c>
      <c r="C596" t="str">
        <f>_xlfn.XLOOKUP(A596,'Grocery and sales Data'!$A$1:$A$991,'Grocery and sales Data'!$C$1:$C$991)</f>
        <v>Fruits &amp; Vegetables</v>
      </c>
      <c r="D596" s="9">
        <f>_xlfn.XLOOKUP(A596,'Grocery and sales Data'!$A$1:$A$991,'Grocery and sales Data'!$I$1:$I$991)</f>
        <v>3</v>
      </c>
      <c r="E596">
        <f>_xlfn.XLOOKUP(A596,'Grocery and sales Data'!$A$1:$A$991,'Grocery and sales Data'!$R$1:$R$991)</f>
        <v>111</v>
      </c>
      <c r="F596" t="str">
        <f t="shared" si="9"/>
        <v>Medium</v>
      </c>
    </row>
    <row r="597" spans="1:6" ht="16" x14ac:dyDescent="0.4">
      <c r="A597" s="2" t="s">
        <v>2225</v>
      </c>
      <c r="B597" t="str">
        <f>_xlfn.XLOOKUP(A597,'Grocery and sales Data'!$A$1:$A$991,'Grocery and sales Data'!$B$1:$B$991)</f>
        <v>Grapes</v>
      </c>
      <c r="C597" t="str">
        <f>_xlfn.XLOOKUP(A597,'Grocery and sales Data'!$A$1:$A$991,'Grocery and sales Data'!$C$1:$C$991)</f>
        <v>Fruits &amp; Vegetables</v>
      </c>
      <c r="D597" s="9">
        <f>_xlfn.XLOOKUP(A597,'Grocery and sales Data'!$A$1:$A$991,'Grocery and sales Data'!$I$1:$I$991)</f>
        <v>5.5</v>
      </c>
      <c r="E597">
        <f>_xlfn.XLOOKUP(A597,'Grocery and sales Data'!$A$1:$A$991,'Grocery and sales Data'!$R$1:$R$991)</f>
        <v>225.5</v>
      </c>
      <c r="F597" t="str">
        <f t="shared" si="9"/>
        <v>Medium</v>
      </c>
    </row>
    <row r="598" spans="1:6" ht="16" x14ac:dyDescent="0.4">
      <c r="A598" s="2" t="s">
        <v>2228</v>
      </c>
      <c r="B598" t="str">
        <f>_xlfn.XLOOKUP(A598,'Grocery and sales Data'!$A$1:$A$991,'Grocery and sales Data'!$B$1:$B$991)</f>
        <v>Sesame Oil</v>
      </c>
      <c r="C598" t="str">
        <f>_xlfn.XLOOKUP(A598,'Grocery and sales Data'!$A$1:$A$991,'Grocery and sales Data'!$C$1:$C$991)</f>
        <v>Oils &amp; Fats</v>
      </c>
      <c r="D598" s="9">
        <f>_xlfn.XLOOKUP(A598,'Grocery and sales Data'!$A$1:$A$991,'Grocery and sales Data'!$I$1:$I$991)</f>
        <v>6.5</v>
      </c>
      <c r="E598">
        <f>_xlfn.XLOOKUP(A598,'Grocery and sales Data'!$A$1:$A$991,'Grocery and sales Data'!$R$1:$R$991)</f>
        <v>351</v>
      </c>
      <c r="F598" t="str">
        <f t="shared" si="9"/>
        <v>Medium</v>
      </c>
    </row>
    <row r="599" spans="1:6" ht="16" x14ac:dyDescent="0.4">
      <c r="A599" s="2" t="s">
        <v>2231</v>
      </c>
      <c r="B599" t="str">
        <f>_xlfn.XLOOKUP(A599,'Grocery and sales Data'!$A$1:$A$991,'Grocery and sales Data'!$B$1:$B$991)</f>
        <v>Orange</v>
      </c>
      <c r="C599" t="str">
        <f>_xlfn.XLOOKUP(A599,'Grocery and sales Data'!$A$1:$A$991,'Grocery and sales Data'!$C$1:$C$991)</f>
        <v>Fruits &amp; Vegetables</v>
      </c>
      <c r="D599" s="9">
        <f>_xlfn.XLOOKUP(A599,'Grocery and sales Data'!$A$1:$A$991,'Grocery and sales Data'!$I$1:$I$991)</f>
        <v>2.9</v>
      </c>
      <c r="E599">
        <f>_xlfn.XLOOKUP(A599,'Grocery and sales Data'!$A$1:$A$991,'Grocery and sales Data'!$R$1:$R$991)</f>
        <v>165.29999999999998</v>
      </c>
      <c r="F599" t="str">
        <f t="shared" si="9"/>
        <v>Medium</v>
      </c>
    </row>
    <row r="600" spans="1:6" ht="16" x14ac:dyDescent="0.4">
      <c r="A600" s="2" t="s">
        <v>2235</v>
      </c>
      <c r="B600" t="str">
        <f>_xlfn.XLOOKUP(A600,'Grocery and sales Data'!$A$1:$A$991,'Grocery and sales Data'!$B$1:$B$991)</f>
        <v>Sardines</v>
      </c>
      <c r="C600" t="str">
        <f>_xlfn.XLOOKUP(A600,'Grocery and sales Data'!$A$1:$A$991,'Grocery and sales Data'!$C$1:$C$991)</f>
        <v>Seafood</v>
      </c>
      <c r="D600" s="9">
        <f>_xlfn.XLOOKUP(A600,'Grocery and sales Data'!$A$1:$A$991,'Grocery and sales Data'!$I$1:$I$991)</f>
        <v>6</v>
      </c>
      <c r="E600">
        <f>_xlfn.XLOOKUP(A600,'Grocery and sales Data'!$A$1:$A$991,'Grocery and sales Data'!$R$1:$R$991)</f>
        <v>414</v>
      </c>
      <c r="F600" t="str">
        <f t="shared" si="9"/>
        <v>Medium</v>
      </c>
    </row>
    <row r="601" spans="1:6" ht="16" x14ac:dyDescent="0.4">
      <c r="A601" s="2" t="s">
        <v>2238</v>
      </c>
      <c r="B601" t="str">
        <f>_xlfn.XLOOKUP(A601,'Grocery and sales Data'!$A$1:$A$991,'Grocery and sales Data'!$B$1:$B$991)</f>
        <v>Peanut Oil</v>
      </c>
      <c r="C601" t="str">
        <f>_xlfn.XLOOKUP(A601,'Grocery and sales Data'!$A$1:$A$991,'Grocery and sales Data'!$C$1:$C$991)</f>
        <v>Oils &amp; Fats</v>
      </c>
      <c r="D601" s="9">
        <f>_xlfn.XLOOKUP(A601,'Grocery and sales Data'!$A$1:$A$991,'Grocery and sales Data'!$I$1:$I$991)</f>
        <v>4</v>
      </c>
      <c r="E601">
        <f>_xlfn.XLOOKUP(A601,'Grocery and sales Data'!$A$1:$A$991,'Grocery and sales Data'!$R$1:$R$991)</f>
        <v>196</v>
      </c>
      <c r="F601" t="str">
        <f t="shared" si="9"/>
        <v>Medium</v>
      </c>
    </row>
    <row r="602" spans="1:6" ht="16" x14ac:dyDescent="0.4">
      <c r="A602" s="2" t="s">
        <v>2241</v>
      </c>
      <c r="B602" t="str">
        <f>_xlfn.XLOOKUP(A602,'Grocery and sales Data'!$A$1:$A$991,'Grocery and sales Data'!$B$1:$B$991)</f>
        <v>Kiwi</v>
      </c>
      <c r="C602" t="str">
        <f>_xlfn.XLOOKUP(A602,'Grocery and sales Data'!$A$1:$A$991,'Grocery and sales Data'!$C$1:$C$991)</f>
        <v>Fruits &amp; Vegetables</v>
      </c>
      <c r="D602" s="9">
        <f>_xlfn.XLOOKUP(A602,'Grocery and sales Data'!$A$1:$A$991,'Grocery and sales Data'!$I$1:$I$991)</f>
        <v>5.7</v>
      </c>
      <c r="E602">
        <f>_xlfn.XLOOKUP(A602,'Grocery and sales Data'!$A$1:$A$991,'Grocery and sales Data'!$R$1:$R$991)</f>
        <v>302.10000000000002</v>
      </c>
      <c r="F602" t="str">
        <f t="shared" si="9"/>
        <v>Medium</v>
      </c>
    </row>
    <row r="603" spans="1:6" ht="16" x14ac:dyDescent="0.4">
      <c r="A603" s="2" t="s">
        <v>2244</v>
      </c>
      <c r="B603" t="str">
        <f>_xlfn.XLOOKUP(A603,'Grocery and sales Data'!$A$1:$A$991,'Grocery and sales Data'!$B$1:$B$991)</f>
        <v>Palm Oil</v>
      </c>
      <c r="C603" t="str">
        <f>_xlfn.XLOOKUP(A603,'Grocery and sales Data'!$A$1:$A$991,'Grocery and sales Data'!$C$1:$C$991)</f>
        <v>Oils &amp; Fats</v>
      </c>
      <c r="D603" s="9">
        <f>_xlfn.XLOOKUP(A603,'Grocery and sales Data'!$A$1:$A$991,'Grocery and sales Data'!$I$1:$I$991)</f>
        <v>1.8</v>
      </c>
      <c r="E603">
        <f>_xlfn.XLOOKUP(A603,'Grocery and sales Data'!$A$1:$A$991,'Grocery and sales Data'!$R$1:$R$991)</f>
        <v>147.6</v>
      </c>
      <c r="F603" t="str">
        <f t="shared" si="9"/>
        <v>Medium</v>
      </c>
    </row>
    <row r="604" spans="1:6" ht="16" x14ac:dyDescent="0.4">
      <c r="A604" s="2" t="s">
        <v>2247</v>
      </c>
      <c r="B604" t="str">
        <f>_xlfn.XLOOKUP(A604,'Grocery and sales Data'!$A$1:$A$991,'Grocery and sales Data'!$B$1:$B$991)</f>
        <v>Plum</v>
      </c>
      <c r="C604" t="str">
        <f>_xlfn.XLOOKUP(A604,'Grocery and sales Data'!$A$1:$A$991,'Grocery and sales Data'!$C$1:$C$991)</f>
        <v>Fruits &amp; Vegetables</v>
      </c>
      <c r="D604" s="9">
        <f>_xlfn.XLOOKUP(A604,'Grocery and sales Data'!$A$1:$A$991,'Grocery and sales Data'!$I$1:$I$991)</f>
        <v>3.85</v>
      </c>
      <c r="E604">
        <f>_xlfn.XLOOKUP(A604,'Grocery and sales Data'!$A$1:$A$991,'Grocery and sales Data'!$R$1:$R$991)</f>
        <v>223.3</v>
      </c>
      <c r="F604" t="str">
        <f t="shared" si="9"/>
        <v>Medium</v>
      </c>
    </row>
    <row r="605" spans="1:6" ht="16" x14ac:dyDescent="0.4">
      <c r="A605" s="2" t="s">
        <v>2250</v>
      </c>
      <c r="B605" t="str">
        <f>_xlfn.XLOOKUP(A605,'Grocery and sales Data'!$A$1:$A$991,'Grocery and sales Data'!$B$1:$B$991)</f>
        <v>Cauliflower</v>
      </c>
      <c r="C605" t="str">
        <f>_xlfn.XLOOKUP(A605,'Grocery and sales Data'!$A$1:$A$991,'Grocery and sales Data'!$C$1:$C$991)</f>
        <v>Fruits &amp; Vegetables</v>
      </c>
      <c r="D605" s="9">
        <f>_xlfn.XLOOKUP(A605,'Grocery and sales Data'!$A$1:$A$991,'Grocery and sales Data'!$I$1:$I$991)</f>
        <v>2.5</v>
      </c>
      <c r="E605">
        <f>_xlfn.XLOOKUP(A605,'Grocery and sales Data'!$A$1:$A$991,'Grocery and sales Data'!$R$1:$R$991)</f>
        <v>155</v>
      </c>
      <c r="F605" t="str">
        <f t="shared" si="9"/>
        <v>Medium</v>
      </c>
    </row>
    <row r="606" spans="1:6" ht="16" x14ac:dyDescent="0.4">
      <c r="A606" s="2" t="s">
        <v>2253</v>
      </c>
      <c r="B606" t="str">
        <f>_xlfn.XLOOKUP(A606,'Grocery and sales Data'!$A$1:$A$991,'Grocery and sales Data'!$B$1:$B$991)</f>
        <v>Coconut Oil</v>
      </c>
      <c r="C606" t="str">
        <f>_xlfn.XLOOKUP(A606,'Grocery and sales Data'!$A$1:$A$991,'Grocery and sales Data'!$C$1:$C$991)</f>
        <v>Oils &amp; Fats</v>
      </c>
      <c r="D606" s="9">
        <f>_xlfn.XLOOKUP(A606,'Grocery and sales Data'!$A$1:$A$991,'Grocery and sales Data'!$I$1:$I$991)</f>
        <v>5</v>
      </c>
      <c r="E606">
        <f>_xlfn.XLOOKUP(A606,'Grocery and sales Data'!$A$1:$A$991,'Grocery and sales Data'!$R$1:$R$991)</f>
        <v>145</v>
      </c>
      <c r="F606" t="str">
        <f t="shared" si="9"/>
        <v>Medium</v>
      </c>
    </row>
    <row r="607" spans="1:6" ht="16" x14ac:dyDescent="0.4">
      <c r="A607" s="2" t="s">
        <v>2257</v>
      </c>
      <c r="B607" t="str">
        <f>_xlfn.XLOOKUP(A607,'Grocery and sales Data'!$A$1:$A$991,'Grocery and sales Data'!$B$1:$B$991)</f>
        <v>Cherry</v>
      </c>
      <c r="C607" t="str">
        <f>_xlfn.XLOOKUP(A607,'Grocery and sales Data'!$A$1:$A$991,'Grocery and sales Data'!$C$1:$C$991)</f>
        <v>Fruits &amp; Vegetables</v>
      </c>
      <c r="D607" s="9">
        <f>_xlfn.XLOOKUP(A607,'Grocery and sales Data'!$A$1:$A$991,'Grocery and sales Data'!$I$1:$I$991)</f>
        <v>8</v>
      </c>
      <c r="E607">
        <f>_xlfn.XLOOKUP(A607,'Grocery and sales Data'!$A$1:$A$991,'Grocery and sales Data'!$R$1:$R$991)</f>
        <v>336</v>
      </c>
      <c r="F607" t="str">
        <f t="shared" si="9"/>
        <v>Medium</v>
      </c>
    </row>
    <row r="608" spans="1:6" ht="16" x14ac:dyDescent="0.4">
      <c r="A608" s="2" t="s">
        <v>2261</v>
      </c>
      <c r="B608" t="str">
        <f>_xlfn.XLOOKUP(A608,'Grocery and sales Data'!$A$1:$A$991,'Grocery and sales Data'!$B$1:$B$991)</f>
        <v>Cauliflower</v>
      </c>
      <c r="C608" t="str">
        <f>_xlfn.XLOOKUP(A608,'Grocery and sales Data'!$A$1:$A$991,'Grocery and sales Data'!$C$1:$C$991)</f>
        <v>Fruits &amp; Vegetables</v>
      </c>
      <c r="D608" s="9">
        <f>_xlfn.XLOOKUP(A608,'Grocery and sales Data'!$A$1:$A$991,'Grocery and sales Data'!$I$1:$I$991)</f>
        <v>2.5</v>
      </c>
      <c r="E608">
        <f>_xlfn.XLOOKUP(A608,'Grocery and sales Data'!$A$1:$A$991,'Grocery and sales Data'!$R$1:$R$991)</f>
        <v>195</v>
      </c>
      <c r="F608" t="str">
        <f t="shared" si="9"/>
        <v>Medium</v>
      </c>
    </row>
    <row r="609" spans="1:6" ht="16" x14ac:dyDescent="0.4">
      <c r="A609" s="2" t="s">
        <v>2264</v>
      </c>
      <c r="B609" t="str">
        <f>_xlfn.XLOOKUP(A609,'Grocery and sales Data'!$A$1:$A$991,'Grocery and sales Data'!$B$1:$B$991)</f>
        <v>Vegetable Oil</v>
      </c>
      <c r="C609" t="str">
        <f>_xlfn.XLOOKUP(A609,'Grocery and sales Data'!$A$1:$A$991,'Grocery and sales Data'!$C$1:$C$991)</f>
        <v>Oils &amp; Fats</v>
      </c>
      <c r="D609" s="9">
        <f>_xlfn.XLOOKUP(A609,'Grocery and sales Data'!$A$1:$A$991,'Grocery and sales Data'!$I$1:$I$991)</f>
        <v>2</v>
      </c>
      <c r="E609">
        <f>_xlfn.XLOOKUP(A609,'Grocery and sales Data'!$A$1:$A$991,'Grocery and sales Data'!$R$1:$R$991)</f>
        <v>50</v>
      </c>
      <c r="F609" t="str">
        <f t="shared" si="9"/>
        <v>Low</v>
      </c>
    </row>
    <row r="610" spans="1:6" ht="16" x14ac:dyDescent="0.4">
      <c r="A610" s="2" t="s">
        <v>2267</v>
      </c>
      <c r="B610" t="str">
        <f>_xlfn.XLOOKUP(A610,'Grocery and sales Data'!$A$1:$A$991,'Grocery and sales Data'!$B$1:$B$991)</f>
        <v>Tuna</v>
      </c>
      <c r="C610" t="str">
        <f>_xlfn.XLOOKUP(A610,'Grocery and sales Data'!$A$1:$A$991,'Grocery and sales Data'!$C$1:$C$991)</f>
        <v>Seafood</v>
      </c>
      <c r="D610" s="9">
        <f>_xlfn.XLOOKUP(A610,'Grocery and sales Data'!$A$1:$A$991,'Grocery and sales Data'!$I$1:$I$991)</f>
        <v>18</v>
      </c>
      <c r="E610">
        <f>_xlfn.XLOOKUP(A610,'Grocery and sales Data'!$A$1:$A$991,'Grocery and sales Data'!$R$1:$R$991)</f>
        <v>630</v>
      </c>
      <c r="F610" t="str">
        <f t="shared" si="9"/>
        <v>Medium</v>
      </c>
    </row>
    <row r="611" spans="1:6" ht="16" x14ac:dyDescent="0.4">
      <c r="A611" s="2" t="s">
        <v>2271</v>
      </c>
      <c r="B611" t="str">
        <f>_xlfn.XLOOKUP(A611,'Grocery and sales Data'!$A$1:$A$991,'Grocery and sales Data'!$B$1:$B$991)</f>
        <v>Buttermilk</v>
      </c>
      <c r="C611" t="str">
        <f>_xlfn.XLOOKUP(A611,'Grocery and sales Data'!$A$1:$A$991,'Grocery and sales Data'!$C$1:$C$991)</f>
        <v>Dairy</v>
      </c>
      <c r="D611" s="9">
        <f>_xlfn.XLOOKUP(A611,'Grocery and sales Data'!$A$1:$A$991,'Grocery and sales Data'!$I$1:$I$991)</f>
        <v>2.5</v>
      </c>
      <c r="E611">
        <f>_xlfn.XLOOKUP(A611,'Grocery and sales Data'!$A$1:$A$991,'Grocery and sales Data'!$R$1:$R$991)</f>
        <v>115</v>
      </c>
      <c r="F611" t="str">
        <f t="shared" si="9"/>
        <v>Medium</v>
      </c>
    </row>
    <row r="612" spans="1:6" ht="16" x14ac:dyDescent="0.4">
      <c r="A612" s="2" t="s">
        <v>2274</v>
      </c>
      <c r="B612" t="str">
        <f>_xlfn.XLOOKUP(A612,'Grocery and sales Data'!$A$1:$A$991,'Grocery and sales Data'!$B$1:$B$991)</f>
        <v>Lemon</v>
      </c>
      <c r="C612" t="str">
        <f>_xlfn.XLOOKUP(A612,'Grocery and sales Data'!$A$1:$A$991,'Grocery and sales Data'!$C$1:$C$991)</f>
        <v>Fruits &amp; Vegetables</v>
      </c>
      <c r="D612" s="9">
        <f>_xlfn.XLOOKUP(A612,'Grocery and sales Data'!$A$1:$A$991,'Grocery and sales Data'!$I$1:$I$991)</f>
        <v>2.4500000000000002</v>
      </c>
      <c r="E612">
        <f>_xlfn.XLOOKUP(A612,'Grocery and sales Data'!$A$1:$A$991,'Grocery and sales Data'!$R$1:$R$991)</f>
        <v>73.5</v>
      </c>
      <c r="F612" t="str">
        <f t="shared" si="9"/>
        <v>Low</v>
      </c>
    </row>
    <row r="613" spans="1:6" ht="16" x14ac:dyDescent="0.4">
      <c r="A613" s="2" t="s">
        <v>2277</v>
      </c>
      <c r="B613" t="str">
        <f>_xlfn.XLOOKUP(A613,'Grocery and sales Data'!$A$1:$A$991,'Grocery and sales Data'!$B$1:$B$991)</f>
        <v>Salmon</v>
      </c>
      <c r="C613" t="str">
        <f>_xlfn.XLOOKUP(A613,'Grocery and sales Data'!$A$1:$A$991,'Grocery and sales Data'!$C$1:$C$991)</f>
        <v>Seafood</v>
      </c>
      <c r="D613" s="9">
        <f>_xlfn.XLOOKUP(A613,'Grocery and sales Data'!$A$1:$A$991,'Grocery and sales Data'!$I$1:$I$991)</f>
        <v>15</v>
      </c>
      <c r="E613">
        <f>_xlfn.XLOOKUP(A613,'Grocery and sales Data'!$A$1:$A$991,'Grocery and sales Data'!$R$1:$R$991)</f>
        <v>630</v>
      </c>
      <c r="F613" t="str">
        <f t="shared" si="9"/>
        <v>Medium</v>
      </c>
    </row>
    <row r="614" spans="1:6" ht="16" x14ac:dyDescent="0.4">
      <c r="A614" s="2" t="s">
        <v>2281</v>
      </c>
      <c r="B614" t="str">
        <f>_xlfn.XLOOKUP(A614,'Grocery and sales Data'!$A$1:$A$991,'Grocery and sales Data'!$B$1:$B$991)</f>
        <v>Egg (Quail)</v>
      </c>
      <c r="C614" t="str">
        <f>_xlfn.XLOOKUP(A614,'Grocery and sales Data'!$A$1:$A$991,'Grocery and sales Data'!$C$1:$C$991)</f>
        <v>Dairy</v>
      </c>
      <c r="D614" s="9">
        <f>_xlfn.XLOOKUP(A614,'Grocery and sales Data'!$A$1:$A$991,'Grocery and sales Data'!$I$1:$I$991)</f>
        <v>0.8</v>
      </c>
      <c r="E614">
        <f>_xlfn.XLOOKUP(A614,'Grocery and sales Data'!$A$1:$A$991,'Grocery and sales Data'!$R$1:$R$991)</f>
        <v>39.200000000000003</v>
      </c>
      <c r="F614" t="str">
        <f t="shared" si="9"/>
        <v>Low</v>
      </c>
    </row>
    <row r="615" spans="1:6" ht="16" x14ac:dyDescent="0.4">
      <c r="A615" s="2" t="s">
        <v>2284</v>
      </c>
      <c r="B615" t="str">
        <f>_xlfn.XLOOKUP(A615,'Grocery and sales Data'!$A$1:$A$991,'Grocery and sales Data'!$B$1:$B$991)</f>
        <v>Sushi Rice</v>
      </c>
      <c r="C615" t="str">
        <f>_xlfn.XLOOKUP(A615,'Grocery and sales Data'!$A$1:$A$991,'Grocery and sales Data'!$C$1:$C$991)</f>
        <v>Grains &amp; Pulses</v>
      </c>
      <c r="D615" s="9">
        <f>_xlfn.XLOOKUP(A615,'Grocery and sales Data'!$A$1:$A$991,'Grocery and sales Data'!$I$1:$I$991)</f>
        <v>4.25</v>
      </c>
      <c r="E615">
        <f>_xlfn.XLOOKUP(A615,'Grocery and sales Data'!$A$1:$A$991,'Grocery and sales Data'!$R$1:$R$991)</f>
        <v>272</v>
      </c>
      <c r="F615" t="str">
        <f t="shared" si="9"/>
        <v>Medium</v>
      </c>
    </row>
    <row r="616" spans="1:6" ht="16" x14ac:dyDescent="0.4">
      <c r="A616" s="2" t="s">
        <v>2288</v>
      </c>
      <c r="B616" t="str">
        <f>_xlfn.XLOOKUP(A616,'Grocery and sales Data'!$A$1:$A$991,'Grocery and sales Data'!$B$1:$B$991)</f>
        <v>Egg (Chicken)</v>
      </c>
      <c r="C616" t="str">
        <f>_xlfn.XLOOKUP(A616,'Grocery and sales Data'!$A$1:$A$991,'Grocery and sales Data'!$C$1:$C$991)</f>
        <v>Dairy</v>
      </c>
      <c r="D616" s="9">
        <f>_xlfn.XLOOKUP(A616,'Grocery and sales Data'!$A$1:$A$991,'Grocery and sales Data'!$I$1:$I$991)</f>
        <v>0.2</v>
      </c>
      <c r="E616">
        <f>_xlfn.XLOOKUP(A616,'Grocery and sales Data'!$A$1:$A$991,'Grocery and sales Data'!$R$1:$R$991)</f>
        <v>20</v>
      </c>
      <c r="F616" t="str">
        <f t="shared" si="9"/>
        <v>Low</v>
      </c>
    </row>
    <row r="617" spans="1:6" ht="16" x14ac:dyDescent="0.4">
      <c r="A617" s="2" t="s">
        <v>2293</v>
      </c>
      <c r="B617" t="str">
        <f>_xlfn.XLOOKUP(A617,'Grocery and sales Data'!$A$1:$A$991,'Grocery and sales Data'!$B$1:$B$991)</f>
        <v>Arborio Rice</v>
      </c>
      <c r="C617" t="str">
        <f>_xlfn.XLOOKUP(A617,'Grocery and sales Data'!$A$1:$A$991,'Grocery and sales Data'!$C$1:$C$991)</f>
        <v>Grains &amp; Pulses</v>
      </c>
      <c r="D617" s="9">
        <f>_xlfn.XLOOKUP(A617,'Grocery and sales Data'!$A$1:$A$991,'Grocery and sales Data'!$I$1:$I$991)</f>
        <v>4.5</v>
      </c>
      <c r="E617">
        <f>_xlfn.XLOOKUP(A617,'Grocery and sales Data'!$A$1:$A$991,'Grocery and sales Data'!$R$1:$R$991)</f>
        <v>189</v>
      </c>
      <c r="F617" t="str">
        <f t="shared" si="9"/>
        <v>Medium</v>
      </c>
    </row>
    <row r="618" spans="1:6" ht="16" x14ac:dyDescent="0.4">
      <c r="A618" s="2" t="s">
        <v>2296</v>
      </c>
      <c r="B618" t="str">
        <f>_xlfn.XLOOKUP(A618,'Grocery and sales Data'!$A$1:$A$991,'Grocery and sales Data'!$B$1:$B$991)</f>
        <v>Heavy Cream</v>
      </c>
      <c r="C618" t="str">
        <f>_xlfn.XLOOKUP(A618,'Grocery and sales Data'!$A$1:$A$991,'Grocery and sales Data'!$C$1:$C$991)</f>
        <v>Dairy</v>
      </c>
      <c r="D618" s="9">
        <f>_xlfn.XLOOKUP(A618,'Grocery and sales Data'!$A$1:$A$991,'Grocery and sales Data'!$I$1:$I$991)</f>
        <v>4</v>
      </c>
      <c r="E618">
        <f>_xlfn.XLOOKUP(A618,'Grocery and sales Data'!$A$1:$A$991,'Grocery and sales Data'!$R$1:$R$991)</f>
        <v>260</v>
      </c>
      <c r="F618" t="str">
        <f t="shared" si="9"/>
        <v>Medium</v>
      </c>
    </row>
    <row r="619" spans="1:6" ht="16" x14ac:dyDescent="0.4">
      <c r="A619" s="2" t="s">
        <v>2299</v>
      </c>
      <c r="B619" t="str">
        <f>_xlfn.XLOOKUP(A619,'Grocery and sales Data'!$A$1:$A$991,'Grocery and sales Data'!$B$1:$B$991)</f>
        <v>Sushi Rice</v>
      </c>
      <c r="C619" t="str">
        <f>_xlfn.XLOOKUP(A619,'Grocery and sales Data'!$A$1:$A$991,'Grocery and sales Data'!$C$1:$C$991)</f>
        <v>Grains &amp; Pulses</v>
      </c>
      <c r="D619" s="9">
        <f>_xlfn.XLOOKUP(A619,'Grocery and sales Data'!$A$1:$A$991,'Grocery and sales Data'!$I$1:$I$991)</f>
        <v>4.3</v>
      </c>
      <c r="E619">
        <f>_xlfn.XLOOKUP(A619,'Grocery and sales Data'!$A$1:$A$991,'Grocery and sales Data'!$R$1:$R$991)</f>
        <v>124.69999999999999</v>
      </c>
      <c r="F619" t="str">
        <f t="shared" si="9"/>
        <v>Medium</v>
      </c>
    </row>
    <row r="620" spans="1:6" ht="16" x14ac:dyDescent="0.4">
      <c r="A620" s="2" t="s">
        <v>2302</v>
      </c>
      <c r="B620" t="str">
        <f>_xlfn.XLOOKUP(A620,'Grocery and sales Data'!$A$1:$A$991,'Grocery and sales Data'!$B$1:$B$991)</f>
        <v>Basmati Rice</v>
      </c>
      <c r="C620" t="str">
        <f>_xlfn.XLOOKUP(A620,'Grocery and sales Data'!$A$1:$A$991,'Grocery and sales Data'!$C$1:$C$991)</f>
        <v>Grains &amp; Pulses</v>
      </c>
      <c r="D620" s="9">
        <f>_xlfn.XLOOKUP(A620,'Grocery and sales Data'!$A$1:$A$991,'Grocery and sales Data'!$I$1:$I$991)</f>
        <v>4.5</v>
      </c>
      <c r="E620">
        <f>_xlfn.XLOOKUP(A620,'Grocery and sales Data'!$A$1:$A$991,'Grocery and sales Data'!$R$1:$R$991)</f>
        <v>130.5</v>
      </c>
      <c r="F620" t="str">
        <f t="shared" si="9"/>
        <v>Medium</v>
      </c>
    </row>
    <row r="621" spans="1:6" ht="16" x14ac:dyDescent="0.4">
      <c r="A621" s="2" t="s">
        <v>2305</v>
      </c>
      <c r="B621" t="str">
        <f>_xlfn.XLOOKUP(A621,'Grocery and sales Data'!$A$1:$A$991,'Grocery and sales Data'!$B$1:$B$991)</f>
        <v>Grapes</v>
      </c>
      <c r="C621" t="str">
        <f>_xlfn.XLOOKUP(A621,'Grocery and sales Data'!$A$1:$A$991,'Grocery and sales Data'!$C$1:$C$991)</f>
        <v>Fruits &amp; Vegetables</v>
      </c>
      <c r="D621" s="9">
        <f>_xlfn.XLOOKUP(A621,'Grocery and sales Data'!$A$1:$A$991,'Grocery and sales Data'!$I$1:$I$991)</f>
        <v>5.5</v>
      </c>
      <c r="E621">
        <f>_xlfn.XLOOKUP(A621,'Grocery and sales Data'!$A$1:$A$991,'Grocery and sales Data'!$R$1:$R$991)</f>
        <v>324.5</v>
      </c>
      <c r="F621" t="str">
        <f t="shared" si="9"/>
        <v>Medium</v>
      </c>
    </row>
    <row r="622" spans="1:6" ht="16" x14ac:dyDescent="0.4">
      <c r="A622" s="2" t="s">
        <v>2308</v>
      </c>
      <c r="B622" t="str">
        <f>_xlfn.XLOOKUP(A622,'Grocery and sales Data'!$A$1:$A$991,'Grocery and sales Data'!$B$1:$B$991)</f>
        <v>Swiss Cheese</v>
      </c>
      <c r="C622" t="str">
        <f>_xlfn.XLOOKUP(A622,'Grocery and sales Data'!$A$1:$A$991,'Grocery and sales Data'!$C$1:$C$991)</f>
        <v>Dairy</v>
      </c>
      <c r="D622" s="9">
        <f>_xlfn.XLOOKUP(A622,'Grocery and sales Data'!$A$1:$A$991,'Grocery and sales Data'!$I$1:$I$991)</f>
        <v>8</v>
      </c>
      <c r="E622">
        <f>_xlfn.XLOOKUP(A622,'Grocery and sales Data'!$A$1:$A$991,'Grocery and sales Data'!$R$1:$R$991)</f>
        <v>424</v>
      </c>
      <c r="F622" t="str">
        <f t="shared" si="9"/>
        <v>Medium</v>
      </c>
    </row>
    <row r="623" spans="1:6" ht="16" x14ac:dyDescent="0.4">
      <c r="A623" s="2" t="s">
        <v>2311</v>
      </c>
      <c r="B623" t="str">
        <f>_xlfn.XLOOKUP(A623,'Grocery and sales Data'!$A$1:$A$991,'Grocery and sales Data'!$B$1:$B$991)</f>
        <v>Pear</v>
      </c>
      <c r="C623" t="str">
        <f>_xlfn.XLOOKUP(A623,'Grocery and sales Data'!$A$1:$A$991,'Grocery and sales Data'!$C$1:$C$991)</f>
        <v>Fruits &amp; Vegetables</v>
      </c>
      <c r="D623" s="9">
        <f>_xlfn.XLOOKUP(A623,'Grocery and sales Data'!$A$1:$A$991,'Grocery and sales Data'!$I$1:$I$991)</f>
        <v>4.45</v>
      </c>
      <c r="E623">
        <f>_xlfn.XLOOKUP(A623,'Grocery and sales Data'!$A$1:$A$991,'Grocery and sales Data'!$R$1:$R$991)</f>
        <v>275.90000000000003</v>
      </c>
      <c r="F623" t="str">
        <f t="shared" si="9"/>
        <v>Medium</v>
      </c>
    </row>
    <row r="624" spans="1:6" ht="16" x14ac:dyDescent="0.4">
      <c r="A624" s="2" t="s">
        <v>2315</v>
      </c>
      <c r="B624" t="str">
        <f>_xlfn.XLOOKUP(A624,'Grocery and sales Data'!$A$1:$A$991,'Grocery and sales Data'!$B$1:$B$991)</f>
        <v>Corn Oil</v>
      </c>
      <c r="C624" t="str">
        <f>_xlfn.XLOOKUP(A624,'Grocery and sales Data'!$A$1:$A$991,'Grocery and sales Data'!$C$1:$C$991)</f>
        <v>Oils &amp; Fats</v>
      </c>
      <c r="D624" s="9">
        <f>_xlfn.XLOOKUP(A624,'Grocery and sales Data'!$A$1:$A$991,'Grocery and sales Data'!$I$1:$I$991)</f>
        <v>2.5</v>
      </c>
      <c r="E624">
        <f>_xlfn.XLOOKUP(A624,'Grocery and sales Data'!$A$1:$A$991,'Grocery and sales Data'!$R$1:$R$991)</f>
        <v>112.5</v>
      </c>
      <c r="F624" t="str">
        <f t="shared" si="9"/>
        <v>Medium</v>
      </c>
    </row>
    <row r="625" spans="1:6" ht="16" x14ac:dyDescent="0.4">
      <c r="A625" s="2" t="s">
        <v>2318</v>
      </c>
      <c r="B625" t="str">
        <f>_xlfn.XLOOKUP(A625,'Grocery and sales Data'!$A$1:$A$991,'Grocery and sales Data'!$B$1:$B$991)</f>
        <v>Raw Sugar</v>
      </c>
      <c r="C625" t="str">
        <f>_xlfn.XLOOKUP(A625,'Grocery and sales Data'!$A$1:$A$991,'Grocery and sales Data'!$C$1:$C$991)</f>
        <v>Grains &amp; Pulses</v>
      </c>
      <c r="D625" s="9">
        <f>_xlfn.XLOOKUP(A625,'Grocery and sales Data'!$A$1:$A$991,'Grocery and sales Data'!$I$1:$I$991)</f>
        <v>1.5</v>
      </c>
      <c r="E625">
        <f>_xlfn.XLOOKUP(A625,'Grocery and sales Data'!$A$1:$A$991,'Grocery and sales Data'!$R$1:$R$991)</f>
        <v>58.5</v>
      </c>
      <c r="F625" t="str">
        <f t="shared" si="9"/>
        <v>Low</v>
      </c>
    </row>
    <row r="626" spans="1:6" ht="16" x14ac:dyDescent="0.4">
      <c r="A626" s="2" t="s">
        <v>2321</v>
      </c>
      <c r="B626" t="str">
        <f>_xlfn.XLOOKUP(A626,'Grocery and sales Data'!$A$1:$A$991,'Grocery and sales Data'!$B$1:$B$991)</f>
        <v>Mozzarella Cheese</v>
      </c>
      <c r="C626" t="str">
        <f>_xlfn.XLOOKUP(A626,'Grocery and sales Data'!$A$1:$A$991,'Grocery and sales Data'!$C$1:$C$991)</f>
        <v>Dairy</v>
      </c>
      <c r="D626" s="9">
        <f>_xlfn.XLOOKUP(A626,'Grocery and sales Data'!$A$1:$A$991,'Grocery and sales Data'!$I$1:$I$991)</f>
        <v>7.1</v>
      </c>
      <c r="E626">
        <f>_xlfn.XLOOKUP(A626,'Grocery and sales Data'!$A$1:$A$991,'Grocery and sales Data'!$R$1:$R$991)</f>
        <v>191.7</v>
      </c>
      <c r="F626" t="str">
        <f t="shared" si="9"/>
        <v>Medium</v>
      </c>
    </row>
    <row r="627" spans="1:6" ht="16" x14ac:dyDescent="0.4">
      <c r="A627" s="2" t="s">
        <v>2324</v>
      </c>
      <c r="B627" t="str">
        <f>_xlfn.XLOOKUP(A627,'Grocery and sales Data'!$A$1:$A$991,'Grocery and sales Data'!$B$1:$B$991)</f>
        <v>Mushrooms</v>
      </c>
      <c r="C627" t="str">
        <f>_xlfn.XLOOKUP(A627,'Grocery and sales Data'!$A$1:$A$991,'Grocery and sales Data'!$C$1:$C$991)</f>
        <v>Fruits &amp; Vegetables</v>
      </c>
      <c r="D627" s="9">
        <f>_xlfn.XLOOKUP(A627,'Grocery and sales Data'!$A$1:$A$991,'Grocery and sales Data'!$I$1:$I$991)</f>
        <v>6</v>
      </c>
      <c r="E627">
        <f>_xlfn.XLOOKUP(A627,'Grocery and sales Data'!$A$1:$A$991,'Grocery and sales Data'!$R$1:$R$991)</f>
        <v>510</v>
      </c>
      <c r="F627" t="str">
        <f t="shared" si="9"/>
        <v>Medium</v>
      </c>
    </row>
    <row r="628" spans="1:6" ht="16" x14ac:dyDescent="0.4">
      <c r="A628" s="2" t="s">
        <v>2328</v>
      </c>
      <c r="B628" t="str">
        <f>_xlfn.XLOOKUP(A628,'Grocery and sales Data'!$A$1:$A$991,'Grocery and sales Data'!$B$1:$B$991)</f>
        <v>Onion</v>
      </c>
      <c r="C628" t="str">
        <f>_xlfn.XLOOKUP(A628,'Grocery and sales Data'!$A$1:$A$991,'Grocery and sales Data'!$C$1:$C$991)</f>
        <v>Fruits &amp; Vegetables</v>
      </c>
      <c r="D628" s="9">
        <f>_xlfn.XLOOKUP(A628,'Grocery and sales Data'!$A$1:$A$991,'Grocery and sales Data'!$I$1:$I$991)</f>
        <v>2</v>
      </c>
      <c r="E628">
        <f>_xlfn.XLOOKUP(A628,'Grocery and sales Data'!$A$1:$A$991,'Grocery and sales Data'!$R$1:$R$991)</f>
        <v>44</v>
      </c>
      <c r="F628" t="str">
        <f t="shared" si="9"/>
        <v>Low</v>
      </c>
    </row>
    <row r="629" spans="1:6" ht="16" x14ac:dyDescent="0.4">
      <c r="A629" s="2" t="s">
        <v>2331</v>
      </c>
      <c r="B629" t="str">
        <f>_xlfn.XLOOKUP(A629,'Grocery and sales Data'!$A$1:$A$991,'Grocery and sales Data'!$B$1:$B$991)</f>
        <v>Banana</v>
      </c>
      <c r="C629" t="str">
        <f>_xlfn.XLOOKUP(A629,'Grocery and sales Data'!$A$1:$A$991,'Grocery and sales Data'!$C$1:$C$991)</f>
        <v>Fruits &amp; Vegetables</v>
      </c>
      <c r="D629" s="9">
        <f>_xlfn.XLOOKUP(A629,'Grocery and sales Data'!$A$1:$A$991,'Grocery and sales Data'!$I$1:$I$991)</f>
        <v>13.99</v>
      </c>
      <c r="E629">
        <f>_xlfn.XLOOKUP(A629,'Grocery and sales Data'!$A$1:$A$991,'Grocery and sales Data'!$R$1:$R$991)</f>
        <v>811.42</v>
      </c>
      <c r="F629" t="str">
        <f t="shared" si="9"/>
        <v>Medium</v>
      </c>
    </row>
    <row r="630" spans="1:6" ht="16" x14ac:dyDescent="0.4">
      <c r="A630" s="2" t="s">
        <v>2335</v>
      </c>
      <c r="B630" t="str">
        <f>_xlfn.XLOOKUP(A630,'Grocery and sales Data'!$A$1:$A$991,'Grocery and sales Data'!$B$1:$B$991)</f>
        <v>Zucchini</v>
      </c>
      <c r="C630" t="str">
        <f>_xlfn.XLOOKUP(A630,'Grocery and sales Data'!$A$1:$A$991,'Grocery and sales Data'!$C$1:$C$991)</f>
        <v>Fruits &amp; Vegetables</v>
      </c>
      <c r="D630" s="9">
        <f>_xlfn.XLOOKUP(A630,'Grocery and sales Data'!$A$1:$A$991,'Grocery and sales Data'!$I$1:$I$991)</f>
        <v>2.5</v>
      </c>
      <c r="E630">
        <f>_xlfn.XLOOKUP(A630,'Grocery and sales Data'!$A$1:$A$991,'Grocery and sales Data'!$R$1:$R$991)</f>
        <v>67.5</v>
      </c>
      <c r="F630" t="str">
        <f t="shared" si="9"/>
        <v>Low</v>
      </c>
    </row>
    <row r="631" spans="1:6" ht="16" x14ac:dyDescent="0.4">
      <c r="A631" s="2" t="s">
        <v>2339</v>
      </c>
      <c r="B631" t="str">
        <f>_xlfn.XLOOKUP(A631,'Grocery and sales Data'!$A$1:$A$991,'Grocery and sales Data'!$B$1:$B$991)</f>
        <v>Cherry</v>
      </c>
      <c r="C631" t="str">
        <f>_xlfn.XLOOKUP(A631,'Grocery and sales Data'!$A$1:$A$991,'Grocery and sales Data'!$C$1:$C$991)</f>
        <v>Fruits &amp; Vegetables</v>
      </c>
      <c r="D631" s="9">
        <f>_xlfn.XLOOKUP(A631,'Grocery and sales Data'!$A$1:$A$991,'Grocery and sales Data'!$I$1:$I$991)</f>
        <v>8</v>
      </c>
      <c r="E631">
        <f>_xlfn.XLOOKUP(A631,'Grocery and sales Data'!$A$1:$A$991,'Grocery and sales Data'!$R$1:$R$991)</f>
        <v>352</v>
      </c>
      <c r="F631" t="str">
        <f t="shared" si="9"/>
        <v>Medium</v>
      </c>
    </row>
    <row r="632" spans="1:6" ht="16" x14ac:dyDescent="0.4">
      <c r="A632" s="2" t="s">
        <v>2342</v>
      </c>
      <c r="B632" t="str">
        <f>_xlfn.XLOOKUP(A632,'Grocery and sales Data'!$A$1:$A$991,'Grocery and sales Data'!$B$1:$B$991)</f>
        <v>Herbal Tea</v>
      </c>
      <c r="C632" t="str">
        <f>_xlfn.XLOOKUP(A632,'Grocery and sales Data'!$A$1:$A$991,'Grocery and sales Data'!$C$1:$C$991)</f>
        <v>Beverages</v>
      </c>
      <c r="D632" s="9">
        <f>_xlfn.XLOOKUP(A632,'Grocery and sales Data'!$A$1:$A$991,'Grocery and sales Data'!$I$1:$I$991)</f>
        <v>30</v>
      </c>
      <c r="E632">
        <f>_xlfn.XLOOKUP(A632,'Grocery and sales Data'!$A$1:$A$991,'Grocery and sales Data'!$R$1:$R$991)</f>
        <v>2700</v>
      </c>
      <c r="F632" t="str">
        <f t="shared" si="9"/>
        <v>High</v>
      </c>
    </row>
    <row r="633" spans="1:6" ht="16" x14ac:dyDescent="0.4">
      <c r="A633" s="2" t="s">
        <v>2346</v>
      </c>
      <c r="B633" t="str">
        <f>_xlfn.XLOOKUP(A633,'Grocery and sales Data'!$A$1:$A$991,'Grocery and sales Data'!$B$1:$B$991)</f>
        <v>Short Grain Rice</v>
      </c>
      <c r="C633" t="str">
        <f>_xlfn.XLOOKUP(A633,'Grocery and sales Data'!$A$1:$A$991,'Grocery and sales Data'!$C$1:$C$991)</f>
        <v>Grains &amp; Pulses</v>
      </c>
      <c r="D633" s="9">
        <f>_xlfn.XLOOKUP(A633,'Grocery and sales Data'!$A$1:$A$991,'Grocery and sales Data'!$I$1:$I$991)</f>
        <v>3</v>
      </c>
      <c r="E633">
        <f>_xlfn.XLOOKUP(A633,'Grocery and sales Data'!$A$1:$A$991,'Grocery and sales Data'!$R$1:$R$991)</f>
        <v>279</v>
      </c>
      <c r="F633" t="str">
        <f t="shared" si="9"/>
        <v>Medium</v>
      </c>
    </row>
    <row r="634" spans="1:6" ht="16" x14ac:dyDescent="0.4">
      <c r="A634" s="2" t="s">
        <v>2349</v>
      </c>
      <c r="B634" t="str">
        <f>_xlfn.XLOOKUP(A634,'Grocery and sales Data'!$A$1:$A$991,'Grocery and sales Data'!$B$1:$B$991)</f>
        <v>Cream</v>
      </c>
      <c r="C634" t="str">
        <f>_xlfn.XLOOKUP(A634,'Grocery and sales Data'!$A$1:$A$991,'Grocery and sales Data'!$C$1:$C$991)</f>
        <v>Dairy</v>
      </c>
      <c r="D634" s="9">
        <f>_xlfn.XLOOKUP(A634,'Grocery and sales Data'!$A$1:$A$991,'Grocery and sales Data'!$I$1:$I$991)</f>
        <v>2.35</v>
      </c>
      <c r="E634">
        <f>_xlfn.XLOOKUP(A634,'Grocery and sales Data'!$A$1:$A$991,'Grocery and sales Data'!$R$1:$R$991)</f>
        <v>204.45000000000002</v>
      </c>
      <c r="F634" t="str">
        <f t="shared" si="9"/>
        <v>Medium</v>
      </c>
    </row>
    <row r="635" spans="1:6" ht="16" x14ac:dyDescent="0.4">
      <c r="A635" s="2" t="s">
        <v>2352</v>
      </c>
      <c r="B635" t="str">
        <f>_xlfn.XLOOKUP(A635,'Grocery and sales Data'!$A$1:$A$991,'Grocery and sales Data'!$B$1:$B$991)</f>
        <v>Grapes</v>
      </c>
      <c r="C635" t="str">
        <f>_xlfn.XLOOKUP(A635,'Grocery and sales Data'!$A$1:$A$991,'Grocery and sales Data'!$C$1:$C$991)</f>
        <v>Fruits &amp; Vegetables</v>
      </c>
      <c r="D635" s="9">
        <f>_xlfn.XLOOKUP(A635,'Grocery and sales Data'!$A$1:$A$991,'Grocery and sales Data'!$I$1:$I$991)</f>
        <v>5.5</v>
      </c>
      <c r="E635">
        <f>_xlfn.XLOOKUP(A635,'Grocery and sales Data'!$A$1:$A$991,'Grocery and sales Data'!$R$1:$R$991)</f>
        <v>407</v>
      </c>
      <c r="F635" t="str">
        <f t="shared" si="9"/>
        <v>Medium</v>
      </c>
    </row>
    <row r="636" spans="1:6" ht="16" x14ac:dyDescent="0.4">
      <c r="A636" s="2" t="s">
        <v>2356</v>
      </c>
      <c r="B636" t="str">
        <f>_xlfn.XLOOKUP(A636,'Grocery and sales Data'!$A$1:$A$991,'Grocery and sales Data'!$B$1:$B$991)</f>
        <v>Green Coffee</v>
      </c>
      <c r="C636" t="str">
        <f>_xlfn.XLOOKUP(A636,'Grocery and sales Data'!$A$1:$A$991,'Grocery and sales Data'!$C$1:$C$991)</f>
        <v>Beverages</v>
      </c>
      <c r="D636" s="9">
        <f>_xlfn.XLOOKUP(A636,'Grocery and sales Data'!$A$1:$A$991,'Grocery and sales Data'!$I$1:$I$991)</f>
        <v>12</v>
      </c>
      <c r="E636">
        <f>_xlfn.XLOOKUP(A636,'Grocery and sales Data'!$A$1:$A$991,'Grocery and sales Data'!$R$1:$R$991)</f>
        <v>456</v>
      </c>
      <c r="F636" t="str">
        <f t="shared" si="9"/>
        <v>Medium</v>
      </c>
    </row>
    <row r="637" spans="1:6" ht="16" x14ac:dyDescent="0.4">
      <c r="A637" s="2" t="s">
        <v>2359</v>
      </c>
      <c r="B637" t="str">
        <f>_xlfn.XLOOKUP(A637,'Grocery and sales Data'!$A$1:$A$991,'Grocery and sales Data'!$B$1:$B$991)</f>
        <v>Rye Bread</v>
      </c>
      <c r="C637" t="str">
        <f>_xlfn.XLOOKUP(A637,'Grocery and sales Data'!$A$1:$A$991,'Grocery and sales Data'!$C$1:$C$991)</f>
        <v>Bakery</v>
      </c>
      <c r="D637" s="9">
        <f>_xlfn.XLOOKUP(A637,'Grocery and sales Data'!$A$1:$A$991,'Grocery and sales Data'!$I$1:$I$991)</f>
        <v>3</v>
      </c>
      <c r="E637">
        <f>_xlfn.XLOOKUP(A637,'Grocery and sales Data'!$A$1:$A$991,'Grocery and sales Data'!$R$1:$R$991)</f>
        <v>147</v>
      </c>
      <c r="F637" t="str">
        <f t="shared" si="9"/>
        <v>Medium</v>
      </c>
    </row>
    <row r="638" spans="1:6" ht="16" x14ac:dyDescent="0.4">
      <c r="A638" s="2" t="s">
        <v>2362</v>
      </c>
      <c r="B638" t="str">
        <f>_xlfn.XLOOKUP(A638,'Grocery and sales Data'!$A$1:$A$991,'Grocery and sales Data'!$B$1:$B$991)</f>
        <v>Green Tea</v>
      </c>
      <c r="C638" t="str">
        <f>_xlfn.XLOOKUP(A638,'Grocery and sales Data'!$A$1:$A$991,'Grocery and sales Data'!$C$1:$C$991)</f>
        <v>Beverages</v>
      </c>
      <c r="D638" s="9">
        <f>_xlfn.XLOOKUP(A638,'Grocery and sales Data'!$A$1:$A$991,'Grocery and sales Data'!$I$1:$I$991)</f>
        <v>8</v>
      </c>
      <c r="E638">
        <f>_xlfn.XLOOKUP(A638,'Grocery and sales Data'!$A$1:$A$991,'Grocery and sales Data'!$R$1:$R$991)</f>
        <v>392</v>
      </c>
      <c r="F638" t="str">
        <f t="shared" si="9"/>
        <v>Medium</v>
      </c>
    </row>
    <row r="639" spans="1:6" ht="16" x14ac:dyDescent="0.4">
      <c r="A639" s="2" t="s">
        <v>2365</v>
      </c>
      <c r="B639" t="str">
        <f>_xlfn.XLOOKUP(A639,'Grocery and sales Data'!$A$1:$A$991,'Grocery and sales Data'!$B$1:$B$991)</f>
        <v>Sushi Rice</v>
      </c>
      <c r="C639" t="str">
        <f>_xlfn.XLOOKUP(A639,'Grocery and sales Data'!$A$1:$A$991,'Grocery and sales Data'!$C$1:$C$991)</f>
        <v>Grains &amp; Pulses</v>
      </c>
      <c r="D639" s="9">
        <f>_xlfn.XLOOKUP(A639,'Grocery and sales Data'!$A$1:$A$991,'Grocery and sales Data'!$I$1:$I$991)</f>
        <v>4.3499999999999996</v>
      </c>
      <c r="E639">
        <f>_xlfn.XLOOKUP(A639,'Grocery and sales Data'!$A$1:$A$991,'Grocery and sales Data'!$R$1:$R$991)</f>
        <v>300.14999999999998</v>
      </c>
      <c r="F639" t="str">
        <f t="shared" si="9"/>
        <v>Medium</v>
      </c>
    </row>
    <row r="640" spans="1:6" ht="16" x14ac:dyDescent="0.4">
      <c r="A640" s="2" t="s">
        <v>2368</v>
      </c>
      <c r="B640" t="str">
        <f>_xlfn.XLOOKUP(A640,'Grocery and sales Data'!$A$1:$A$991,'Grocery and sales Data'!$B$1:$B$991)</f>
        <v>Egg (Duck)</v>
      </c>
      <c r="C640" t="str">
        <f>_xlfn.XLOOKUP(A640,'Grocery and sales Data'!$A$1:$A$991,'Grocery and sales Data'!$C$1:$C$991)</f>
        <v>Dairy</v>
      </c>
      <c r="D640" s="9">
        <f>_xlfn.XLOOKUP(A640,'Grocery and sales Data'!$A$1:$A$991,'Grocery and sales Data'!$I$1:$I$991)</f>
        <v>1</v>
      </c>
      <c r="E640">
        <f>_xlfn.XLOOKUP(A640,'Grocery and sales Data'!$A$1:$A$991,'Grocery and sales Data'!$R$1:$R$991)</f>
        <v>77</v>
      </c>
      <c r="F640" t="str">
        <f t="shared" si="9"/>
        <v>Low</v>
      </c>
    </row>
    <row r="641" spans="1:6" ht="16" x14ac:dyDescent="0.4">
      <c r="A641" s="2" t="s">
        <v>2371</v>
      </c>
      <c r="B641" t="str">
        <f>_xlfn.XLOOKUP(A641,'Grocery and sales Data'!$A$1:$A$991,'Grocery and sales Data'!$B$1:$B$991)</f>
        <v>Spinach</v>
      </c>
      <c r="C641" t="str">
        <f>_xlfn.XLOOKUP(A641,'Grocery and sales Data'!$A$1:$A$991,'Grocery and sales Data'!$C$1:$C$991)</f>
        <v>Fruits &amp; Vegetables</v>
      </c>
      <c r="D641" s="9">
        <f>_xlfn.XLOOKUP(A641,'Grocery and sales Data'!$A$1:$A$991,'Grocery and sales Data'!$I$1:$I$991)</f>
        <v>2.4500000000000002</v>
      </c>
      <c r="E641">
        <f>_xlfn.XLOOKUP(A641,'Grocery and sales Data'!$A$1:$A$991,'Grocery and sales Data'!$R$1:$R$991)</f>
        <v>61.250000000000007</v>
      </c>
      <c r="F641" t="str">
        <f t="shared" si="9"/>
        <v>Low</v>
      </c>
    </row>
    <row r="642" spans="1:6" ht="16" x14ac:dyDescent="0.4">
      <c r="A642" s="2" t="s">
        <v>2375</v>
      </c>
      <c r="B642" t="str">
        <f>_xlfn.XLOOKUP(A642,'Grocery and sales Data'!$A$1:$A$991,'Grocery and sales Data'!$B$1:$B$991)</f>
        <v>Apricot</v>
      </c>
      <c r="C642" t="str">
        <f>_xlfn.XLOOKUP(A642,'Grocery and sales Data'!$A$1:$A$991,'Grocery and sales Data'!$C$1:$C$991)</f>
        <v>Fruits &amp; Vegetables</v>
      </c>
      <c r="D642" s="9">
        <f>_xlfn.XLOOKUP(A642,'Grocery and sales Data'!$A$1:$A$991,'Grocery and sales Data'!$I$1:$I$991)</f>
        <v>5</v>
      </c>
      <c r="E642">
        <f>_xlfn.XLOOKUP(A642,'Grocery and sales Data'!$A$1:$A$991,'Grocery and sales Data'!$R$1:$R$991)</f>
        <v>245</v>
      </c>
      <c r="F642" t="str">
        <f t="shared" si="9"/>
        <v>Medium</v>
      </c>
    </row>
    <row r="643" spans="1:6" ht="16" x14ac:dyDescent="0.4">
      <c r="A643" s="2" t="s">
        <v>2379</v>
      </c>
      <c r="B643" t="str">
        <f>_xlfn.XLOOKUP(A643,'Grocery and sales Data'!$A$1:$A$991,'Grocery and sales Data'!$B$1:$B$991)</f>
        <v>Kiwi</v>
      </c>
      <c r="C643" t="str">
        <f>_xlfn.XLOOKUP(A643,'Grocery and sales Data'!$A$1:$A$991,'Grocery and sales Data'!$C$1:$C$991)</f>
        <v>Fruits &amp; Vegetables</v>
      </c>
      <c r="D643" s="9">
        <f>_xlfn.XLOOKUP(A643,'Grocery and sales Data'!$A$1:$A$991,'Grocery and sales Data'!$I$1:$I$991)</f>
        <v>5.8</v>
      </c>
      <c r="E643">
        <f>_xlfn.XLOOKUP(A643,'Grocery and sales Data'!$A$1:$A$991,'Grocery and sales Data'!$R$1:$R$991)</f>
        <v>116</v>
      </c>
      <c r="F643" t="str">
        <f t="shared" ref="F643:F706" si="10">IF(E643&gt;=1000,"High",IF(E643&gt;=100,"Medium","Low"))</f>
        <v>Medium</v>
      </c>
    </row>
    <row r="644" spans="1:6" ht="16" x14ac:dyDescent="0.4">
      <c r="A644" s="2" t="s">
        <v>2382</v>
      </c>
      <c r="B644" t="str">
        <f>_xlfn.XLOOKUP(A644,'Grocery and sales Data'!$A$1:$A$991,'Grocery and sales Data'!$B$1:$B$991)</f>
        <v>Black Rice</v>
      </c>
      <c r="C644" t="str">
        <f>_xlfn.XLOOKUP(A644,'Grocery and sales Data'!$A$1:$A$991,'Grocery and sales Data'!$C$1:$C$991)</f>
        <v>Grains &amp; Pulses</v>
      </c>
      <c r="D644" s="9">
        <f>_xlfn.XLOOKUP(A644,'Grocery and sales Data'!$A$1:$A$991,'Grocery and sales Data'!$I$1:$I$991)</f>
        <v>6.25</v>
      </c>
      <c r="E644">
        <f>_xlfn.XLOOKUP(A644,'Grocery and sales Data'!$A$1:$A$991,'Grocery and sales Data'!$R$1:$R$991)</f>
        <v>468.75</v>
      </c>
      <c r="F644" t="str">
        <f t="shared" si="10"/>
        <v>Medium</v>
      </c>
    </row>
    <row r="645" spans="1:6" ht="16" x14ac:dyDescent="0.4">
      <c r="A645" s="2" t="s">
        <v>2385</v>
      </c>
      <c r="B645" t="str">
        <f>_xlfn.XLOOKUP(A645,'Grocery and sales Data'!$A$1:$A$991,'Grocery and sales Data'!$B$1:$B$991)</f>
        <v>Green Tea</v>
      </c>
      <c r="C645" t="str">
        <f>_xlfn.XLOOKUP(A645,'Grocery and sales Data'!$A$1:$A$991,'Grocery and sales Data'!$C$1:$C$991)</f>
        <v>Beverages</v>
      </c>
      <c r="D645" s="9">
        <f>_xlfn.XLOOKUP(A645,'Grocery and sales Data'!$A$1:$A$991,'Grocery and sales Data'!$I$1:$I$991)</f>
        <v>8</v>
      </c>
      <c r="E645">
        <f>_xlfn.XLOOKUP(A645,'Grocery and sales Data'!$A$1:$A$991,'Grocery and sales Data'!$R$1:$R$991)</f>
        <v>736</v>
      </c>
      <c r="F645" t="str">
        <f t="shared" si="10"/>
        <v>Medium</v>
      </c>
    </row>
    <row r="646" spans="1:6" ht="16" x14ac:dyDescent="0.4">
      <c r="A646" s="2" t="s">
        <v>2388</v>
      </c>
      <c r="B646" t="str">
        <f>_xlfn.XLOOKUP(A646,'Grocery and sales Data'!$A$1:$A$991,'Grocery and sales Data'!$B$1:$B$991)</f>
        <v>Egg (Quail)</v>
      </c>
      <c r="C646" t="str">
        <f>_xlfn.XLOOKUP(A646,'Grocery and sales Data'!$A$1:$A$991,'Grocery and sales Data'!$C$1:$C$991)</f>
        <v>Dairy</v>
      </c>
      <c r="D646" s="9">
        <f>_xlfn.XLOOKUP(A646,'Grocery and sales Data'!$A$1:$A$991,'Grocery and sales Data'!$I$1:$I$991)</f>
        <v>0.8</v>
      </c>
      <c r="E646">
        <f>_xlfn.XLOOKUP(A646,'Grocery and sales Data'!$A$1:$A$991,'Grocery and sales Data'!$R$1:$R$991)</f>
        <v>24</v>
      </c>
      <c r="F646" t="str">
        <f t="shared" si="10"/>
        <v>Low</v>
      </c>
    </row>
    <row r="647" spans="1:6" ht="16" x14ac:dyDescent="0.4">
      <c r="A647" s="2" t="s">
        <v>2392</v>
      </c>
      <c r="B647" t="str">
        <f>_xlfn.XLOOKUP(A647,'Grocery and sales Data'!$A$1:$A$991,'Grocery and sales Data'!$B$1:$B$991)</f>
        <v>Papaya</v>
      </c>
      <c r="C647" t="str">
        <f>_xlfn.XLOOKUP(A647,'Grocery and sales Data'!$A$1:$A$991,'Grocery and sales Data'!$C$1:$C$991)</f>
        <v>Fruits &amp; Vegetables</v>
      </c>
      <c r="D647" s="9">
        <f>_xlfn.XLOOKUP(A647,'Grocery and sales Data'!$A$1:$A$991,'Grocery and sales Data'!$I$1:$I$991)</f>
        <v>4.3</v>
      </c>
      <c r="E647">
        <f>_xlfn.XLOOKUP(A647,'Grocery and sales Data'!$A$1:$A$991,'Grocery and sales Data'!$R$1:$R$991)</f>
        <v>98.899999999999991</v>
      </c>
      <c r="F647" t="str">
        <f t="shared" si="10"/>
        <v>Low</v>
      </c>
    </row>
    <row r="648" spans="1:6" ht="16" x14ac:dyDescent="0.4">
      <c r="A648" s="2" t="s">
        <v>2395</v>
      </c>
      <c r="B648" t="str">
        <f>_xlfn.XLOOKUP(A648,'Grocery and sales Data'!$A$1:$A$991,'Grocery and sales Data'!$B$1:$B$991)</f>
        <v>Heavy Cream</v>
      </c>
      <c r="C648" t="str">
        <f>_xlfn.XLOOKUP(A648,'Grocery and sales Data'!$A$1:$A$991,'Grocery and sales Data'!$C$1:$C$991)</f>
        <v>Dairy</v>
      </c>
      <c r="D648" s="9">
        <f>_xlfn.XLOOKUP(A648,'Grocery and sales Data'!$A$1:$A$991,'Grocery and sales Data'!$I$1:$I$991)</f>
        <v>4</v>
      </c>
      <c r="E648">
        <f>_xlfn.XLOOKUP(A648,'Grocery and sales Data'!$A$1:$A$991,'Grocery and sales Data'!$R$1:$R$991)</f>
        <v>396</v>
      </c>
      <c r="F648" t="str">
        <f t="shared" si="10"/>
        <v>Medium</v>
      </c>
    </row>
    <row r="649" spans="1:6" ht="16" x14ac:dyDescent="0.4">
      <c r="A649" s="2" t="s">
        <v>2398</v>
      </c>
      <c r="B649" t="str">
        <f>_xlfn.XLOOKUP(A649,'Grocery and sales Data'!$A$1:$A$991,'Grocery and sales Data'!$B$1:$B$991)</f>
        <v>Black Tea</v>
      </c>
      <c r="C649" t="str">
        <f>_xlfn.XLOOKUP(A649,'Grocery and sales Data'!$A$1:$A$991,'Grocery and sales Data'!$C$1:$C$991)</f>
        <v>Beverages</v>
      </c>
      <c r="D649" s="9">
        <f>_xlfn.XLOOKUP(A649,'Grocery and sales Data'!$A$1:$A$991,'Grocery and sales Data'!$I$1:$I$991)</f>
        <v>5</v>
      </c>
      <c r="E649">
        <f>_xlfn.XLOOKUP(A649,'Grocery and sales Data'!$A$1:$A$991,'Grocery and sales Data'!$R$1:$R$991)</f>
        <v>360</v>
      </c>
      <c r="F649" t="str">
        <f t="shared" si="10"/>
        <v>Medium</v>
      </c>
    </row>
    <row r="650" spans="1:6" ht="16" x14ac:dyDescent="0.4">
      <c r="A650" s="2" t="s">
        <v>2401</v>
      </c>
      <c r="B650" t="str">
        <f>_xlfn.XLOOKUP(A650,'Grocery and sales Data'!$A$1:$A$991,'Grocery and sales Data'!$B$1:$B$991)</f>
        <v>Short Grain Rice</v>
      </c>
      <c r="C650" t="str">
        <f>_xlfn.XLOOKUP(A650,'Grocery and sales Data'!$A$1:$A$991,'Grocery and sales Data'!$C$1:$C$991)</f>
        <v>Grains &amp; Pulses</v>
      </c>
      <c r="D650" s="9">
        <f>_xlfn.XLOOKUP(A650,'Grocery and sales Data'!$A$1:$A$991,'Grocery and sales Data'!$I$1:$I$991)</f>
        <v>3</v>
      </c>
      <c r="E650">
        <f>_xlfn.XLOOKUP(A650,'Grocery and sales Data'!$A$1:$A$991,'Grocery and sales Data'!$R$1:$R$991)</f>
        <v>144</v>
      </c>
      <c r="F650" t="str">
        <f t="shared" si="10"/>
        <v>Medium</v>
      </c>
    </row>
    <row r="651" spans="1:6" ht="16" x14ac:dyDescent="0.4">
      <c r="A651" s="2" t="s">
        <v>2404</v>
      </c>
      <c r="B651" t="str">
        <f>_xlfn.XLOOKUP(A651,'Grocery and sales Data'!$A$1:$A$991,'Grocery and sales Data'!$B$1:$B$991)</f>
        <v>Bell Pepper</v>
      </c>
      <c r="C651" t="str">
        <f>_xlfn.XLOOKUP(A651,'Grocery and sales Data'!$A$1:$A$991,'Grocery and sales Data'!$C$1:$C$991)</f>
        <v>Fruits &amp; Vegetables</v>
      </c>
      <c r="D651" s="9">
        <f>_xlfn.XLOOKUP(A651,'Grocery and sales Data'!$A$1:$A$991,'Grocery and sales Data'!$I$1:$I$991)</f>
        <v>4.5</v>
      </c>
      <c r="E651">
        <f>_xlfn.XLOOKUP(A651,'Grocery and sales Data'!$A$1:$A$991,'Grocery and sales Data'!$R$1:$R$991)</f>
        <v>234</v>
      </c>
      <c r="F651" t="str">
        <f t="shared" si="10"/>
        <v>Medium</v>
      </c>
    </row>
    <row r="652" spans="1:6" ht="16" x14ac:dyDescent="0.4">
      <c r="A652" s="2" t="s">
        <v>2407</v>
      </c>
      <c r="B652" t="str">
        <f>_xlfn.XLOOKUP(A652,'Grocery and sales Data'!$A$1:$A$991,'Grocery and sales Data'!$B$1:$B$991)</f>
        <v>Parmesan Cheese</v>
      </c>
      <c r="C652" t="str">
        <f>_xlfn.XLOOKUP(A652,'Grocery and sales Data'!$A$1:$A$991,'Grocery and sales Data'!$C$1:$C$991)</f>
        <v>Dairy</v>
      </c>
      <c r="D652" s="9">
        <f>_xlfn.XLOOKUP(A652,'Grocery and sales Data'!$A$1:$A$991,'Grocery and sales Data'!$I$1:$I$991)</f>
        <v>12</v>
      </c>
      <c r="E652">
        <f>_xlfn.XLOOKUP(A652,'Grocery and sales Data'!$A$1:$A$991,'Grocery and sales Data'!$R$1:$R$991)</f>
        <v>828</v>
      </c>
      <c r="F652" t="str">
        <f t="shared" si="10"/>
        <v>Medium</v>
      </c>
    </row>
    <row r="653" spans="1:6" ht="16" x14ac:dyDescent="0.4">
      <c r="A653" s="2" t="s">
        <v>2410</v>
      </c>
      <c r="B653" t="str">
        <f>_xlfn.XLOOKUP(A653,'Grocery and sales Data'!$A$1:$A$991,'Grocery and sales Data'!$B$1:$B$991)</f>
        <v>Buttermilk</v>
      </c>
      <c r="C653" t="str">
        <f>_xlfn.XLOOKUP(A653,'Grocery and sales Data'!$A$1:$A$991,'Grocery and sales Data'!$C$1:$C$991)</f>
        <v>Dairy</v>
      </c>
      <c r="D653" s="9">
        <f>_xlfn.XLOOKUP(A653,'Grocery and sales Data'!$A$1:$A$991,'Grocery and sales Data'!$I$1:$I$991)</f>
        <v>2.4500000000000002</v>
      </c>
      <c r="E653">
        <f>_xlfn.XLOOKUP(A653,'Grocery and sales Data'!$A$1:$A$991,'Grocery and sales Data'!$R$1:$R$991)</f>
        <v>102.9</v>
      </c>
      <c r="F653" t="str">
        <f t="shared" si="10"/>
        <v>Medium</v>
      </c>
    </row>
    <row r="654" spans="1:6" ht="16" x14ac:dyDescent="0.4">
      <c r="A654" s="2" t="s">
        <v>2413</v>
      </c>
      <c r="B654" t="str">
        <f>_xlfn.XLOOKUP(A654,'Grocery and sales Data'!$A$1:$A$991,'Grocery and sales Data'!$B$1:$B$991)</f>
        <v>Cabbage</v>
      </c>
      <c r="C654" t="str">
        <f>_xlfn.XLOOKUP(A654,'Grocery and sales Data'!$A$1:$A$991,'Grocery and sales Data'!$C$1:$C$991)</f>
        <v>Fruits &amp; Vegetables</v>
      </c>
      <c r="D654" s="9">
        <f>_xlfn.XLOOKUP(A654,'Grocery and sales Data'!$A$1:$A$991,'Grocery and sales Data'!$I$1:$I$991)</f>
        <v>0.9</v>
      </c>
      <c r="E654">
        <f>_xlfn.XLOOKUP(A654,'Grocery and sales Data'!$A$1:$A$991,'Grocery and sales Data'!$R$1:$R$991)</f>
        <v>46.800000000000004</v>
      </c>
      <c r="F654" t="str">
        <f t="shared" si="10"/>
        <v>Low</v>
      </c>
    </row>
    <row r="655" spans="1:6" ht="16" x14ac:dyDescent="0.4">
      <c r="A655" s="2" t="s">
        <v>2416</v>
      </c>
      <c r="B655" t="str">
        <f>_xlfn.XLOOKUP(A655,'Grocery and sales Data'!$A$1:$A$991,'Grocery and sales Data'!$B$1:$B$991)</f>
        <v>Haddock</v>
      </c>
      <c r="C655" t="str">
        <f>_xlfn.XLOOKUP(A655,'Grocery and sales Data'!$A$1:$A$991,'Grocery and sales Data'!$C$1:$C$991)</f>
        <v>Seafood</v>
      </c>
      <c r="D655" s="9">
        <f>_xlfn.XLOOKUP(A655,'Grocery and sales Data'!$A$1:$A$991,'Grocery and sales Data'!$I$1:$I$991)</f>
        <v>9</v>
      </c>
      <c r="E655">
        <f>_xlfn.XLOOKUP(A655,'Grocery and sales Data'!$A$1:$A$991,'Grocery and sales Data'!$R$1:$R$991)</f>
        <v>405</v>
      </c>
      <c r="F655" t="str">
        <f t="shared" si="10"/>
        <v>Medium</v>
      </c>
    </row>
    <row r="656" spans="1:6" ht="16" x14ac:dyDescent="0.4">
      <c r="A656" s="2" t="s">
        <v>2419</v>
      </c>
      <c r="B656" t="str">
        <f>_xlfn.XLOOKUP(A656,'Grocery and sales Data'!$A$1:$A$991,'Grocery and sales Data'!$B$1:$B$991)</f>
        <v>Egg (Chicken)</v>
      </c>
      <c r="C656" t="str">
        <f>_xlfn.XLOOKUP(A656,'Grocery and sales Data'!$A$1:$A$991,'Grocery and sales Data'!$C$1:$C$991)</f>
        <v>Dairy</v>
      </c>
      <c r="D656" s="9">
        <f>_xlfn.XLOOKUP(A656,'Grocery and sales Data'!$A$1:$A$991,'Grocery and sales Data'!$I$1:$I$991)</f>
        <v>0.2</v>
      </c>
      <c r="E656">
        <f>_xlfn.XLOOKUP(A656,'Grocery and sales Data'!$A$1:$A$991,'Grocery and sales Data'!$R$1:$R$991)</f>
        <v>6.6000000000000005</v>
      </c>
      <c r="F656" t="str">
        <f t="shared" si="10"/>
        <v>Low</v>
      </c>
    </row>
    <row r="657" spans="1:6" ht="16" x14ac:dyDescent="0.4">
      <c r="A657" s="2" t="s">
        <v>2422</v>
      </c>
      <c r="B657" t="str">
        <f>_xlfn.XLOOKUP(A657,'Grocery and sales Data'!$A$1:$A$991,'Grocery and sales Data'!$B$1:$B$991)</f>
        <v>Brown Rice</v>
      </c>
      <c r="C657" t="str">
        <f>_xlfn.XLOOKUP(A657,'Grocery and sales Data'!$A$1:$A$991,'Grocery and sales Data'!$C$1:$C$991)</f>
        <v>Grains &amp; Pulses</v>
      </c>
      <c r="D657" s="9">
        <f>_xlfn.XLOOKUP(A657,'Grocery and sales Data'!$A$1:$A$991,'Grocery and sales Data'!$I$1:$I$991)</f>
        <v>2.5</v>
      </c>
      <c r="E657">
        <f>_xlfn.XLOOKUP(A657,'Grocery and sales Data'!$A$1:$A$991,'Grocery and sales Data'!$R$1:$R$991)</f>
        <v>132.5</v>
      </c>
      <c r="F657" t="str">
        <f t="shared" si="10"/>
        <v>Medium</v>
      </c>
    </row>
    <row r="658" spans="1:6" ht="16" x14ac:dyDescent="0.4">
      <c r="A658" s="2" t="s">
        <v>2425</v>
      </c>
      <c r="B658" t="str">
        <f>_xlfn.XLOOKUP(A658,'Grocery and sales Data'!$A$1:$A$991,'Grocery and sales Data'!$B$1:$B$991)</f>
        <v>Arabica Coffee</v>
      </c>
      <c r="C658" t="str">
        <f>_xlfn.XLOOKUP(A658,'Grocery and sales Data'!$A$1:$A$991,'Grocery and sales Data'!$C$1:$C$991)</f>
        <v>Beverages</v>
      </c>
      <c r="D658" s="9">
        <f>_xlfn.XLOOKUP(A658,'Grocery and sales Data'!$A$1:$A$991,'Grocery and sales Data'!$I$1:$I$991)</f>
        <v>20</v>
      </c>
      <c r="E658">
        <f>_xlfn.XLOOKUP(A658,'Grocery and sales Data'!$A$1:$A$991,'Grocery and sales Data'!$R$1:$R$991)</f>
        <v>560</v>
      </c>
      <c r="F658" t="str">
        <f t="shared" si="10"/>
        <v>Medium</v>
      </c>
    </row>
    <row r="659" spans="1:6" ht="16" x14ac:dyDescent="0.4">
      <c r="A659" s="2" t="s">
        <v>2428</v>
      </c>
      <c r="B659" t="str">
        <f>_xlfn.XLOOKUP(A659,'Grocery and sales Data'!$A$1:$A$991,'Grocery and sales Data'!$B$1:$B$991)</f>
        <v>Whipped Cream</v>
      </c>
      <c r="C659" t="str">
        <f>_xlfn.XLOOKUP(A659,'Grocery and sales Data'!$A$1:$A$991,'Grocery and sales Data'!$C$1:$C$991)</f>
        <v>Dairy</v>
      </c>
      <c r="D659" s="9">
        <f>_xlfn.XLOOKUP(A659,'Grocery and sales Data'!$A$1:$A$991,'Grocery and sales Data'!$I$1:$I$991)</f>
        <v>4</v>
      </c>
      <c r="E659">
        <f>_xlfn.XLOOKUP(A659,'Grocery and sales Data'!$A$1:$A$991,'Grocery and sales Data'!$R$1:$R$991)</f>
        <v>276</v>
      </c>
      <c r="F659" t="str">
        <f t="shared" si="10"/>
        <v>Medium</v>
      </c>
    </row>
    <row r="660" spans="1:6" ht="16" x14ac:dyDescent="0.4">
      <c r="A660" s="2" t="s">
        <v>2431</v>
      </c>
      <c r="B660" t="str">
        <f>_xlfn.XLOOKUP(A660,'Grocery and sales Data'!$A$1:$A$991,'Grocery and sales Data'!$B$1:$B$991)</f>
        <v>White Rice</v>
      </c>
      <c r="C660" t="str">
        <f>_xlfn.XLOOKUP(A660,'Grocery and sales Data'!$A$1:$A$991,'Grocery and sales Data'!$C$1:$C$991)</f>
        <v>Grains &amp; Pulses</v>
      </c>
      <c r="D660" s="9">
        <f>_xlfn.XLOOKUP(A660,'Grocery and sales Data'!$A$1:$A$991,'Grocery and sales Data'!$I$1:$I$991)</f>
        <v>1.8</v>
      </c>
      <c r="E660">
        <f>_xlfn.XLOOKUP(A660,'Grocery and sales Data'!$A$1:$A$991,'Grocery and sales Data'!$R$1:$R$991)</f>
        <v>115.2</v>
      </c>
      <c r="F660" t="str">
        <f t="shared" si="10"/>
        <v>Medium</v>
      </c>
    </row>
    <row r="661" spans="1:6" ht="16" x14ac:dyDescent="0.4">
      <c r="A661" s="2" t="s">
        <v>2434</v>
      </c>
      <c r="B661" t="str">
        <f>_xlfn.XLOOKUP(A661,'Grocery and sales Data'!$A$1:$A$991,'Grocery and sales Data'!$B$1:$B$991)</f>
        <v>Parmesan Cheese</v>
      </c>
      <c r="C661" t="str">
        <f>_xlfn.XLOOKUP(A661,'Grocery and sales Data'!$A$1:$A$991,'Grocery and sales Data'!$C$1:$C$991)</f>
        <v>Dairy</v>
      </c>
      <c r="D661" s="9">
        <f>_xlfn.XLOOKUP(A661,'Grocery and sales Data'!$A$1:$A$991,'Grocery and sales Data'!$I$1:$I$991)</f>
        <v>12</v>
      </c>
      <c r="E661">
        <f>_xlfn.XLOOKUP(A661,'Grocery and sales Data'!$A$1:$A$991,'Grocery and sales Data'!$R$1:$R$991)</f>
        <v>468</v>
      </c>
      <c r="F661" t="str">
        <f t="shared" si="10"/>
        <v>Medium</v>
      </c>
    </row>
    <row r="662" spans="1:6" ht="16" x14ac:dyDescent="0.4">
      <c r="A662" s="2" t="s">
        <v>2437</v>
      </c>
      <c r="B662" t="str">
        <f>_xlfn.XLOOKUP(A662,'Grocery and sales Data'!$A$1:$A$991,'Grocery and sales Data'!$B$1:$B$991)</f>
        <v>Salmon</v>
      </c>
      <c r="C662" t="str">
        <f>_xlfn.XLOOKUP(A662,'Grocery and sales Data'!$A$1:$A$991,'Grocery and sales Data'!$C$1:$C$991)</f>
        <v>Seafood</v>
      </c>
      <c r="D662" s="9">
        <f>_xlfn.XLOOKUP(A662,'Grocery and sales Data'!$A$1:$A$991,'Grocery and sales Data'!$I$1:$I$991)</f>
        <v>15</v>
      </c>
      <c r="E662">
        <f>_xlfn.XLOOKUP(A662,'Grocery and sales Data'!$A$1:$A$991,'Grocery and sales Data'!$R$1:$R$991)</f>
        <v>1440</v>
      </c>
      <c r="F662" t="str">
        <f t="shared" si="10"/>
        <v>High</v>
      </c>
    </row>
    <row r="663" spans="1:6" ht="16" x14ac:dyDescent="0.4">
      <c r="A663" s="2" t="s">
        <v>2440</v>
      </c>
      <c r="B663" t="str">
        <f>_xlfn.XLOOKUP(A663,'Grocery and sales Data'!$A$1:$A$991,'Grocery and sales Data'!$B$1:$B$991)</f>
        <v>Pineapple</v>
      </c>
      <c r="C663" t="str">
        <f>_xlfn.XLOOKUP(A663,'Grocery and sales Data'!$A$1:$A$991,'Grocery and sales Data'!$C$1:$C$991)</f>
        <v>Fruits &amp; Vegetables</v>
      </c>
      <c r="D663" s="9">
        <f>_xlfn.XLOOKUP(A663,'Grocery and sales Data'!$A$1:$A$991,'Grocery and sales Data'!$I$1:$I$991)</f>
        <v>3.5</v>
      </c>
      <c r="E663">
        <f>_xlfn.XLOOKUP(A663,'Grocery and sales Data'!$A$1:$A$991,'Grocery and sales Data'!$R$1:$R$991)</f>
        <v>280</v>
      </c>
      <c r="F663" t="str">
        <f t="shared" si="10"/>
        <v>Medium</v>
      </c>
    </row>
    <row r="664" spans="1:6" ht="16" x14ac:dyDescent="0.4">
      <c r="A664" s="2" t="s">
        <v>2443</v>
      </c>
      <c r="B664" t="str">
        <f>_xlfn.XLOOKUP(A664,'Grocery and sales Data'!$A$1:$A$991,'Grocery and sales Data'!$B$1:$B$991)</f>
        <v>Bread Flour</v>
      </c>
      <c r="C664" t="str">
        <f>_xlfn.XLOOKUP(A664,'Grocery and sales Data'!$A$1:$A$991,'Grocery and sales Data'!$C$1:$C$991)</f>
        <v>Grains &amp; Pulses</v>
      </c>
      <c r="D664" s="9">
        <f>_xlfn.XLOOKUP(A664,'Grocery and sales Data'!$A$1:$A$991,'Grocery and sales Data'!$I$1:$I$991)</f>
        <v>1.5</v>
      </c>
      <c r="E664">
        <f>_xlfn.XLOOKUP(A664,'Grocery and sales Data'!$A$1:$A$991,'Grocery and sales Data'!$R$1:$R$991)</f>
        <v>120</v>
      </c>
      <c r="F664" t="str">
        <f t="shared" si="10"/>
        <v>Medium</v>
      </c>
    </row>
    <row r="665" spans="1:6" ht="16" x14ac:dyDescent="0.4">
      <c r="A665" s="2" t="s">
        <v>2446</v>
      </c>
      <c r="B665" t="str">
        <f>_xlfn.XLOOKUP(A665,'Grocery and sales Data'!$A$1:$A$991,'Grocery and sales Data'!$B$1:$B$991)</f>
        <v>Asparagus</v>
      </c>
      <c r="C665" t="str">
        <f>_xlfn.XLOOKUP(A665,'Grocery and sales Data'!$A$1:$A$991,'Grocery and sales Data'!$C$1:$C$991)</f>
        <v>Fruits &amp; Vegetables</v>
      </c>
      <c r="D665" s="9">
        <f>_xlfn.XLOOKUP(A665,'Grocery and sales Data'!$A$1:$A$991,'Grocery and sales Data'!$I$1:$I$991)</f>
        <v>4.8</v>
      </c>
      <c r="E665">
        <f>_xlfn.XLOOKUP(A665,'Grocery and sales Data'!$A$1:$A$991,'Grocery and sales Data'!$R$1:$R$991)</f>
        <v>283.2</v>
      </c>
      <c r="F665" t="str">
        <f t="shared" si="10"/>
        <v>Medium</v>
      </c>
    </row>
    <row r="666" spans="1:6" ht="16" x14ac:dyDescent="0.4">
      <c r="A666" s="2" t="s">
        <v>2450</v>
      </c>
      <c r="B666" t="str">
        <f>_xlfn.XLOOKUP(A666,'Grocery and sales Data'!$A$1:$A$991,'Grocery and sales Data'!$B$1:$B$991)</f>
        <v>Wild Rice</v>
      </c>
      <c r="C666" t="str">
        <f>_xlfn.XLOOKUP(A666,'Grocery and sales Data'!$A$1:$A$991,'Grocery and sales Data'!$C$1:$C$991)</f>
        <v>Grains &amp; Pulses</v>
      </c>
      <c r="D666" s="9">
        <f>_xlfn.XLOOKUP(A666,'Grocery and sales Data'!$A$1:$A$991,'Grocery and sales Data'!$I$1:$I$991)</f>
        <v>10</v>
      </c>
      <c r="E666">
        <f>_xlfn.XLOOKUP(A666,'Grocery and sales Data'!$A$1:$A$991,'Grocery and sales Data'!$R$1:$R$991)</f>
        <v>620</v>
      </c>
      <c r="F666" t="str">
        <f t="shared" si="10"/>
        <v>Medium</v>
      </c>
    </row>
    <row r="667" spans="1:6" ht="16" x14ac:dyDescent="0.4">
      <c r="A667" s="2" t="s">
        <v>2453</v>
      </c>
      <c r="B667" t="str">
        <f>_xlfn.XLOOKUP(A667,'Grocery and sales Data'!$A$1:$A$991,'Grocery and sales Data'!$B$1:$B$991)</f>
        <v>Yogurt</v>
      </c>
      <c r="C667" t="str">
        <f>_xlfn.XLOOKUP(A667,'Grocery and sales Data'!$A$1:$A$991,'Grocery and sales Data'!$C$1:$C$991)</f>
        <v>Dairy</v>
      </c>
      <c r="D667" s="9">
        <f>_xlfn.XLOOKUP(A667,'Grocery and sales Data'!$A$1:$A$991,'Grocery and sales Data'!$I$1:$I$991)</f>
        <v>1.75</v>
      </c>
      <c r="E667">
        <f>_xlfn.XLOOKUP(A667,'Grocery and sales Data'!$A$1:$A$991,'Grocery and sales Data'!$R$1:$R$991)</f>
        <v>38.5</v>
      </c>
      <c r="F667" t="str">
        <f t="shared" si="10"/>
        <v>Low</v>
      </c>
    </row>
    <row r="668" spans="1:6" ht="16" x14ac:dyDescent="0.4">
      <c r="A668" s="2" t="s">
        <v>2456</v>
      </c>
      <c r="B668" t="str">
        <f>_xlfn.XLOOKUP(A668,'Grocery and sales Data'!$A$1:$A$991,'Grocery and sales Data'!$B$1:$B$991)</f>
        <v>Buttermilk</v>
      </c>
      <c r="C668" t="str">
        <f>_xlfn.XLOOKUP(A668,'Grocery and sales Data'!$A$1:$A$991,'Grocery and sales Data'!$C$1:$C$991)</f>
        <v>Dairy</v>
      </c>
      <c r="D668" s="9">
        <f>_xlfn.XLOOKUP(A668,'Grocery and sales Data'!$A$1:$A$991,'Grocery and sales Data'!$I$1:$I$991)</f>
        <v>2.5499999999999998</v>
      </c>
      <c r="E668">
        <f>_xlfn.XLOOKUP(A668,'Grocery and sales Data'!$A$1:$A$991,'Grocery and sales Data'!$R$1:$R$991)</f>
        <v>73.949999999999989</v>
      </c>
      <c r="F668" t="str">
        <f t="shared" si="10"/>
        <v>Low</v>
      </c>
    </row>
    <row r="669" spans="1:6" ht="16" x14ac:dyDescent="0.4">
      <c r="A669" s="2" t="s">
        <v>2460</v>
      </c>
      <c r="B669" t="str">
        <f>_xlfn.XLOOKUP(A669,'Grocery and sales Data'!$A$1:$A$991,'Grocery and sales Data'!$B$1:$B$991)</f>
        <v>Egg (Duck)</v>
      </c>
      <c r="C669" t="str">
        <f>_xlfn.XLOOKUP(A669,'Grocery and sales Data'!$A$1:$A$991,'Grocery and sales Data'!$C$1:$C$991)</f>
        <v>Dairy</v>
      </c>
      <c r="D669" s="9">
        <f>_xlfn.XLOOKUP(A669,'Grocery and sales Data'!$A$1:$A$991,'Grocery and sales Data'!$I$1:$I$991)</f>
        <v>1</v>
      </c>
      <c r="E669">
        <f>_xlfn.XLOOKUP(A669,'Grocery and sales Data'!$A$1:$A$991,'Grocery and sales Data'!$R$1:$R$991)</f>
        <v>23</v>
      </c>
      <c r="F669" t="str">
        <f t="shared" si="10"/>
        <v>Low</v>
      </c>
    </row>
    <row r="670" spans="1:6" ht="16" x14ac:dyDescent="0.4">
      <c r="A670" s="2" t="s">
        <v>2463</v>
      </c>
      <c r="B670" t="str">
        <f>_xlfn.XLOOKUP(A670,'Grocery and sales Data'!$A$1:$A$991,'Grocery and sales Data'!$B$1:$B$991)</f>
        <v>Asparagus</v>
      </c>
      <c r="C670" t="str">
        <f>_xlfn.XLOOKUP(A670,'Grocery and sales Data'!$A$1:$A$991,'Grocery and sales Data'!$C$1:$C$991)</f>
        <v>Fruits &amp; Vegetables</v>
      </c>
      <c r="D670" s="9">
        <f>_xlfn.XLOOKUP(A670,'Grocery and sales Data'!$A$1:$A$991,'Grocery and sales Data'!$I$1:$I$991)</f>
        <v>4.7</v>
      </c>
      <c r="E670">
        <f>_xlfn.XLOOKUP(A670,'Grocery and sales Data'!$A$1:$A$991,'Grocery and sales Data'!$R$1:$R$991)</f>
        <v>117.5</v>
      </c>
      <c r="F670" t="str">
        <f t="shared" si="10"/>
        <v>Medium</v>
      </c>
    </row>
    <row r="671" spans="1:6" ht="16" x14ac:dyDescent="0.4">
      <c r="A671" s="2" t="s">
        <v>2467</v>
      </c>
      <c r="B671" t="str">
        <f>_xlfn.XLOOKUP(A671,'Grocery and sales Data'!$A$1:$A$991,'Grocery and sales Data'!$B$1:$B$991)</f>
        <v>White Bread</v>
      </c>
      <c r="C671" t="str">
        <f>_xlfn.XLOOKUP(A671,'Grocery and sales Data'!$A$1:$A$991,'Grocery and sales Data'!$C$1:$C$991)</f>
        <v>Bakery</v>
      </c>
      <c r="D671" s="9">
        <f>_xlfn.XLOOKUP(A671,'Grocery and sales Data'!$A$1:$A$991,'Grocery and sales Data'!$I$1:$I$991)</f>
        <v>2.5</v>
      </c>
      <c r="E671">
        <f>_xlfn.XLOOKUP(A671,'Grocery and sales Data'!$A$1:$A$991,'Grocery and sales Data'!$R$1:$R$991)</f>
        <v>217.5</v>
      </c>
      <c r="F671" t="str">
        <f t="shared" si="10"/>
        <v>Medium</v>
      </c>
    </row>
    <row r="672" spans="1:6" ht="16" x14ac:dyDescent="0.4">
      <c r="A672" s="2" t="s">
        <v>2470</v>
      </c>
      <c r="B672" t="str">
        <f>_xlfn.XLOOKUP(A672,'Grocery and sales Data'!$A$1:$A$991,'Grocery and sales Data'!$B$1:$B$991)</f>
        <v>Wild Rice</v>
      </c>
      <c r="C672" t="str">
        <f>_xlfn.XLOOKUP(A672,'Grocery and sales Data'!$A$1:$A$991,'Grocery and sales Data'!$C$1:$C$991)</f>
        <v>Grains &amp; Pulses</v>
      </c>
      <c r="D672" s="9">
        <f>_xlfn.XLOOKUP(A672,'Grocery and sales Data'!$A$1:$A$991,'Grocery and sales Data'!$I$1:$I$991)</f>
        <v>10</v>
      </c>
      <c r="E672">
        <f>_xlfn.XLOOKUP(A672,'Grocery and sales Data'!$A$1:$A$991,'Grocery and sales Data'!$R$1:$R$991)</f>
        <v>750</v>
      </c>
      <c r="F672" t="str">
        <f t="shared" si="10"/>
        <v>Medium</v>
      </c>
    </row>
    <row r="673" spans="1:6" ht="16" x14ac:dyDescent="0.4">
      <c r="A673" s="2" t="s">
        <v>2473</v>
      </c>
      <c r="B673" t="str">
        <f>_xlfn.XLOOKUP(A673,'Grocery and sales Data'!$A$1:$A$991,'Grocery and sales Data'!$B$1:$B$991)</f>
        <v>Egg (Goose)</v>
      </c>
      <c r="C673" t="str">
        <f>_xlfn.XLOOKUP(A673,'Grocery and sales Data'!$A$1:$A$991,'Grocery and sales Data'!$C$1:$C$991)</f>
        <v>Dairy</v>
      </c>
      <c r="D673" s="9">
        <f>_xlfn.XLOOKUP(A673,'Grocery and sales Data'!$A$1:$A$991,'Grocery and sales Data'!$I$1:$I$991)</f>
        <v>2.5</v>
      </c>
      <c r="E673">
        <f>_xlfn.XLOOKUP(A673,'Grocery and sales Data'!$A$1:$A$991,'Grocery and sales Data'!$R$1:$R$991)</f>
        <v>135</v>
      </c>
      <c r="F673" t="str">
        <f t="shared" si="10"/>
        <v>Medium</v>
      </c>
    </row>
    <row r="674" spans="1:6" ht="16" x14ac:dyDescent="0.4">
      <c r="A674" s="2" t="s">
        <v>2477</v>
      </c>
      <c r="B674" t="str">
        <f>_xlfn.XLOOKUP(A674,'Grocery and sales Data'!$A$1:$A$991,'Grocery and sales Data'!$B$1:$B$991)</f>
        <v>White Rice</v>
      </c>
      <c r="C674" t="str">
        <f>_xlfn.XLOOKUP(A674,'Grocery and sales Data'!$A$1:$A$991,'Grocery and sales Data'!$C$1:$C$991)</f>
        <v>Grains &amp; Pulses</v>
      </c>
      <c r="D674" s="9">
        <f>_xlfn.XLOOKUP(A674,'Grocery and sales Data'!$A$1:$A$991,'Grocery and sales Data'!$I$1:$I$991)</f>
        <v>1.8</v>
      </c>
      <c r="E674">
        <f>_xlfn.XLOOKUP(A674,'Grocery and sales Data'!$A$1:$A$991,'Grocery and sales Data'!$R$1:$R$991)</f>
        <v>169.20000000000002</v>
      </c>
      <c r="F674" t="str">
        <f t="shared" si="10"/>
        <v>Medium</v>
      </c>
    </row>
    <row r="675" spans="1:6" ht="16" x14ac:dyDescent="0.4">
      <c r="A675" s="2" t="s">
        <v>2480</v>
      </c>
      <c r="B675" t="str">
        <f>_xlfn.XLOOKUP(A675,'Grocery and sales Data'!$A$1:$A$991,'Grocery and sales Data'!$B$1:$B$991)</f>
        <v>Powdered Sugar</v>
      </c>
      <c r="C675" t="str">
        <f>_xlfn.XLOOKUP(A675,'Grocery and sales Data'!$A$1:$A$991,'Grocery and sales Data'!$C$1:$C$991)</f>
        <v>Grains &amp; Pulses</v>
      </c>
      <c r="D675" s="9">
        <f>_xlfn.XLOOKUP(A675,'Grocery and sales Data'!$A$1:$A$991,'Grocery and sales Data'!$I$1:$I$991)</f>
        <v>2.5</v>
      </c>
      <c r="E675">
        <f>_xlfn.XLOOKUP(A675,'Grocery and sales Data'!$A$1:$A$991,'Grocery and sales Data'!$R$1:$R$991)</f>
        <v>242.5</v>
      </c>
      <c r="F675" t="str">
        <f t="shared" si="10"/>
        <v>Medium</v>
      </c>
    </row>
    <row r="676" spans="1:6" ht="16" x14ac:dyDescent="0.4">
      <c r="A676" s="2" t="s">
        <v>2483</v>
      </c>
      <c r="B676" t="str">
        <f>_xlfn.XLOOKUP(A676,'Grocery and sales Data'!$A$1:$A$991,'Grocery and sales Data'!$B$1:$B$991)</f>
        <v>Milk</v>
      </c>
      <c r="C676" t="str">
        <f>_xlfn.XLOOKUP(A676,'Grocery and sales Data'!$A$1:$A$991,'Grocery and sales Data'!$C$1:$C$991)</f>
        <v>Dairy</v>
      </c>
      <c r="D676" s="9">
        <f>_xlfn.XLOOKUP(A676,'Grocery and sales Data'!$A$1:$A$991,'Grocery and sales Data'!$I$1:$I$991)</f>
        <v>1</v>
      </c>
      <c r="E676">
        <f>_xlfn.XLOOKUP(A676,'Grocery and sales Data'!$A$1:$A$991,'Grocery and sales Data'!$R$1:$R$991)</f>
        <v>31</v>
      </c>
      <c r="F676" t="str">
        <f t="shared" si="10"/>
        <v>Low</v>
      </c>
    </row>
    <row r="677" spans="1:6" ht="16" x14ac:dyDescent="0.4">
      <c r="A677" s="2" t="s">
        <v>2486</v>
      </c>
      <c r="B677" t="str">
        <f>_xlfn.XLOOKUP(A677,'Grocery and sales Data'!$A$1:$A$991,'Grocery and sales Data'!$B$1:$B$991)</f>
        <v>Mango</v>
      </c>
      <c r="C677" t="str">
        <f>_xlfn.XLOOKUP(A677,'Grocery and sales Data'!$A$1:$A$991,'Grocery and sales Data'!$C$1:$C$991)</f>
        <v>Fruits &amp; Vegetables</v>
      </c>
      <c r="D677" s="9">
        <f>_xlfn.XLOOKUP(A677,'Grocery and sales Data'!$A$1:$A$991,'Grocery and sales Data'!$I$1:$I$991)</f>
        <v>5.2</v>
      </c>
      <c r="E677">
        <f>_xlfn.XLOOKUP(A677,'Grocery and sales Data'!$A$1:$A$991,'Grocery and sales Data'!$R$1:$R$991)</f>
        <v>384.8</v>
      </c>
      <c r="F677" t="str">
        <f t="shared" si="10"/>
        <v>Medium</v>
      </c>
    </row>
    <row r="678" spans="1:6" ht="16" x14ac:dyDescent="0.4">
      <c r="A678" s="2" t="s">
        <v>2489</v>
      </c>
      <c r="B678" t="str">
        <f>_xlfn.XLOOKUP(A678,'Grocery and sales Data'!$A$1:$A$991,'Grocery and sales Data'!$B$1:$B$991)</f>
        <v>Oatmeal Biscuit</v>
      </c>
      <c r="C678" t="str">
        <f>_xlfn.XLOOKUP(A678,'Grocery and sales Data'!$A$1:$A$991,'Grocery and sales Data'!$C$1:$C$991)</f>
        <v>Bakery</v>
      </c>
      <c r="D678" s="9">
        <f>_xlfn.XLOOKUP(A678,'Grocery and sales Data'!$A$1:$A$991,'Grocery and sales Data'!$I$1:$I$991)</f>
        <v>5</v>
      </c>
      <c r="E678">
        <f>_xlfn.XLOOKUP(A678,'Grocery and sales Data'!$A$1:$A$991,'Grocery and sales Data'!$R$1:$R$991)</f>
        <v>140</v>
      </c>
      <c r="F678" t="str">
        <f t="shared" si="10"/>
        <v>Medium</v>
      </c>
    </row>
    <row r="679" spans="1:6" ht="16" x14ac:dyDescent="0.4">
      <c r="A679" s="2" t="s">
        <v>2492</v>
      </c>
      <c r="B679" t="str">
        <f>_xlfn.XLOOKUP(A679,'Grocery and sales Data'!$A$1:$A$991,'Grocery and sales Data'!$B$1:$B$991)</f>
        <v>Spinach</v>
      </c>
      <c r="C679" t="str">
        <f>_xlfn.XLOOKUP(A679,'Grocery and sales Data'!$A$1:$A$991,'Grocery and sales Data'!$C$1:$C$991)</f>
        <v>Fruits &amp; Vegetables</v>
      </c>
      <c r="D679" s="9">
        <f>_xlfn.XLOOKUP(A679,'Grocery and sales Data'!$A$1:$A$991,'Grocery and sales Data'!$I$1:$I$991)</f>
        <v>2.5</v>
      </c>
      <c r="E679">
        <f>_xlfn.XLOOKUP(A679,'Grocery and sales Data'!$A$1:$A$991,'Grocery and sales Data'!$R$1:$R$991)</f>
        <v>237.5</v>
      </c>
      <c r="F679" t="str">
        <f t="shared" si="10"/>
        <v>Medium</v>
      </c>
    </row>
    <row r="680" spans="1:6" ht="16" x14ac:dyDescent="0.4">
      <c r="A680" s="2" t="s">
        <v>2495</v>
      </c>
      <c r="B680" t="str">
        <f>_xlfn.XLOOKUP(A680,'Grocery and sales Data'!$A$1:$A$991,'Grocery and sales Data'!$B$1:$B$991)</f>
        <v>Blueberries</v>
      </c>
      <c r="C680" t="str">
        <f>_xlfn.XLOOKUP(A680,'Grocery and sales Data'!$A$1:$A$991,'Grocery and sales Data'!$C$1:$C$991)</f>
        <v>Fruits &amp; Vegetables</v>
      </c>
      <c r="D680" s="9">
        <f>_xlfn.XLOOKUP(A680,'Grocery and sales Data'!$A$1:$A$991,'Grocery and sales Data'!$I$1:$I$991)</f>
        <v>10</v>
      </c>
      <c r="E680">
        <f>_xlfn.XLOOKUP(A680,'Grocery and sales Data'!$A$1:$A$991,'Grocery and sales Data'!$R$1:$R$991)</f>
        <v>550</v>
      </c>
      <c r="F680" t="str">
        <f t="shared" si="10"/>
        <v>Medium</v>
      </c>
    </row>
    <row r="681" spans="1:6" ht="16" x14ac:dyDescent="0.4">
      <c r="A681" s="2" t="s">
        <v>2498</v>
      </c>
      <c r="B681" t="str">
        <f>_xlfn.XLOOKUP(A681,'Grocery and sales Data'!$A$1:$A$991,'Grocery and sales Data'!$B$1:$B$991)</f>
        <v>Robusta Coffee</v>
      </c>
      <c r="C681" t="str">
        <f>_xlfn.XLOOKUP(A681,'Grocery and sales Data'!$A$1:$A$991,'Grocery and sales Data'!$C$1:$C$991)</f>
        <v>Beverages</v>
      </c>
      <c r="D681" s="9">
        <f>_xlfn.XLOOKUP(A681,'Grocery and sales Data'!$A$1:$A$991,'Grocery and sales Data'!$I$1:$I$991)</f>
        <v>10</v>
      </c>
      <c r="E681">
        <f>_xlfn.XLOOKUP(A681,'Grocery and sales Data'!$A$1:$A$991,'Grocery and sales Data'!$R$1:$R$991)</f>
        <v>480</v>
      </c>
      <c r="F681" t="str">
        <f t="shared" si="10"/>
        <v>Medium</v>
      </c>
    </row>
    <row r="682" spans="1:6" ht="16" x14ac:dyDescent="0.4">
      <c r="A682" s="2" t="s">
        <v>2501</v>
      </c>
      <c r="B682" t="str">
        <f>_xlfn.XLOOKUP(A682,'Grocery and sales Data'!$A$1:$A$991,'Grocery and sales Data'!$B$1:$B$991)</f>
        <v>Watermelon</v>
      </c>
      <c r="C682" t="str">
        <f>_xlfn.XLOOKUP(A682,'Grocery and sales Data'!$A$1:$A$991,'Grocery and sales Data'!$C$1:$C$991)</f>
        <v>Fruits &amp; Vegetables</v>
      </c>
      <c r="D682" s="9">
        <f>_xlfn.XLOOKUP(A682,'Grocery and sales Data'!$A$1:$A$991,'Grocery and sales Data'!$I$1:$I$991)</f>
        <v>3</v>
      </c>
      <c r="E682">
        <f>_xlfn.XLOOKUP(A682,'Grocery and sales Data'!$A$1:$A$991,'Grocery and sales Data'!$R$1:$R$991)</f>
        <v>300</v>
      </c>
      <c r="F682" t="str">
        <f t="shared" si="10"/>
        <v>Medium</v>
      </c>
    </row>
    <row r="683" spans="1:6" ht="16" x14ac:dyDescent="0.4">
      <c r="A683" s="2" t="s">
        <v>2504</v>
      </c>
      <c r="B683" t="str">
        <f>_xlfn.XLOOKUP(A683,'Grocery and sales Data'!$A$1:$A$991,'Grocery and sales Data'!$B$1:$B$991)</f>
        <v>Pomegranate</v>
      </c>
      <c r="C683" t="str">
        <f>_xlfn.XLOOKUP(A683,'Grocery and sales Data'!$A$1:$A$991,'Grocery and sales Data'!$C$1:$C$991)</f>
        <v>Fruits &amp; Vegetables</v>
      </c>
      <c r="D683" s="9">
        <f>_xlfn.XLOOKUP(A683,'Grocery and sales Data'!$A$1:$A$991,'Grocery and sales Data'!$I$1:$I$991)</f>
        <v>6</v>
      </c>
      <c r="E683">
        <f>_xlfn.XLOOKUP(A683,'Grocery and sales Data'!$A$1:$A$991,'Grocery and sales Data'!$R$1:$R$991)</f>
        <v>564</v>
      </c>
      <c r="F683" t="str">
        <f t="shared" si="10"/>
        <v>Medium</v>
      </c>
    </row>
    <row r="684" spans="1:6" ht="16" x14ac:dyDescent="0.4">
      <c r="A684" s="2" t="s">
        <v>2507</v>
      </c>
      <c r="B684" t="str">
        <f>_xlfn.XLOOKUP(A684,'Grocery and sales Data'!$A$1:$A$991,'Grocery and sales Data'!$B$1:$B$991)</f>
        <v>White Bread</v>
      </c>
      <c r="C684" t="str">
        <f>_xlfn.XLOOKUP(A684,'Grocery and sales Data'!$A$1:$A$991,'Grocery and sales Data'!$C$1:$C$991)</f>
        <v>Bakery</v>
      </c>
      <c r="D684" s="9">
        <f>_xlfn.XLOOKUP(A684,'Grocery and sales Data'!$A$1:$A$991,'Grocery and sales Data'!$I$1:$I$991)</f>
        <v>2.5</v>
      </c>
      <c r="E684">
        <f>_xlfn.XLOOKUP(A684,'Grocery and sales Data'!$A$1:$A$991,'Grocery and sales Data'!$R$1:$R$991)</f>
        <v>127.5</v>
      </c>
      <c r="F684" t="str">
        <f t="shared" si="10"/>
        <v>Medium</v>
      </c>
    </row>
    <row r="685" spans="1:6" ht="16" x14ac:dyDescent="0.4">
      <c r="A685" s="2" t="s">
        <v>2510</v>
      </c>
      <c r="B685" t="str">
        <f>_xlfn.XLOOKUP(A685,'Grocery and sales Data'!$A$1:$A$991,'Grocery and sales Data'!$B$1:$B$991)</f>
        <v>Carrot</v>
      </c>
      <c r="C685" t="str">
        <f>_xlfn.XLOOKUP(A685,'Grocery and sales Data'!$A$1:$A$991,'Grocery and sales Data'!$C$1:$C$991)</f>
        <v>Fruits &amp; Vegetables</v>
      </c>
      <c r="D685" s="9">
        <f>_xlfn.XLOOKUP(A685,'Grocery and sales Data'!$A$1:$A$991,'Grocery and sales Data'!$I$1:$I$991)</f>
        <v>1.5</v>
      </c>
      <c r="E685">
        <f>_xlfn.XLOOKUP(A685,'Grocery and sales Data'!$A$1:$A$991,'Grocery and sales Data'!$R$1:$R$991)</f>
        <v>121.5</v>
      </c>
      <c r="F685" t="str">
        <f t="shared" si="10"/>
        <v>Medium</v>
      </c>
    </row>
    <row r="686" spans="1:6" ht="16" x14ac:dyDescent="0.4">
      <c r="A686" s="2" t="s">
        <v>2513</v>
      </c>
      <c r="B686" t="str">
        <f>_xlfn.XLOOKUP(A686,'Grocery and sales Data'!$A$1:$A$991,'Grocery and sales Data'!$B$1:$B$991)</f>
        <v>Brown Rice</v>
      </c>
      <c r="C686" t="str">
        <f>_xlfn.XLOOKUP(A686,'Grocery and sales Data'!$A$1:$A$991,'Grocery and sales Data'!$C$1:$C$991)</f>
        <v>Grains &amp; Pulses</v>
      </c>
      <c r="D686" s="9">
        <f>_xlfn.XLOOKUP(A686,'Grocery and sales Data'!$A$1:$A$991,'Grocery and sales Data'!$I$1:$I$991)</f>
        <v>2.5</v>
      </c>
      <c r="E686">
        <f>_xlfn.XLOOKUP(A686,'Grocery and sales Data'!$A$1:$A$991,'Grocery and sales Data'!$R$1:$R$991)</f>
        <v>192.5</v>
      </c>
      <c r="F686" t="str">
        <f t="shared" si="10"/>
        <v>Medium</v>
      </c>
    </row>
    <row r="687" spans="1:6" ht="16" x14ac:dyDescent="0.4">
      <c r="A687" s="2" t="s">
        <v>2516</v>
      </c>
      <c r="B687" t="str">
        <f>_xlfn.XLOOKUP(A687,'Grocery and sales Data'!$A$1:$A$991,'Grocery and sales Data'!$B$1:$B$991)</f>
        <v>Cabbage</v>
      </c>
      <c r="C687" t="str">
        <f>_xlfn.XLOOKUP(A687,'Grocery and sales Data'!$A$1:$A$991,'Grocery and sales Data'!$C$1:$C$991)</f>
        <v>Fruits &amp; Vegetables</v>
      </c>
      <c r="D687" s="9">
        <f>_xlfn.XLOOKUP(A687,'Grocery and sales Data'!$A$1:$A$991,'Grocery and sales Data'!$I$1:$I$991)</f>
        <v>66.55</v>
      </c>
      <c r="E687">
        <f>_xlfn.XLOOKUP(A687,'Grocery and sales Data'!$A$1:$A$991,'Grocery and sales Data'!$R$1:$R$991)</f>
        <v>2395.7999999999997</v>
      </c>
      <c r="F687" t="str">
        <f t="shared" si="10"/>
        <v>High</v>
      </c>
    </row>
    <row r="688" spans="1:6" ht="16" x14ac:dyDescent="0.4">
      <c r="A688" s="2" t="s">
        <v>2519</v>
      </c>
      <c r="B688" t="str">
        <f>_xlfn.XLOOKUP(A688,'Grocery and sales Data'!$A$1:$A$991,'Grocery and sales Data'!$B$1:$B$991)</f>
        <v>Egg (Goose)</v>
      </c>
      <c r="C688" t="str">
        <f>_xlfn.XLOOKUP(A688,'Grocery and sales Data'!$A$1:$A$991,'Grocery and sales Data'!$C$1:$C$991)</f>
        <v>Dairy</v>
      </c>
      <c r="D688" s="9">
        <f>_xlfn.XLOOKUP(A688,'Grocery and sales Data'!$A$1:$A$991,'Grocery and sales Data'!$I$1:$I$991)</f>
        <v>2.5</v>
      </c>
      <c r="E688">
        <f>_xlfn.XLOOKUP(A688,'Grocery and sales Data'!$A$1:$A$991,'Grocery and sales Data'!$R$1:$R$991)</f>
        <v>192.5</v>
      </c>
      <c r="F688" t="str">
        <f t="shared" si="10"/>
        <v>Medium</v>
      </c>
    </row>
    <row r="689" spans="1:6" ht="16" x14ac:dyDescent="0.4">
      <c r="A689" s="2" t="s">
        <v>2523</v>
      </c>
      <c r="B689" t="str">
        <f>_xlfn.XLOOKUP(A689,'Grocery and sales Data'!$A$1:$A$991,'Grocery and sales Data'!$B$1:$B$991)</f>
        <v>Sour Cream</v>
      </c>
      <c r="C689" t="str">
        <f>_xlfn.XLOOKUP(A689,'Grocery and sales Data'!$A$1:$A$991,'Grocery and sales Data'!$C$1:$C$991)</f>
        <v>Dairy</v>
      </c>
      <c r="D689" s="9">
        <f>_xlfn.XLOOKUP(A689,'Grocery and sales Data'!$A$1:$A$991,'Grocery and sales Data'!$I$1:$I$991)</f>
        <v>4.0999999999999996</v>
      </c>
      <c r="E689">
        <f>_xlfn.XLOOKUP(A689,'Grocery and sales Data'!$A$1:$A$991,'Grocery and sales Data'!$R$1:$R$991)</f>
        <v>184.49999999999997</v>
      </c>
      <c r="F689" t="str">
        <f t="shared" si="10"/>
        <v>Medium</v>
      </c>
    </row>
    <row r="690" spans="1:6" ht="16" x14ac:dyDescent="0.4">
      <c r="A690" s="2" t="s">
        <v>2527</v>
      </c>
      <c r="B690" t="str">
        <f>_xlfn.XLOOKUP(A690,'Grocery and sales Data'!$A$1:$A$991,'Grocery and sales Data'!$B$1:$B$991)</f>
        <v>Almond Flour</v>
      </c>
      <c r="C690" t="str">
        <f>_xlfn.XLOOKUP(A690,'Grocery and sales Data'!$A$1:$A$991,'Grocery and sales Data'!$C$1:$C$991)</f>
        <v>Grains &amp; Pulses</v>
      </c>
      <c r="D690" s="9">
        <f>_xlfn.XLOOKUP(A690,'Grocery and sales Data'!$A$1:$A$991,'Grocery and sales Data'!$I$1:$I$991)</f>
        <v>9.5</v>
      </c>
      <c r="E690">
        <f>_xlfn.XLOOKUP(A690,'Grocery and sales Data'!$A$1:$A$991,'Grocery and sales Data'!$R$1:$R$991)</f>
        <v>788.5</v>
      </c>
      <c r="F690" t="str">
        <f t="shared" si="10"/>
        <v>Medium</v>
      </c>
    </row>
    <row r="691" spans="1:6" ht="16" x14ac:dyDescent="0.4">
      <c r="A691" s="2" t="s">
        <v>2531</v>
      </c>
      <c r="B691" t="str">
        <f>_xlfn.XLOOKUP(A691,'Grocery and sales Data'!$A$1:$A$991,'Grocery and sales Data'!$B$1:$B$991)</f>
        <v>Broccoli</v>
      </c>
      <c r="C691" t="str">
        <f>_xlfn.XLOOKUP(A691,'Grocery and sales Data'!$A$1:$A$991,'Grocery and sales Data'!$C$1:$C$991)</f>
        <v>Fruits &amp; Vegetables</v>
      </c>
      <c r="D691" s="9">
        <f>_xlfn.XLOOKUP(A691,'Grocery and sales Data'!$A$1:$A$991,'Grocery and sales Data'!$I$1:$I$991)</f>
        <v>4</v>
      </c>
      <c r="E691">
        <f>_xlfn.XLOOKUP(A691,'Grocery and sales Data'!$A$1:$A$991,'Grocery and sales Data'!$R$1:$R$991)</f>
        <v>304</v>
      </c>
      <c r="F691" t="str">
        <f t="shared" si="10"/>
        <v>Medium</v>
      </c>
    </row>
    <row r="692" spans="1:6" ht="16" x14ac:dyDescent="0.4">
      <c r="A692" s="2" t="s">
        <v>2534</v>
      </c>
      <c r="B692" t="str">
        <f>_xlfn.XLOOKUP(A692,'Grocery and sales Data'!$A$1:$A$991,'Grocery and sales Data'!$B$1:$B$991)</f>
        <v>Jasmine Rice</v>
      </c>
      <c r="C692" t="str">
        <f>_xlfn.XLOOKUP(A692,'Grocery and sales Data'!$A$1:$A$991,'Grocery and sales Data'!$C$1:$C$991)</f>
        <v>Grains &amp; Pulses</v>
      </c>
      <c r="D692" s="9">
        <f>_xlfn.XLOOKUP(A692,'Grocery and sales Data'!$A$1:$A$991,'Grocery and sales Data'!$I$1:$I$991)</f>
        <v>4.75</v>
      </c>
      <c r="E692">
        <f>_xlfn.XLOOKUP(A692,'Grocery and sales Data'!$A$1:$A$991,'Grocery and sales Data'!$R$1:$R$991)</f>
        <v>370.5</v>
      </c>
      <c r="F692" t="str">
        <f t="shared" si="10"/>
        <v>Medium</v>
      </c>
    </row>
    <row r="693" spans="1:6" ht="16" x14ac:dyDescent="0.4">
      <c r="A693" s="2" t="s">
        <v>2537</v>
      </c>
      <c r="B693" t="str">
        <f>_xlfn.XLOOKUP(A693,'Grocery and sales Data'!$A$1:$A$991,'Grocery and sales Data'!$B$1:$B$991)</f>
        <v>Gouda Cheese</v>
      </c>
      <c r="C693" t="str">
        <f>_xlfn.XLOOKUP(A693,'Grocery and sales Data'!$A$1:$A$991,'Grocery and sales Data'!$C$1:$C$991)</f>
        <v>Dairy</v>
      </c>
      <c r="D693" s="9">
        <f>_xlfn.XLOOKUP(A693,'Grocery and sales Data'!$A$1:$A$991,'Grocery and sales Data'!$I$1:$I$991)</f>
        <v>7</v>
      </c>
      <c r="E693">
        <f>_xlfn.XLOOKUP(A693,'Grocery and sales Data'!$A$1:$A$991,'Grocery and sales Data'!$R$1:$R$991)</f>
        <v>602</v>
      </c>
      <c r="F693" t="str">
        <f t="shared" si="10"/>
        <v>Medium</v>
      </c>
    </row>
    <row r="694" spans="1:6" ht="16" x14ac:dyDescent="0.4">
      <c r="A694" s="2" t="s">
        <v>2540</v>
      </c>
      <c r="B694" t="str">
        <f>_xlfn.XLOOKUP(A694,'Grocery and sales Data'!$A$1:$A$991,'Grocery and sales Data'!$B$1:$B$991)</f>
        <v>Tilapia</v>
      </c>
      <c r="C694" t="str">
        <f>_xlfn.XLOOKUP(A694,'Grocery and sales Data'!$A$1:$A$991,'Grocery and sales Data'!$C$1:$C$991)</f>
        <v>Seafood</v>
      </c>
      <c r="D694" s="9">
        <f>_xlfn.XLOOKUP(A694,'Grocery and sales Data'!$A$1:$A$991,'Grocery and sales Data'!$I$1:$I$991)</f>
        <v>7</v>
      </c>
      <c r="E694">
        <f>_xlfn.XLOOKUP(A694,'Grocery and sales Data'!$A$1:$A$991,'Grocery and sales Data'!$R$1:$R$991)</f>
        <v>434</v>
      </c>
      <c r="F694" t="str">
        <f t="shared" si="10"/>
        <v>Medium</v>
      </c>
    </row>
    <row r="695" spans="1:6" ht="16" x14ac:dyDescent="0.4">
      <c r="A695" s="2" t="s">
        <v>2543</v>
      </c>
      <c r="B695" t="str">
        <f>_xlfn.XLOOKUP(A695,'Grocery and sales Data'!$A$1:$A$991,'Grocery and sales Data'!$B$1:$B$991)</f>
        <v>Palm Oil</v>
      </c>
      <c r="C695" t="str">
        <f>_xlfn.XLOOKUP(A695,'Grocery and sales Data'!$A$1:$A$991,'Grocery and sales Data'!$C$1:$C$991)</f>
        <v>Oils &amp; Fats</v>
      </c>
      <c r="D695" s="9">
        <f>_xlfn.XLOOKUP(A695,'Grocery and sales Data'!$A$1:$A$991,'Grocery and sales Data'!$I$1:$I$991)</f>
        <v>1.8</v>
      </c>
      <c r="E695">
        <f>_xlfn.XLOOKUP(A695,'Grocery and sales Data'!$A$1:$A$991,'Grocery and sales Data'!$R$1:$R$991)</f>
        <v>140.4</v>
      </c>
      <c r="F695" t="str">
        <f t="shared" si="10"/>
        <v>Medium</v>
      </c>
    </row>
    <row r="696" spans="1:6" ht="16" x14ac:dyDescent="0.4">
      <c r="A696" s="2" t="s">
        <v>2546</v>
      </c>
      <c r="B696" t="str">
        <f>_xlfn.XLOOKUP(A696,'Grocery and sales Data'!$A$1:$A$991,'Grocery and sales Data'!$B$1:$B$991)</f>
        <v>Arborio Rice</v>
      </c>
      <c r="C696" t="str">
        <f>_xlfn.XLOOKUP(A696,'Grocery and sales Data'!$A$1:$A$991,'Grocery and sales Data'!$C$1:$C$991)</f>
        <v>Grains &amp; Pulses</v>
      </c>
      <c r="D696" s="9">
        <f>_xlfn.XLOOKUP(A696,'Grocery and sales Data'!$A$1:$A$991,'Grocery and sales Data'!$I$1:$I$991)</f>
        <v>4.5</v>
      </c>
      <c r="E696">
        <f>_xlfn.XLOOKUP(A696,'Grocery and sales Data'!$A$1:$A$991,'Grocery and sales Data'!$R$1:$R$991)</f>
        <v>328.5</v>
      </c>
      <c r="F696" t="str">
        <f t="shared" si="10"/>
        <v>Medium</v>
      </c>
    </row>
    <row r="697" spans="1:6" ht="16" x14ac:dyDescent="0.4">
      <c r="A697" s="2" t="s">
        <v>2550</v>
      </c>
      <c r="B697" t="str">
        <f>_xlfn.XLOOKUP(A697,'Grocery and sales Data'!$A$1:$A$991,'Grocery and sales Data'!$B$1:$B$991)</f>
        <v>White Sugar</v>
      </c>
      <c r="C697" t="str">
        <f>_xlfn.XLOOKUP(A697,'Grocery and sales Data'!$A$1:$A$991,'Grocery and sales Data'!$C$1:$C$991)</f>
        <v>Grains &amp; Pulses</v>
      </c>
      <c r="D697" s="9">
        <f>_xlfn.XLOOKUP(A697,'Grocery and sales Data'!$A$1:$A$991,'Grocery and sales Data'!$I$1:$I$991)</f>
        <v>2</v>
      </c>
      <c r="E697">
        <f>_xlfn.XLOOKUP(A697,'Grocery and sales Data'!$A$1:$A$991,'Grocery and sales Data'!$R$1:$R$991)</f>
        <v>160</v>
      </c>
      <c r="F697" t="str">
        <f t="shared" si="10"/>
        <v>Medium</v>
      </c>
    </row>
    <row r="698" spans="1:6" ht="16" x14ac:dyDescent="0.4">
      <c r="A698" s="2" t="s">
        <v>2553</v>
      </c>
      <c r="B698" t="str">
        <f>_xlfn.XLOOKUP(A698,'Grocery and sales Data'!$A$1:$A$991,'Grocery and sales Data'!$B$1:$B$991)</f>
        <v>Sesame Oil</v>
      </c>
      <c r="C698" t="str">
        <f>_xlfn.XLOOKUP(A698,'Grocery and sales Data'!$A$1:$A$991,'Grocery and sales Data'!$C$1:$C$991)</f>
        <v>Oils &amp; Fats</v>
      </c>
      <c r="D698" s="9">
        <f>_xlfn.XLOOKUP(A698,'Grocery and sales Data'!$A$1:$A$991,'Grocery and sales Data'!$I$1:$I$991)</f>
        <v>6.5</v>
      </c>
      <c r="E698">
        <f>_xlfn.XLOOKUP(A698,'Grocery and sales Data'!$A$1:$A$991,'Grocery and sales Data'!$R$1:$R$991)</f>
        <v>507</v>
      </c>
      <c r="F698" t="str">
        <f t="shared" si="10"/>
        <v>Medium</v>
      </c>
    </row>
    <row r="699" spans="1:6" ht="16" x14ac:dyDescent="0.4">
      <c r="A699" s="2" t="s">
        <v>2557</v>
      </c>
      <c r="B699" t="str">
        <f>_xlfn.XLOOKUP(A699,'Grocery and sales Data'!$A$1:$A$991,'Grocery and sales Data'!$B$1:$B$991)</f>
        <v>Sunflower Oil</v>
      </c>
      <c r="C699" t="str">
        <f>_xlfn.XLOOKUP(A699,'Grocery and sales Data'!$A$1:$A$991,'Grocery and sales Data'!$C$1:$C$991)</f>
        <v>Oils &amp; Fats</v>
      </c>
      <c r="D699" s="9">
        <f>_xlfn.XLOOKUP(A699,'Grocery and sales Data'!$A$1:$A$991,'Grocery and sales Data'!$I$1:$I$991)</f>
        <v>2.5</v>
      </c>
      <c r="E699">
        <f>_xlfn.XLOOKUP(A699,'Grocery and sales Data'!$A$1:$A$991,'Grocery and sales Data'!$R$1:$R$991)</f>
        <v>227.5</v>
      </c>
      <c r="F699" t="str">
        <f t="shared" si="10"/>
        <v>Medium</v>
      </c>
    </row>
    <row r="700" spans="1:6" ht="16" x14ac:dyDescent="0.4">
      <c r="A700" s="2" t="s">
        <v>2560</v>
      </c>
      <c r="B700" t="str">
        <f>_xlfn.XLOOKUP(A700,'Grocery and sales Data'!$A$1:$A$991,'Grocery and sales Data'!$B$1:$B$991)</f>
        <v>Bell Pepper</v>
      </c>
      <c r="C700" t="str">
        <f>_xlfn.XLOOKUP(A700,'Grocery and sales Data'!$A$1:$A$991,'Grocery and sales Data'!$C$1:$C$991)</f>
        <v>Fruits &amp; Vegetables</v>
      </c>
      <c r="D700" s="9">
        <f>_xlfn.XLOOKUP(A700,'Grocery and sales Data'!$A$1:$A$991,'Grocery and sales Data'!$I$1:$I$991)</f>
        <v>4.5</v>
      </c>
      <c r="E700">
        <f>_xlfn.XLOOKUP(A700,'Grocery and sales Data'!$A$1:$A$991,'Grocery and sales Data'!$R$1:$R$991)</f>
        <v>207</v>
      </c>
      <c r="F700" t="str">
        <f t="shared" si="10"/>
        <v>Medium</v>
      </c>
    </row>
    <row r="701" spans="1:6" ht="16" x14ac:dyDescent="0.4">
      <c r="A701" s="2" t="s">
        <v>2563</v>
      </c>
      <c r="B701" t="str">
        <f>_xlfn.XLOOKUP(A701,'Grocery and sales Data'!$A$1:$A$991,'Grocery and sales Data'!$B$1:$B$991)</f>
        <v>Greek Yogurt</v>
      </c>
      <c r="C701" t="str">
        <f>_xlfn.XLOOKUP(A701,'Grocery and sales Data'!$A$1:$A$991,'Grocery and sales Data'!$C$1:$C$991)</f>
        <v>Fruits &amp; Vegetables</v>
      </c>
      <c r="D701" s="9">
        <f>_xlfn.XLOOKUP(A701,'Grocery and sales Data'!$A$1:$A$991,'Grocery and sales Data'!$I$1:$I$991)</f>
        <v>42.58</v>
      </c>
      <c r="E701">
        <f>_xlfn.XLOOKUP(A701,'Grocery and sales Data'!$A$1:$A$991,'Grocery and sales Data'!$R$1:$R$991)</f>
        <v>2043.84</v>
      </c>
      <c r="F701" t="str">
        <f t="shared" si="10"/>
        <v>High</v>
      </c>
    </row>
    <row r="702" spans="1:6" ht="16" x14ac:dyDescent="0.4">
      <c r="A702" s="2" t="s">
        <v>2567</v>
      </c>
      <c r="B702" t="str">
        <f>_xlfn.XLOOKUP(A702,'Grocery and sales Data'!$A$1:$A$991,'Grocery and sales Data'!$B$1:$B$991)</f>
        <v>White Bread</v>
      </c>
      <c r="C702" t="str">
        <f>_xlfn.XLOOKUP(A702,'Grocery and sales Data'!$A$1:$A$991,'Grocery and sales Data'!$C$1:$C$991)</f>
        <v>Bakery</v>
      </c>
      <c r="D702" s="9">
        <f>_xlfn.XLOOKUP(A702,'Grocery and sales Data'!$A$1:$A$991,'Grocery and sales Data'!$I$1:$I$991)</f>
        <v>2.5</v>
      </c>
      <c r="E702">
        <f>_xlfn.XLOOKUP(A702,'Grocery and sales Data'!$A$1:$A$991,'Grocery and sales Data'!$R$1:$R$991)</f>
        <v>105</v>
      </c>
      <c r="F702" t="str">
        <f t="shared" si="10"/>
        <v>Medium</v>
      </c>
    </row>
    <row r="703" spans="1:6" ht="16" x14ac:dyDescent="0.4">
      <c r="A703" s="2" t="s">
        <v>2570</v>
      </c>
      <c r="B703" t="str">
        <f>_xlfn.XLOOKUP(A703,'Grocery and sales Data'!$A$1:$A$991,'Grocery and sales Data'!$B$1:$B$991)</f>
        <v>Egg (Goose)</v>
      </c>
      <c r="C703" t="str">
        <f>_xlfn.XLOOKUP(A703,'Grocery and sales Data'!$A$1:$A$991,'Grocery and sales Data'!$C$1:$C$991)</f>
        <v>Dairy</v>
      </c>
      <c r="D703" s="9">
        <f>_xlfn.XLOOKUP(A703,'Grocery and sales Data'!$A$1:$A$991,'Grocery and sales Data'!$I$1:$I$991)</f>
        <v>2.5</v>
      </c>
      <c r="E703">
        <f>_xlfn.XLOOKUP(A703,'Grocery and sales Data'!$A$1:$A$991,'Grocery and sales Data'!$R$1:$R$991)</f>
        <v>165</v>
      </c>
      <c r="F703" t="str">
        <f t="shared" si="10"/>
        <v>Medium</v>
      </c>
    </row>
    <row r="704" spans="1:6" ht="16" x14ac:dyDescent="0.4">
      <c r="A704" s="2" t="s">
        <v>2573</v>
      </c>
      <c r="B704" t="str">
        <f>_xlfn.XLOOKUP(A704,'Grocery and sales Data'!$A$1:$A$991,'Grocery and sales Data'!$B$1:$B$991)</f>
        <v>Lime</v>
      </c>
      <c r="C704" t="str">
        <f>_xlfn.XLOOKUP(A704,'Grocery and sales Data'!$A$1:$A$991,'Grocery and sales Data'!$C$1:$C$991)</f>
        <v>Fruits &amp; Vegetables</v>
      </c>
      <c r="D704" s="9">
        <f>_xlfn.XLOOKUP(A704,'Grocery and sales Data'!$A$1:$A$991,'Grocery and sales Data'!$I$1:$I$991)</f>
        <v>2</v>
      </c>
      <c r="E704">
        <f>_xlfn.XLOOKUP(A704,'Grocery and sales Data'!$A$1:$A$991,'Grocery and sales Data'!$R$1:$R$991)</f>
        <v>108</v>
      </c>
      <c r="F704" t="str">
        <f t="shared" si="10"/>
        <v>Medium</v>
      </c>
    </row>
    <row r="705" spans="1:6" ht="16" x14ac:dyDescent="0.4">
      <c r="A705" s="2" t="s">
        <v>2577</v>
      </c>
      <c r="B705" t="str">
        <f>_xlfn.XLOOKUP(A705,'Grocery and sales Data'!$A$1:$A$991,'Grocery and sales Data'!$B$1:$B$991)</f>
        <v>Egg (Chicken)</v>
      </c>
      <c r="C705" t="str">
        <f>_xlfn.XLOOKUP(A705,'Grocery and sales Data'!$A$1:$A$991,'Grocery and sales Data'!$C$1:$C$991)</f>
        <v>Dairy</v>
      </c>
      <c r="D705" s="9">
        <f>_xlfn.XLOOKUP(A705,'Grocery and sales Data'!$A$1:$A$991,'Grocery and sales Data'!$I$1:$I$991)</f>
        <v>0.2</v>
      </c>
      <c r="E705">
        <f>_xlfn.XLOOKUP(A705,'Grocery and sales Data'!$A$1:$A$991,'Grocery and sales Data'!$R$1:$R$991)</f>
        <v>12.4</v>
      </c>
      <c r="F705" t="str">
        <f t="shared" si="10"/>
        <v>Low</v>
      </c>
    </row>
    <row r="706" spans="1:6" ht="16" x14ac:dyDescent="0.4">
      <c r="A706" s="2" t="s">
        <v>2581</v>
      </c>
      <c r="B706" t="str">
        <f>_xlfn.XLOOKUP(A706,'Grocery and sales Data'!$A$1:$A$991,'Grocery and sales Data'!$B$1:$B$991)</f>
        <v>Vegetable Oil</v>
      </c>
      <c r="C706" t="str">
        <f>_xlfn.XLOOKUP(A706,'Grocery and sales Data'!$A$1:$A$991,'Grocery and sales Data'!$C$1:$C$991)</f>
        <v>Oils &amp; Fats</v>
      </c>
      <c r="D706" s="9">
        <f>_xlfn.XLOOKUP(A706,'Grocery and sales Data'!$A$1:$A$991,'Grocery and sales Data'!$I$1:$I$991)</f>
        <v>2</v>
      </c>
      <c r="E706">
        <f>_xlfn.XLOOKUP(A706,'Grocery and sales Data'!$A$1:$A$991,'Grocery and sales Data'!$R$1:$R$991)</f>
        <v>126</v>
      </c>
      <c r="F706" t="str">
        <f t="shared" si="10"/>
        <v>Medium</v>
      </c>
    </row>
    <row r="707" spans="1:6" ht="16" x14ac:dyDescent="0.4">
      <c r="A707" s="2" t="s">
        <v>2584</v>
      </c>
      <c r="B707" t="str">
        <f>_xlfn.XLOOKUP(A707,'Grocery and sales Data'!$A$1:$A$991,'Grocery and sales Data'!$B$1:$B$991)</f>
        <v>Jasmine Rice</v>
      </c>
      <c r="C707" t="str">
        <f>_xlfn.XLOOKUP(A707,'Grocery and sales Data'!$A$1:$A$991,'Grocery and sales Data'!$C$1:$C$991)</f>
        <v>Grains &amp; Pulses</v>
      </c>
      <c r="D707" s="9">
        <f>_xlfn.XLOOKUP(A707,'Grocery and sales Data'!$A$1:$A$991,'Grocery and sales Data'!$I$1:$I$991)</f>
        <v>4.75</v>
      </c>
      <c r="E707">
        <f>_xlfn.XLOOKUP(A707,'Grocery and sales Data'!$A$1:$A$991,'Grocery and sales Data'!$R$1:$R$991)</f>
        <v>356.25</v>
      </c>
      <c r="F707" t="str">
        <f t="shared" ref="F707:F770" si="11">IF(E707&gt;=1000,"High",IF(E707&gt;=100,"Medium","Low"))</f>
        <v>Medium</v>
      </c>
    </row>
    <row r="708" spans="1:6" ht="16" x14ac:dyDescent="0.4">
      <c r="A708" s="2" t="s">
        <v>2587</v>
      </c>
      <c r="B708" t="str">
        <f>_xlfn.XLOOKUP(A708,'Grocery and sales Data'!$A$1:$A$991,'Grocery and sales Data'!$B$1:$B$991)</f>
        <v>Robusta Coffee</v>
      </c>
      <c r="C708" t="str">
        <f>_xlfn.XLOOKUP(A708,'Grocery and sales Data'!$A$1:$A$991,'Grocery and sales Data'!$C$1:$C$991)</f>
        <v>Beverages</v>
      </c>
      <c r="D708" s="9">
        <f>_xlfn.XLOOKUP(A708,'Grocery and sales Data'!$A$1:$A$991,'Grocery and sales Data'!$I$1:$I$991)</f>
        <v>10</v>
      </c>
      <c r="E708">
        <f>_xlfn.XLOOKUP(A708,'Grocery and sales Data'!$A$1:$A$991,'Grocery and sales Data'!$R$1:$R$991)</f>
        <v>720</v>
      </c>
      <c r="F708" t="str">
        <f t="shared" si="11"/>
        <v>Medium</v>
      </c>
    </row>
    <row r="709" spans="1:6" ht="16" x14ac:dyDescent="0.4">
      <c r="A709" s="2" t="s">
        <v>2590</v>
      </c>
      <c r="B709" t="str">
        <f>_xlfn.XLOOKUP(A709,'Grocery and sales Data'!$A$1:$A$991,'Grocery and sales Data'!$B$1:$B$991)</f>
        <v>Mozzarella Cheese</v>
      </c>
      <c r="C709" t="str">
        <f>_xlfn.XLOOKUP(A709,'Grocery and sales Data'!$A$1:$A$991,'Grocery and sales Data'!$C$1:$C$991)</f>
        <v>Dairy</v>
      </c>
      <c r="D709" s="9">
        <f>_xlfn.XLOOKUP(A709,'Grocery and sales Data'!$A$1:$A$991,'Grocery and sales Data'!$I$1:$I$991)</f>
        <v>7.2</v>
      </c>
      <c r="E709">
        <f>_xlfn.XLOOKUP(A709,'Grocery and sales Data'!$A$1:$A$991,'Grocery and sales Data'!$R$1:$R$991)</f>
        <v>345.6</v>
      </c>
      <c r="F709" t="str">
        <f t="shared" si="11"/>
        <v>Medium</v>
      </c>
    </row>
    <row r="710" spans="1:6" ht="16" x14ac:dyDescent="0.4">
      <c r="A710" s="2" t="s">
        <v>2594</v>
      </c>
      <c r="B710" t="str">
        <f>_xlfn.XLOOKUP(A710,'Grocery and sales Data'!$A$1:$A$991,'Grocery and sales Data'!$B$1:$B$991)</f>
        <v>Whole Wheat Flour</v>
      </c>
      <c r="C710" t="str">
        <f>_xlfn.XLOOKUP(A710,'Grocery and sales Data'!$A$1:$A$991,'Grocery and sales Data'!$C$1:$C$991)</f>
        <v>Grains &amp; Pulses</v>
      </c>
      <c r="D710" s="9">
        <f>_xlfn.XLOOKUP(A710,'Grocery and sales Data'!$A$1:$A$991,'Grocery and sales Data'!$I$1:$I$991)</f>
        <v>2.75</v>
      </c>
      <c r="E710">
        <f>_xlfn.XLOOKUP(A710,'Grocery and sales Data'!$A$1:$A$991,'Grocery and sales Data'!$R$1:$R$991)</f>
        <v>71.5</v>
      </c>
      <c r="F710" t="str">
        <f t="shared" si="11"/>
        <v>Low</v>
      </c>
    </row>
    <row r="711" spans="1:6" ht="16" x14ac:dyDescent="0.4">
      <c r="A711" s="2" t="s">
        <v>2598</v>
      </c>
      <c r="B711" t="str">
        <f>_xlfn.XLOOKUP(A711,'Grocery and sales Data'!$A$1:$A$991,'Grocery and sales Data'!$B$1:$B$991)</f>
        <v>Salmon</v>
      </c>
      <c r="C711" t="str">
        <f>_xlfn.XLOOKUP(A711,'Grocery and sales Data'!$A$1:$A$991,'Grocery and sales Data'!$C$1:$C$991)</f>
        <v>Seafood</v>
      </c>
      <c r="D711" s="9">
        <f>_xlfn.XLOOKUP(A711,'Grocery and sales Data'!$A$1:$A$991,'Grocery and sales Data'!$I$1:$I$991)</f>
        <v>15</v>
      </c>
      <c r="E711">
        <f>_xlfn.XLOOKUP(A711,'Grocery and sales Data'!$A$1:$A$991,'Grocery and sales Data'!$R$1:$R$991)</f>
        <v>1335</v>
      </c>
      <c r="F711" t="str">
        <f t="shared" si="11"/>
        <v>High</v>
      </c>
    </row>
    <row r="712" spans="1:6" ht="16" x14ac:dyDescent="0.4">
      <c r="A712" s="2" t="s">
        <v>2602</v>
      </c>
      <c r="B712" t="str">
        <f>_xlfn.XLOOKUP(A712,'Grocery and sales Data'!$A$1:$A$991,'Grocery and sales Data'!$B$1:$B$991)</f>
        <v>White Tea</v>
      </c>
      <c r="C712" t="str">
        <f>_xlfn.XLOOKUP(A712,'Grocery and sales Data'!$A$1:$A$991,'Grocery and sales Data'!$C$1:$C$991)</f>
        <v>Beverages</v>
      </c>
      <c r="D712" s="9">
        <f>_xlfn.XLOOKUP(A712,'Grocery and sales Data'!$A$1:$A$991,'Grocery and sales Data'!$I$1:$I$991)</f>
        <v>25</v>
      </c>
      <c r="E712">
        <f>_xlfn.XLOOKUP(A712,'Grocery and sales Data'!$A$1:$A$991,'Grocery and sales Data'!$R$1:$R$991)</f>
        <v>1850</v>
      </c>
      <c r="F712" t="str">
        <f t="shared" si="11"/>
        <v>High</v>
      </c>
    </row>
    <row r="713" spans="1:6" ht="16" x14ac:dyDescent="0.4">
      <c r="A713" s="2" t="s">
        <v>2606</v>
      </c>
      <c r="B713" t="str">
        <f>_xlfn.XLOOKUP(A713,'Grocery and sales Data'!$A$1:$A$991,'Grocery and sales Data'!$B$1:$B$991)</f>
        <v>Onion</v>
      </c>
      <c r="C713" t="str">
        <f>_xlfn.XLOOKUP(A713,'Grocery and sales Data'!$A$1:$A$991,'Grocery and sales Data'!$C$1:$C$991)</f>
        <v>Fruits &amp; Vegetables</v>
      </c>
      <c r="D713" s="9">
        <f>_xlfn.XLOOKUP(A713,'Grocery and sales Data'!$A$1:$A$991,'Grocery and sales Data'!$I$1:$I$991)</f>
        <v>2</v>
      </c>
      <c r="E713">
        <f>_xlfn.XLOOKUP(A713,'Grocery and sales Data'!$A$1:$A$991,'Grocery and sales Data'!$R$1:$R$991)</f>
        <v>102</v>
      </c>
      <c r="F713" t="str">
        <f t="shared" si="11"/>
        <v>Medium</v>
      </c>
    </row>
    <row r="714" spans="1:6" ht="16" x14ac:dyDescent="0.4">
      <c r="A714" s="2" t="s">
        <v>2609</v>
      </c>
      <c r="B714" t="str">
        <f>_xlfn.XLOOKUP(A714,'Grocery and sales Data'!$A$1:$A$991,'Grocery and sales Data'!$B$1:$B$991)</f>
        <v>Black Coffee</v>
      </c>
      <c r="C714" t="str">
        <f>_xlfn.XLOOKUP(A714,'Grocery and sales Data'!$A$1:$A$991,'Grocery and sales Data'!$C$1:$C$991)</f>
        <v>Beverages</v>
      </c>
      <c r="D714" s="9">
        <f>_xlfn.XLOOKUP(A714,'Grocery and sales Data'!$A$1:$A$991,'Grocery and sales Data'!$I$1:$I$991)</f>
        <v>15</v>
      </c>
      <c r="E714">
        <f>_xlfn.XLOOKUP(A714,'Grocery and sales Data'!$A$1:$A$991,'Grocery and sales Data'!$R$1:$R$991)</f>
        <v>810</v>
      </c>
      <c r="F714" t="str">
        <f t="shared" si="11"/>
        <v>Medium</v>
      </c>
    </row>
    <row r="715" spans="1:6" ht="16" x14ac:dyDescent="0.4">
      <c r="A715" s="2" t="s">
        <v>2612</v>
      </c>
      <c r="B715" t="str">
        <f>_xlfn.XLOOKUP(A715,'Grocery and sales Data'!$A$1:$A$991,'Grocery and sales Data'!$B$1:$B$991)</f>
        <v>Butter Biscuit</v>
      </c>
      <c r="C715" t="str">
        <f>_xlfn.XLOOKUP(A715,'Grocery and sales Data'!$A$1:$A$991,'Grocery and sales Data'!$C$1:$C$991)</f>
        <v>Bakery</v>
      </c>
      <c r="D715" s="9">
        <f>_xlfn.XLOOKUP(A715,'Grocery and sales Data'!$A$1:$A$991,'Grocery and sales Data'!$I$1:$I$991)</f>
        <v>6</v>
      </c>
      <c r="E715">
        <f>_xlfn.XLOOKUP(A715,'Grocery and sales Data'!$A$1:$A$991,'Grocery and sales Data'!$R$1:$R$991)</f>
        <v>306</v>
      </c>
      <c r="F715" t="str">
        <f t="shared" si="11"/>
        <v>Medium</v>
      </c>
    </row>
    <row r="716" spans="1:6" ht="16" x14ac:dyDescent="0.4">
      <c r="A716" s="2" t="s">
        <v>2616</v>
      </c>
      <c r="B716" t="str">
        <f>_xlfn.XLOOKUP(A716,'Grocery and sales Data'!$A$1:$A$991,'Grocery and sales Data'!$B$1:$B$991)</f>
        <v>Corn Oil</v>
      </c>
      <c r="C716" t="str">
        <f>_xlfn.XLOOKUP(A716,'Grocery and sales Data'!$A$1:$A$991,'Grocery and sales Data'!$C$1:$C$991)</f>
        <v>Oils &amp; Fats</v>
      </c>
      <c r="D716" s="9">
        <f>_xlfn.XLOOKUP(A716,'Grocery and sales Data'!$A$1:$A$991,'Grocery and sales Data'!$I$1:$I$991)</f>
        <v>2.5</v>
      </c>
      <c r="E716">
        <f>_xlfn.XLOOKUP(A716,'Grocery and sales Data'!$A$1:$A$991,'Grocery and sales Data'!$R$1:$R$991)</f>
        <v>130</v>
      </c>
      <c r="F716" t="str">
        <f t="shared" si="11"/>
        <v>Medium</v>
      </c>
    </row>
    <row r="717" spans="1:6" ht="16" x14ac:dyDescent="0.4">
      <c r="A717" s="2" t="s">
        <v>2619</v>
      </c>
      <c r="B717" t="str">
        <f>_xlfn.XLOOKUP(A717,'Grocery and sales Data'!$A$1:$A$991,'Grocery and sales Data'!$B$1:$B$991)</f>
        <v>Coconut Oil</v>
      </c>
      <c r="C717" t="str">
        <f>_xlfn.XLOOKUP(A717,'Grocery and sales Data'!$A$1:$A$991,'Grocery and sales Data'!$C$1:$C$991)</f>
        <v>Oils &amp; Fats</v>
      </c>
      <c r="D717" s="9">
        <f>_xlfn.XLOOKUP(A717,'Grocery and sales Data'!$A$1:$A$991,'Grocery and sales Data'!$I$1:$I$991)</f>
        <v>5</v>
      </c>
      <c r="E717">
        <f>_xlfn.XLOOKUP(A717,'Grocery and sales Data'!$A$1:$A$991,'Grocery and sales Data'!$R$1:$R$991)</f>
        <v>275</v>
      </c>
      <c r="F717" t="str">
        <f t="shared" si="11"/>
        <v>Medium</v>
      </c>
    </row>
    <row r="718" spans="1:6" ht="16" x14ac:dyDescent="0.4">
      <c r="A718" s="2" t="s">
        <v>2622</v>
      </c>
      <c r="B718" t="str">
        <f>_xlfn.XLOOKUP(A718,'Grocery and sales Data'!$A$1:$A$991,'Grocery and sales Data'!$B$1:$B$991)</f>
        <v>Evaporated Milk</v>
      </c>
      <c r="C718" t="str">
        <f>_xlfn.XLOOKUP(A718,'Grocery and sales Data'!$A$1:$A$991,'Grocery and sales Data'!$C$1:$C$991)</f>
        <v>Dairy</v>
      </c>
      <c r="D718" s="9">
        <f>_xlfn.XLOOKUP(A718,'Grocery and sales Data'!$A$1:$A$991,'Grocery and sales Data'!$I$1:$I$991)</f>
        <v>2</v>
      </c>
      <c r="E718">
        <f>_xlfn.XLOOKUP(A718,'Grocery and sales Data'!$A$1:$A$991,'Grocery and sales Data'!$R$1:$R$991)</f>
        <v>48</v>
      </c>
      <c r="F718" t="str">
        <f t="shared" si="11"/>
        <v>Low</v>
      </c>
    </row>
    <row r="719" spans="1:6" ht="16" x14ac:dyDescent="0.4">
      <c r="A719" s="2" t="s">
        <v>2625</v>
      </c>
      <c r="B719" t="str">
        <f>_xlfn.XLOOKUP(A719,'Grocery and sales Data'!$A$1:$A$991,'Grocery and sales Data'!$B$1:$B$991)</f>
        <v>Bell Pepper</v>
      </c>
      <c r="C719" t="str">
        <f>_xlfn.XLOOKUP(A719,'Grocery and sales Data'!$A$1:$A$991,'Grocery and sales Data'!$C$1:$C$991)</f>
        <v>Fruits &amp; Vegetables</v>
      </c>
      <c r="D719" s="9">
        <f>_xlfn.XLOOKUP(A719,'Grocery and sales Data'!$A$1:$A$991,'Grocery and sales Data'!$I$1:$I$991)</f>
        <v>4.5</v>
      </c>
      <c r="E719">
        <f>_xlfn.XLOOKUP(A719,'Grocery and sales Data'!$A$1:$A$991,'Grocery and sales Data'!$R$1:$R$991)</f>
        <v>364.5</v>
      </c>
      <c r="F719" t="str">
        <f t="shared" si="11"/>
        <v>Medium</v>
      </c>
    </row>
    <row r="720" spans="1:6" ht="16" x14ac:dyDescent="0.4">
      <c r="A720" s="2" t="s">
        <v>2629</v>
      </c>
      <c r="B720" t="str">
        <f>_xlfn.XLOOKUP(A720,'Grocery and sales Data'!$A$1:$A$991,'Grocery and sales Data'!$B$1:$B$991)</f>
        <v>Lettuce</v>
      </c>
      <c r="C720" t="str">
        <f>_xlfn.XLOOKUP(A720,'Grocery and sales Data'!$A$1:$A$991,'Grocery and sales Data'!$C$1:$C$991)</f>
        <v>Fruits &amp; Vegetables</v>
      </c>
      <c r="D720" s="9">
        <f>_xlfn.XLOOKUP(A720,'Grocery and sales Data'!$A$1:$A$991,'Grocery and sales Data'!$I$1:$I$991)</f>
        <v>2</v>
      </c>
      <c r="E720">
        <f>_xlfn.XLOOKUP(A720,'Grocery and sales Data'!$A$1:$A$991,'Grocery and sales Data'!$R$1:$R$991)</f>
        <v>52</v>
      </c>
      <c r="F720" t="str">
        <f t="shared" si="11"/>
        <v>Low</v>
      </c>
    </row>
    <row r="721" spans="1:6" ht="16" x14ac:dyDescent="0.4">
      <c r="A721" s="2" t="s">
        <v>2632</v>
      </c>
      <c r="B721" t="str">
        <f>_xlfn.XLOOKUP(A721,'Grocery and sales Data'!$A$1:$A$991,'Grocery and sales Data'!$B$1:$B$991)</f>
        <v>Brown Rice</v>
      </c>
      <c r="C721" t="str">
        <f>_xlfn.XLOOKUP(A721,'Grocery and sales Data'!$A$1:$A$991,'Grocery and sales Data'!$C$1:$C$991)</f>
        <v>Grains &amp; Pulses</v>
      </c>
      <c r="D721" s="9">
        <f>_xlfn.XLOOKUP(A721,'Grocery and sales Data'!$A$1:$A$991,'Grocery and sales Data'!$I$1:$I$991)</f>
        <v>2.5</v>
      </c>
      <c r="E721">
        <f>_xlfn.XLOOKUP(A721,'Grocery and sales Data'!$A$1:$A$991,'Grocery and sales Data'!$R$1:$R$991)</f>
        <v>160</v>
      </c>
      <c r="F721" t="str">
        <f t="shared" si="11"/>
        <v>Medium</v>
      </c>
    </row>
    <row r="722" spans="1:6" ht="16" x14ac:dyDescent="0.4">
      <c r="A722" s="2" t="s">
        <v>2635</v>
      </c>
      <c r="B722" t="str">
        <f>_xlfn.XLOOKUP(A722,'Grocery and sales Data'!$A$1:$A$991,'Grocery and sales Data'!$B$1:$B$991)</f>
        <v>Whole Wheat Flour</v>
      </c>
      <c r="C722" t="str">
        <f>_xlfn.XLOOKUP(A722,'Grocery and sales Data'!$A$1:$A$991,'Grocery and sales Data'!$C$1:$C$991)</f>
        <v>Grains &amp; Pulses</v>
      </c>
      <c r="D722" s="9">
        <f>_xlfn.XLOOKUP(A722,'Grocery and sales Data'!$A$1:$A$991,'Grocery and sales Data'!$I$1:$I$991)</f>
        <v>2.7</v>
      </c>
      <c r="E722">
        <f>_xlfn.XLOOKUP(A722,'Grocery and sales Data'!$A$1:$A$991,'Grocery and sales Data'!$R$1:$R$991)</f>
        <v>91.800000000000011</v>
      </c>
      <c r="F722" t="str">
        <f t="shared" si="11"/>
        <v>Low</v>
      </c>
    </row>
    <row r="723" spans="1:6" ht="16" x14ac:dyDescent="0.4">
      <c r="A723" s="2" t="s">
        <v>2638</v>
      </c>
      <c r="B723" t="str">
        <f>_xlfn.XLOOKUP(A723,'Grocery and sales Data'!$A$1:$A$991,'Grocery and sales Data'!$B$1:$B$991)</f>
        <v>Rye Bread</v>
      </c>
      <c r="C723" t="str">
        <f>_xlfn.XLOOKUP(A723,'Grocery and sales Data'!$A$1:$A$991,'Grocery and sales Data'!$C$1:$C$991)</f>
        <v>Bakery</v>
      </c>
      <c r="D723" s="9">
        <f>_xlfn.XLOOKUP(A723,'Grocery and sales Data'!$A$1:$A$991,'Grocery and sales Data'!$I$1:$I$991)</f>
        <v>3</v>
      </c>
      <c r="E723">
        <f>_xlfn.XLOOKUP(A723,'Grocery and sales Data'!$A$1:$A$991,'Grocery and sales Data'!$R$1:$R$991)</f>
        <v>213</v>
      </c>
      <c r="F723" t="str">
        <f t="shared" si="11"/>
        <v>Medium</v>
      </c>
    </row>
    <row r="724" spans="1:6" ht="16" x14ac:dyDescent="0.4">
      <c r="A724" s="2" t="s">
        <v>2642</v>
      </c>
      <c r="B724" t="str">
        <f>_xlfn.XLOOKUP(A724,'Grocery and sales Data'!$A$1:$A$991,'Grocery and sales Data'!$B$1:$B$991)</f>
        <v>Orange</v>
      </c>
      <c r="C724" t="str">
        <f>_xlfn.XLOOKUP(A724,'Grocery and sales Data'!$A$1:$A$991,'Grocery and sales Data'!$C$1:$C$991)</f>
        <v>Fruits &amp; Vegetables</v>
      </c>
      <c r="D724" s="9">
        <f>_xlfn.XLOOKUP(A724,'Grocery and sales Data'!$A$1:$A$991,'Grocery and sales Data'!$I$1:$I$991)</f>
        <v>3</v>
      </c>
      <c r="E724">
        <f>_xlfn.XLOOKUP(A724,'Grocery and sales Data'!$A$1:$A$991,'Grocery and sales Data'!$R$1:$R$991)</f>
        <v>288</v>
      </c>
      <c r="F724" t="str">
        <f t="shared" si="11"/>
        <v>Medium</v>
      </c>
    </row>
    <row r="725" spans="1:6" ht="16" x14ac:dyDescent="0.4">
      <c r="A725" s="2" t="s">
        <v>2645</v>
      </c>
      <c r="B725" t="str">
        <f>_xlfn.XLOOKUP(A725,'Grocery and sales Data'!$A$1:$A$991,'Grocery and sales Data'!$B$1:$B$991)</f>
        <v>Multigrain Bread</v>
      </c>
      <c r="C725" t="str">
        <f>_xlfn.XLOOKUP(A725,'Grocery and sales Data'!$A$1:$A$991,'Grocery and sales Data'!$C$1:$C$991)</f>
        <v>Bakery</v>
      </c>
      <c r="D725" s="9">
        <f>_xlfn.XLOOKUP(A725,'Grocery and sales Data'!$A$1:$A$991,'Grocery and sales Data'!$I$1:$I$991)</f>
        <v>3.2</v>
      </c>
      <c r="E725">
        <f>_xlfn.XLOOKUP(A725,'Grocery and sales Data'!$A$1:$A$991,'Grocery and sales Data'!$R$1:$R$991)</f>
        <v>233.60000000000002</v>
      </c>
      <c r="F725" t="str">
        <f t="shared" si="11"/>
        <v>Medium</v>
      </c>
    </row>
    <row r="726" spans="1:6" ht="16" x14ac:dyDescent="0.4">
      <c r="A726" s="2" t="s">
        <v>2649</v>
      </c>
      <c r="B726" t="str">
        <f>_xlfn.XLOOKUP(A726,'Grocery and sales Data'!$A$1:$A$991,'Grocery and sales Data'!$B$1:$B$991)</f>
        <v>Bread Flour</v>
      </c>
      <c r="C726" t="str">
        <f>_xlfn.XLOOKUP(A726,'Grocery and sales Data'!$A$1:$A$991,'Grocery and sales Data'!$C$1:$C$991)</f>
        <v>Grains &amp; Pulses</v>
      </c>
      <c r="D726" s="9">
        <f>_xlfn.XLOOKUP(A726,'Grocery and sales Data'!$A$1:$A$991,'Grocery and sales Data'!$I$1:$I$991)</f>
        <v>1.5</v>
      </c>
      <c r="E726">
        <f>_xlfn.XLOOKUP(A726,'Grocery and sales Data'!$A$1:$A$991,'Grocery and sales Data'!$R$1:$R$991)</f>
        <v>51</v>
      </c>
      <c r="F726" t="str">
        <f t="shared" si="11"/>
        <v>Low</v>
      </c>
    </row>
    <row r="727" spans="1:6" ht="16" x14ac:dyDescent="0.4">
      <c r="A727" s="2" t="s">
        <v>2653</v>
      </c>
      <c r="B727" t="str">
        <f>_xlfn.XLOOKUP(A727,'Grocery and sales Data'!$A$1:$A$991,'Grocery and sales Data'!$B$1:$B$991)</f>
        <v>Haddock</v>
      </c>
      <c r="C727" t="str">
        <f>_xlfn.XLOOKUP(A727,'Grocery and sales Data'!$A$1:$A$991,'Grocery and sales Data'!$C$1:$C$991)</f>
        <v>Seafood</v>
      </c>
      <c r="D727" s="9">
        <f>_xlfn.XLOOKUP(A727,'Grocery and sales Data'!$A$1:$A$991,'Grocery and sales Data'!$I$1:$I$991)</f>
        <v>9</v>
      </c>
      <c r="E727">
        <f>_xlfn.XLOOKUP(A727,'Grocery and sales Data'!$A$1:$A$991,'Grocery and sales Data'!$R$1:$R$991)</f>
        <v>477</v>
      </c>
      <c r="F727" t="str">
        <f t="shared" si="11"/>
        <v>Medium</v>
      </c>
    </row>
    <row r="728" spans="1:6" ht="16" x14ac:dyDescent="0.4">
      <c r="A728" s="2" t="s">
        <v>2657</v>
      </c>
      <c r="B728" t="str">
        <f>_xlfn.XLOOKUP(A728,'Grocery and sales Data'!$A$1:$A$991,'Grocery and sales Data'!$B$1:$B$991)</f>
        <v>Green Beans</v>
      </c>
      <c r="C728" t="str">
        <f>_xlfn.XLOOKUP(A728,'Grocery and sales Data'!$A$1:$A$991,'Grocery and sales Data'!$C$1:$C$991)</f>
        <v>Fruits &amp; Vegetables</v>
      </c>
      <c r="D728" s="9">
        <f>_xlfn.XLOOKUP(A728,'Grocery and sales Data'!$A$1:$A$991,'Grocery and sales Data'!$I$1:$I$991)</f>
        <v>2</v>
      </c>
      <c r="E728">
        <f>_xlfn.XLOOKUP(A728,'Grocery and sales Data'!$A$1:$A$991,'Grocery and sales Data'!$R$1:$R$991)</f>
        <v>102</v>
      </c>
      <c r="F728" t="str">
        <f t="shared" si="11"/>
        <v>Medium</v>
      </c>
    </row>
    <row r="729" spans="1:6" ht="16" x14ac:dyDescent="0.4">
      <c r="A729" s="2" t="s">
        <v>2660</v>
      </c>
      <c r="B729" t="str">
        <f>_xlfn.XLOOKUP(A729,'Grocery and sales Data'!$A$1:$A$991,'Grocery and sales Data'!$B$1:$B$991)</f>
        <v>Coconut</v>
      </c>
      <c r="C729" t="str">
        <f>_xlfn.XLOOKUP(A729,'Grocery and sales Data'!$A$1:$A$991,'Grocery and sales Data'!$C$1:$C$991)</f>
        <v>Fruits &amp; Vegetables</v>
      </c>
      <c r="D729" s="9">
        <f>_xlfn.XLOOKUP(A729,'Grocery and sales Data'!$A$1:$A$991,'Grocery and sales Data'!$I$1:$I$991)</f>
        <v>5</v>
      </c>
      <c r="E729">
        <f>_xlfn.XLOOKUP(A729,'Grocery and sales Data'!$A$1:$A$991,'Grocery and sales Data'!$R$1:$R$991)</f>
        <v>305</v>
      </c>
      <c r="F729" t="str">
        <f t="shared" si="11"/>
        <v>Medium</v>
      </c>
    </row>
    <row r="730" spans="1:6" ht="16" x14ac:dyDescent="0.4">
      <c r="A730" s="2" t="s">
        <v>2664</v>
      </c>
      <c r="B730" t="str">
        <f>_xlfn.XLOOKUP(A730,'Grocery and sales Data'!$A$1:$A$991,'Grocery and sales Data'!$B$1:$B$991)</f>
        <v>Apple</v>
      </c>
      <c r="C730" t="str">
        <f>_xlfn.XLOOKUP(A730,'Grocery and sales Data'!$A$1:$A$991,'Grocery and sales Data'!$C$1:$C$991)</f>
        <v>Fruits &amp; Vegetables</v>
      </c>
      <c r="D730" s="9">
        <f>_xlfn.XLOOKUP(A730,'Grocery and sales Data'!$A$1:$A$991,'Grocery and sales Data'!$I$1:$I$991)</f>
        <v>3.5</v>
      </c>
      <c r="E730">
        <f>_xlfn.XLOOKUP(A730,'Grocery and sales Data'!$A$1:$A$991,'Grocery and sales Data'!$R$1:$R$991)</f>
        <v>304.5</v>
      </c>
      <c r="F730" t="str">
        <f t="shared" si="11"/>
        <v>Medium</v>
      </c>
    </row>
    <row r="731" spans="1:6" ht="16" x14ac:dyDescent="0.4">
      <c r="A731" s="2" t="s">
        <v>2667</v>
      </c>
      <c r="B731" t="str">
        <f>_xlfn.XLOOKUP(A731,'Grocery and sales Data'!$A$1:$A$991,'Grocery and sales Data'!$B$1:$B$991)</f>
        <v>Brown Rice</v>
      </c>
      <c r="C731" t="str">
        <f>_xlfn.XLOOKUP(A731,'Grocery and sales Data'!$A$1:$A$991,'Grocery and sales Data'!$C$1:$C$991)</f>
        <v>Grains &amp; Pulses</v>
      </c>
      <c r="D731" s="9">
        <f>_xlfn.XLOOKUP(A731,'Grocery and sales Data'!$A$1:$A$991,'Grocery and sales Data'!$I$1:$I$991)</f>
        <v>2.5</v>
      </c>
      <c r="E731">
        <f>_xlfn.XLOOKUP(A731,'Grocery and sales Data'!$A$1:$A$991,'Grocery and sales Data'!$R$1:$R$991)</f>
        <v>167.5</v>
      </c>
      <c r="F731" t="str">
        <f t="shared" si="11"/>
        <v>Medium</v>
      </c>
    </row>
    <row r="732" spans="1:6" ht="16" x14ac:dyDescent="0.4">
      <c r="A732" s="2" t="s">
        <v>2670</v>
      </c>
      <c r="B732" t="str">
        <f>_xlfn.XLOOKUP(A732,'Grocery and sales Data'!$A$1:$A$991,'Grocery and sales Data'!$B$1:$B$991)</f>
        <v>Rice Flour</v>
      </c>
      <c r="C732" t="str">
        <f>_xlfn.XLOOKUP(A732,'Grocery and sales Data'!$A$1:$A$991,'Grocery and sales Data'!$C$1:$C$991)</f>
        <v>Grains &amp; Pulses</v>
      </c>
      <c r="D732" s="9">
        <f>_xlfn.XLOOKUP(A732,'Grocery and sales Data'!$A$1:$A$991,'Grocery and sales Data'!$I$1:$I$991)</f>
        <v>2</v>
      </c>
      <c r="E732">
        <f>_xlfn.XLOOKUP(A732,'Grocery and sales Data'!$A$1:$A$991,'Grocery and sales Data'!$R$1:$R$991)</f>
        <v>48</v>
      </c>
      <c r="F732" t="str">
        <f t="shared" si="11"/>
        <v>Low</v>
      </c>
    </row>
    <row r="733" spans="1:6" ht="16" x14ac:dyDescent="0.4">
      <c r="A733" s="2" t="s">
        <v>2673</v>
      </c>
      <c r="B733" t="str">
        <f>_xlfn.XLOOKUP(A733,'Grocery and sales Data'!$A$1:$A$991,'Grocery and sales Data'!$B$1:$B$991)</f>
        <v>Peanut Oil</v>
      </c>
      <c r="C733" t="str">
        <f>_xlfn.XLOOKUP(A733,'Grocery and sales Data'!$A$1:$A$991,'Grocery and sales Data'!$C$1:$C$991)</f>
        <v>Oils &amp; Fats</v>
      </c>
      <c r="D733" s="9">
        <f>_xlfn.XLOOKUP(A733,'Grocery and sales Data'!$A$1:$A$991,'Grocery and sales Data'!$I$1:$I$991)</f>
        <v>4</v>
      </c>
      <c r="E733">
        <f>_xlfn.XLOOKUP(A733,'Grocery and sales Data'!$A$1:$A$991,'Grocery and sales Data'!$R$1:$R$991)</f>
        <v>392</v>
      </c>
      <c r="F733" t="str">
        <f t="shared" si="11"/>
        <v>Medium</v>
      </c>
    </row>
    <row r="734" spans="1:6" ht="16" x14ac:dyDescent="0.4">
      <c r="A734" s="2" t="s">
        <v>2676</v>
      </c>
      <c r="B734" t="str">
        <f>_xlfn.XLOOKUP(A734,'Grocery and sales Data'!$A$1:$A$991,'Grocery and sales Data'!$B$1:$B$991)</f>
        <v>Anchovies</v>
      </c>
      <c r="C734" t="str">
        <f>_xlfn.XLOOKUP(A734,'Grocery and sales Data'!$A$1:$A$991,'Grocery and sales Data'!$C$1:$C$991)</f>
        <v>Seafood</v>
      </c>
      <c r="D734" s="9">
        <f>_xlfn.XLOOKUP(A734,'Grocery and sales Data'!$A$1:$A$991,'Grocery and sales Data'!$I$1:$I$991)</f>
        <v>10</v>
      </c>
      <c r="E734">
        <f>_xlfn.XLOOKUP(A734,'Grocery and sales Data'!$A$1:$A$991,'Grocery and sales Data'!$R$1:$R$991)</f>
        <v>800</v>
      </c>
      <c r="F734" t="str">
        <f t="shared" si="11"/>
        <v>Medium</v>
      </c>
    </row>
    <row r="735" spans="1:6" ht="16" x14ac:dyDescent="0.4">
      <c r="A735" s="2" t="s">
        <v>2679</v>
      </c>
      <c r="B735" t="str">
        <f>_xlfn.XLOOKUP(A735,'Grocery and sales Data'!$A$1:$A$991,'Grocery and sales Data'!$B$1:$B$991)</f>
        <v>Powdered Sugar</v>
      </c>
      <c r="C735" t="str">
        <f>_xlfn.XLOOKUP(A735,'Grocery and sales Data'!$A$1:$A$991,'Grocery and sales Data'!$C$1:$C$991)</f>
        <v>Grains &amp; Pulses</v>
      </c>
      <c r="D735" s="9">
        <f>_xlfn.XLOOKUP(A735,'Grocery and sales Data'!$A$1:$A$991,'Grocery and sales Data'!$I$1:$I$991)</f>
        <v>2.5</v>
      </c>
      <c r="E735">
        <f>_xlfn.XLOOKUP(A735,'Grocery and sales Data'!$A$1:$A$991,'Grocery and sales Data'!$R$1:$R$991)</f>
        <v>100</v>
      </c>
      <c r="F735" t="str">
        <f t="shared" si="11"/>
        <v>Medium</v>
      </c>
    </row>
    <row r="736" spans="1:6" ht="16" x14ac:dyDescent="0.4">
      <c r="A736" s="2" t="s">
        <v>2682</v>
      </c>
      <c r="B736" t="str">
        <f>_xlfn.XLOOKUP(A736,'Grocery and sales Data'!$A$1:$A$991,'Grocery and sales Data'!$B$1:$B$991)</f>
        <v>Palm Oil</v>
      </c>
      <c r="C736" t="str">
        <f>_xlfn.XLOOKUP(A736,'Grocery and sales Data'!$A$1:$A$991,'Grocery and sales Data'!$C$1:$C$991)</f>
        <v>Oils &amp; Fats</v>
      </c>
      <c r="D736" s="9">
        <f>_xlfn.XLOOKUP(A736,'Grocery and sales Data'!$A$1:$A$991,'Grocery and sales Data'!$I$1:$I$991)</f>
        <v>1.8</v>
      </c>
      <c r="E736">
        <f>_xlfn.XLOOKUP(A736,'Grocery and sales Data'!$A$1:$A$991,'Grocery and sales Data'!$R$1:$R$991)</f>
        <v>113.4</v>
      </c>
      <c r="F736" t="str">
        <f t="shared" si="11"/>
        <v>Medium</v>
      </c>
    </row>
    <row r="737" spans="1:6" ht="16" x14ac:dyDescent="0.4">
      <c r="A737" s="2" t="s">
        <v>2685</v>
      </c>
      <c r="B737" t="str">
        <f>_xlfn.XLOOKUP(A737,'Grocery and sales Data'!$A$1:$A$991,'Grocery and sales Data'!$B$1:$B$991)</f>
        <v>Tuna</v>
      </c>
      <c r="C737" t="str">
        <f>_xlfn.XLOOKUP(A737,'Grocery and sales Data'!$A$1:$A$991,'Grocery and sales Data'!$C$1:$C$991)</f>
        <v>Seafood</v>
      </c>
      <c r="D737" s="9">
        <f>_xlfn.XLOOKUP(A737,'Grocery and sales Data'!$A$1:$A$991,'Grocery and sales Data'!$I$1:$I$991)</f>
        <v>18</v>
      </c>
      <c r="E737">
        <f>_xlfn.XLOOKUP(A737,'Grocery and sales Data'!$A$1:$A$991,'Grocery and sales Data'!$R$1:$R$991)</f>
        <v>504</v>
      </c>
      <c r="F737" t="str">
        <f t="shared" si="11"/>
        <v>Medium</v>
      </c>
    </row>
    <row r="738" spans="1:6" ht="16" x14ac:dyDescent="0.4">
      <c r="A738" s="2" t="s">
        <v>2688</v>
      </c>
      <c r="B738" t="str">
        <f>_xlfn.XLOOKUP(A738,'Grocery and sales Data'!$A$1:$A$991,'Grocery and sales Data'!$B$1:$B$991)</f>
        <v>Robusta Coffee</v>
      </c>
      <c r="C738" t="str">
        <f>_xlfn.XLOOKUP(A738,'Grocery and sales Data'!$A$1:$A$991,'Grocery and sales Data'!$C$1:$C$991)</f>
        <v>Beverages</v>
      </c>
      <c r="D738" s="9">
        <f>_xlfn.XLOOKUP(A738,'Grocery and sales Data'!$A$1:$A$991,'Grocery and sales Data'!$I$1:$I$991)</f>
        <v>10</v>
      </c>
      <c r="E738">
        <f>_xlfn.XLOOKUP(A738,'Grocery and sales Data'!$A$1:$A$991,'Grocery and sales Data'!$R$1:$R$991)</f>
        <v>370</v>
      </c>
      <c r="F738" t="str">
        <f t="shared" si="11"/>
        <v>Medium</v>
      </c>
    </row>
    <row r="739" spans="1:6" ht="16" x14ac:dyDescent="0.4">
      <c r="A739" s="2" t="s">
        <v>2692</v>
      </c>
      <c r="B739" t="str">
        <f>_xlfn.XLOOKUP(A739,'Grocery and sales Data'!$A$1:$A$991,'Grocery and sales Data'!$B$1:$B$991)</f>
        <v>Bell Pepper</v>
      </c>
      <c r="C739" t="str">
        <f>_xlfn.XLOOKUP(A739,'Grocery and sales Data'!$A$1:$A$991,'Grocery and sales Data'!$C$1:$C$991)</f>
        <v>Fruits &amp; Vegetables</v>
      </c>
      <c r="D739" s="9">
        <f>_xlfn.XLOOKUP(A739,'Grocery and sales Data'!$A$1:$A$991,'Grocery and sales Data'!$I$1:$I$991)</f>
        <v>4.5</v>
      </c>
      <c r="E739">
        <f>_xlfn.XLOOKUP(A739,'Grocery and sales Data'!$A$1:$A$991,'Grocery and sales Data'!$R$1:$R$991)</f>
        <v>387</v>
      </c>
      <c r="F739" t="str">
        <f t="shared" si="11"/>
        <v>Medium</v>
      </c>
    </row>
    <row r="740" spans="1:6" ht="16" x14ac:dyDescent="0.4">
      <c r="A740" s="2" t="s">
        <v>2696</v>
      </c>
      <c r="B740" t="str">
        <f>_xlfn.XLOOKUP(A740,'Grocery and sales Data'!$A$1:$A$991,'Grocery and sales Data'!$B$1:$B$991)</f>
        <v>Egg (Chicken)</v>
      </c>
      <c r="C740" t="str">
        <f>_xlfn.XLOOKUP(A740,'Grocery and sales Data'!$A$1:$A$991,'Grocery and sales Data'!$C$1:$C$991)</f>
        <v>Dairy</v>
      </c>
      <c r="D740" s="9">
        <f>_xlfn.XLOOKUP(A740,'Grocery and sales Data'!$A$1:$A$991,'Grocery and sales Data'!$I$1:$I$991)</f>
        <v>0.2</v>
      </c>
      <c r="E740">
        <f>_xlfn.XLOOKUP(A740,'Grocery and sales Data'!$A$1:$A$991,'Grocery and sales Data'!$R$1:$R$991)</f>
        <v>17.600000000000001</v>
      </c>
      <c r="F740" t="str">
        <f t="shared" si="11"/>
        <v>Low</v>
      </c>
    </row>
    <row r="741" spans="1:6" ht="16" x14ac:dyDescent="0.4">
      <c r="A741" s="2" t="s">
        <v>2699</v>
      </c>
      <c r="B741" t="str">
        <f>_xlfn.XLOOKUP(A741,'Grocery and sales Data'!$A$1:$A$991,'Grocery and sales Data'!$B$1:$B$991)</f>
        <v>Apricot</v>
      </c>
      <c r="C741" t="str">
        <f>_xlfn.XLOOKUP(A741,'Grocery and sales Data'!$A$1:$A$991,'Grocery and sales Data'!$C$1:$C$991)</f>
        <v>Fruits &amp; Vegetables</v>
      </c>
      <c r="D741" s="9">
        <f>_xlfn.XLOOKUP(A741,'Grocery and sales Data'!$A$1:$A$991,'Grocery and sales Data'!$I$1:$I$991)</f>
        <v>5</v>
      </c>
      <c r="E741">
        <f>_xlfn.XLOOKUP(A741,'Grocery and sales Data'!$A$1:$A$991,'Grocery and sales Data'!$R$1:$R$991)</f>
        <v>115</v>
      </c>
      <c r="F741" t="str">
        <f t="shared" si="11"/>
        <v>Medium</v>
      </c>
    </row>
    <row r="742" spans="1:6" ht="16" x14ac:dyDescent="0.4">
      <c r="A742" s="2" t="s">
        <v>2702</v>
      </c>
      <c r="B742" t="str">
        <f>_xlfn.XLOOKUP(A742,'Grocery and sales Data'!$A$1:$A$991,'Grocery and sales Data'!$B$1:$B$991)</f>
        <v>Ricotta Cheese</v>
      </c>
      <c r="C742" t="str">
        <f>_xlfn.XLOOKUP(A742,'Grocery and sales Data'!$A$1:$A$991,'Grocery and sales Data'!$C$1:$C$991)</f>
        <v>Dairy</v>
      </c>
      <c r="D742" s="9">
        <f>_xlfn.XLOOKUP(A742,'Grocery and sales Data'!$A$1:$A$991,'Grocery and sales Data'!$I$1:$I$991)</f>
        <v>6.1</v>
      </c>
      <c r="E742">
        <f>_xlfn.XLOOKUP(A742,'Grocery and sales Data'!$A$1:$A$991,'Grocery and sales Data'!$R$1:$R$991)</f>
        <v>573.4</v>
      </c>
      <c r="F742" t="str">
        <f t="shared" si="11"/>
        <v>Medium</v>
      </c>
    </row>
    <row r="743" spans="1:6" ht="16" x14ac:dyDescent="0.4">
      <c r="A743" s="2" t="s">
        <v>2705</v>
      </c>
      <c r="B743" t="str">
        <f>_xlfn.XLOOKUP(A743,'Grocery and sales Data'!$A$1:$A$991,'Grocery and sales Data'!$B$1:$B$991)</f>
        <v>Feta Cheese</v>
      </c>
      <c r="C743" t="str">
        <f>_xlfn.XLOOKUP(A743,'Grocery and sales Data'!$A$1:$A$991,'Grocery and sales Data'!$C$1:$C$991)</f>
        <v>Dairy</v>
      </c>
      <c r="D743" s="9">
        <f>_xlfn.XLOOKUP(A743,'Grocery and sales Data'!$A$1:$A$991,'Grocery and sales Data'!$I$1:$I$991)</f>
        <v>7</v>
      </c>
      <c r="E743">
        <f>_xlfn.XLOOKUP(A743,'Grocery and sales Data'!$A$1:$A$991,'Grocery and sales Data'!$R$1:$R$991)</f>
        <v>224</v>
      </c>
      <c r="F743" t="str">
        <f t="shared" si="11"/>
        <v>Medium</v>
      </c>
    </row>
    <row r="744" spans="1:6" ht="16" x14ac:dyDescent="0.4">
      <c r="A744" s="2" t="s">
        <v>2708</v>
      </c>
      <c r="B744" t="str">
        <f>_xlfn.XLOOKUP(A744,'Grocery and sales Data'!$A$1:$A$991,'Grocery and sales Data'!$B$1:$B$991)</f>
        <v>Digestive Biscuit</v>
      </c>
      <c r="C744" t="str">
        <f>_xlfn.XLOOKUP(A744,'Grocery and sales Data'!$A$1:$A$991,'Grocery and sales Data'!$C$1:$C$991)</f>
        <v>Bakery</v>
      </c>
      <c r="D744" s="9">
        <f>_xlfn.XLOOKUP(A744,'Grocery and sales Data'!$A$1:$A$991,'Grocery and sales Data'!$I$1:$I$991)</f>
        <v>4</v>
      </c>
      <c r="E744">
        <f>_xlfn.XLOOKUP(A744,'Grocery and sales Data'!$A$1:$A$991,'Grocery and sales Data'!$R$1:$R$991)</f>
        <v>112</v>
      </c>
      <c r="F744" t="str">
        <f t="shared" si="11"/>
        <v>Medium</v>
      </c>
    </row>
    <row r="745" spans="1:6" ht="16" x14ac:dyDescent="0.4">
      <c r="A745" s="2" t="s">
        <v>2711</v>
      </c>
      <c r="B745" t="str">
        <f>_xlfn.XLOOKUP(A745,'Grocery and sales Data'!$A$1:$A$991,'Grocery and sales Data'!$B$1:$B$991)</f>
        <v>Salmon</v>
      </c>
      <c r="C745" t="str">
        <f>_xlfn.XLOOKUP(A745,'Grocery and sales Data'!$A$1:$A$991,'Grocery and sales Data'!$C$1:$C$991)</f>
        <v>Seafood</v>
      </c>
      <c r="D745" s="9">
        <f>_xlfn.XLOOKUP(A745,'Grocery and sales Data'!$A$1:$A$991,'Grocery and sales Data'!$I$1:$I$991)</f>
        <v>15</v>
      </c>
      <c r="E745">
        <f>_xlfn.XLOOKUP(A745,'Grocery and sales Data'!$A$1:$A$991,'Grocery and sales Data'!$R$1:$R$991)</f>
        <v>645</v>
      </c>
      <c r="F745" t="str">
        <f t="shared" si="11"/>
        <v>Medium</v>
      </c>
    </row>
    <row r="746" spans="1:6" ht="16" x14ac:dyDescent="0.4">
      <c r="A746" s="2" t="s">
        <v>2714</v>
      </c>
      <c r="B746" t="str">
        <f>_xlfn.XLOOKUP(A746,'Grocery and sales Data'!$A$1:$A$991,'Grocery and sales Data'!$B$1:$B$991)</f>
        <v>Lettuce</v>
      </c>
      <c r="C746" t="str">
        <f>_xlfn.XLOOKUP(A746,'Grocery and sales Data'!$A$1:$A$991,'Grocery and sales Data'!$C$1:$C$991)</f>
        <v>Fruits &amp; Vegetables</v>
      </c>
      <c r="D746" s="9">
        <f>_xlfn.XLOOKUP(A746,'Grocery and sales Data'!$A$1:$A$991,'Grocery and sales Data'!$I$1:$I$991)</f>
        <v>2</v>
      </c>
      <c r="E746">
        <f>_xlfn.XLOOKUP(A746,'Grocery and sales Data'!$A$1:$A$991,'Grocery and sales Data'!$R$1:$R$991)</f>
        <v>124</v>
      </c>
      <c r="F746" t="str">
        <f t="shared" si="11"/>
        <v>Medium</v>
      </c>
    </row>
    <row r="747" spans="1:6" ht="16" x14ac:dyDescent="0.4">
      <c r="A747" s="2" t="s">
        <v>2717</v>
      </c>
      <c r="B747" t="str">
        <f>_xlfn.XLOOKUP(A747,'Grocery and sales Data'!$A$1:$A$991,'Grocery and sales Data'!$B$1:$B$991)</f>
        <v>Black Rice</v>
      </c>
      <c r="C747" t="str">
        <f>_xlfn.XLOOKUP(A747,'Grocery and sales Data'!$A$1:$A$991,'Grocery and sales Data'!$C$1:$C$991)</f>
        <v>Grains &amp; Pulses</v>
      </c>
      <c r="D747" s="9">
        <f>_xlfn.XLOOKUP(A747,'Grocery and sales Data'!$A$1:$A$991,'Grocery and sales Data'!$I$1:$I$991)</f>
        <v>6.35</v>
      </c>
      <c r="E747">
        <f>_xlfn.XLOOKUP(A747,'Grocery and sales Data'!$A$1:$A$991,'Grocery and sales Data'!$R$1:$R$991)</f>
        <v>444.5</v>
      </c>
      <c r="F747" t="str">
        <f t="shared" si="11"/>
        <v>Medium</v>
      </c>
    </row>
    <row r="748" spans="1:6" ht="16" x14ac:dyDescent="0.4">
      <c r="A748" s="2" t="s">
        <v>2720</v>
      </c>
      <c r="B748" t="str">
        <f>_xlfn.XLOOKUP(A748,'Grocery and sales Data'!$A$1:$A$991,'Grocery and sales Data'!$B$1:$B$991)</f>
        <v>Whole Wheat Flour</v>
      </c>
      <c r="C748" t="str">
        <f>_xlfn.XLOOKUP(A748,'Grocery and sales Data'!$A$1:$A$991,'Grocery and sales Data'!$C$1:$C$991)</f>
        <v>Grains &amp; Pulses</v>
      </c>
      <c r="D748" s="9">
        <f>_xlfn.XLOOKUP(A748,'Grocery and sales Data'!$A$1:$A$991,'Grocery and sales Data'!$I$1:$I$991)</f>
        <v>2.75</v>
      </c>
      <c r="E748">
        <f>_xlfn.XLOOKUP(A748,'Grocery and sales Data'!$A$1:$A$991,'Grocery and sales Data'!$R$1:$R$991)</f>
        <v>88</v>
      </c>
      <c r="F748" t="str">
        <f t="shared" si="11"/>
        <v>Low</v>
      </c>
    </row>
    <row r="749" spans="1:6" ht="16" x14ac:dyDescent="0.4">
      <c r="A749" s="2" t="s">
        <v>2723</v>
      </c>
      <c r="B749" t="str">
        <f>_xlfn.XLOOKUP(A749,'Grocery and sales Data'!$A$1:$A$991,'Grocery and sales Data'!$B$1:$B$991)</f>
        <v>Chocolate Biscuit</v>
      </c>
      <c r="C749" t="str">
        <f>_xlfn.XLOOKUP(A749,'Grocery and sales Data'!$A$1:$A$991,'Grocery and sales Data'!$C$1:$C$991)</f>
        <v>Bakery</v>
      </c>
      <c r="D749" s="9">
        <f>_xlfn.XLOOKUP(A749,'Grocery and sales Data'!$A$1:$A$991,'Grocery and sales Data'!$I$1:$I$991)</f>
        <v>5</v>
      </c>
      <c r="E749">
        <f>_xlfn.XLOOKUP(A749,'Grocery and sales Data'!$A$1:$A$991,'Grocery and sales Data'!$R$1:$R$991)</f>
        <v>325</v>
      </c>
      <c r="F749" t="str">
        <f t="shared" si="11"/>
        <v>Medium</v>
      </c>
    </row>
    <row r="750" spans="1:6" ht="16" x14ac:dyDescent="0.4">
      <c r="A750" s="2" t="s">
        <v>2726</v>
      </c>
      <c r="B750" t="str">
        <f>_xlfn.XLOOKUP(A750,'Grocery and sales Data'!$A$1:$A$991,'Grocery and sales Data'!$B$1:$B$991)</f>
        <v>Black Tea</v>
      </c>
      <c r="C750" t="str">
        <f>_xlfn.XLOOKUP(A750,'Grocery and sales Data'!$A$1:$A$991,'Grocery and sales Data'!$C$1:$C$991)</f>
        <v>Beverages</v>
      </c>
      <c r="D750" s="9">
        <f>_xlfn.XLOOKUP(A750,'Grocery and sales Data'!$A$1:$A$991,'Grocery and sales Data'!$I$1:$I$991)</f>
        <v>5.3</v>
      </c>
      <c r="E750">
        <f>_xlfn.XLOOKUP(A750,'Grocery and sales Data'!$A$1:$A$991,'Grocery and sales Data'!$R$1:$R$991)</f>
        <v>344.5</v>
      </c>
      <c r="F750" t="str">
        <f t="shared" si="11"/>
        <v>Medium</v>
      </c>
    </row>
    <row r="751" spans="1:6" ht="16" x14ac:dyDescent="0.4">
      <c r="A751" s="2" t="s">
        <v>2729</v>
      </c>
      <c r="B751" t="str">
        <f>_xlfn.XLOOKUP(A751,'Grocery and sales Data'!$A$1:$A$991,'Grocery and sales Data'!$B$1:$B$991)</f>
        <v>Watermelon</v>
      </c>
      <c r="C751" t="str">
        <f>_xlfn.XLOOKUP(A751,'Grocery and sales Data'!$A$1:$A$991,'Grocery and sales Data'!$C$1:$C$991)</f>
        <v>Fruits &amp; Vegetables</v>
      </c>
      <c r="D751" s="9">
        <f>_xlfn.XLOOKUP(A751,'Grocery and sales Data'!$A$1:$A$991,'Grocery and sales Data'!$I$1:$I$991)</f>
        <v>3</v>
      </c>
      <c r="E751">
        <f>_xlfn.XLOOKUP(A751,'Grocery and sales Data'!$A$1:$A$991,'Grocery and sales Data'!$R$1:$R$991)</f>
        <v>213</v>
      </c>
      <c r="F751" t="str">
        <f t="shared" si="11"/>
        <v>Medium</v>
      </c>
    </row>
    <row r="752" spans="1:6" ht="16" x14ac:dyDescent="0.4">
      <c r="A752" s="2" t="s">
        <v>2732</v>
      </c>
      <c r="B752" t="str">
        <f>_xlfn.XLOOKUP(A752,'Grocery and sales Data'!$A$1:$A$991,'Grocery and sales Data'!$B$1:$B$991)</f>
        <v>Black Rice</v>
      </c>
      <c r="C752" t="str">
        <f>_xlfn.XLOOKUP(A752,'Grocery and sales Data'!$A$1:$A$991,'Grocery and sales Data'!$C$1:$C$991)</f>
        <v>Grains &amp; Pulses</v>
      </c>
      <c r="D752" s="9">
        <f>_xlfn.XLOOKUP(A752,'Grocery and sales Data'!$A$1:$A$991,'Grocery and sales Data'!$I$1:$I$991)</f>
        <v>6.3</v>
      </c>
      <c r="E752">
        <f>_xlfn.XLOOKUP(A752,'Grocery and sales Data'!$A$1:$A$991,'Grocery and sales Data'!$R$1:$R$991)</f>
        <v>384.3</v>
      </c>
      <c r="F752" t="str">
        <f t="shared" si="11"/>
        <v>Medium</v>
      </c>
    </row>
    <row r="753" spans="1:6" ht="16" x14ac:dyDescent="0.4">
      <c r="A753" s="2" t="s">
        <v>2735</v>
      </c>
      <c r="B753" t="str">
        <f>_xlfn.XLOOKUP(A753,'Grocery and sales Data'!$A$1:$A$991,'Grocery and sales Data'!$B$1:$B$991)</f>
        <v>Papaya</v>
      </c>
      <c r="C753" t="str">
        <f>_xlfn.XLOOKUP(A753,'Grocery and sales Data'!$A$1:$A$991,'Grocery and sales Data'!$C$1:$C$991)</f>
        <v>Fruits &amp; Vegetables</v>
      </c>
      <c r="D753" s="9">
        <f>_xlfn.XLOOKUP(A753,'Grocery and sales Data'!$A$1:$A$991,'Grocery and sales Data'!$I$1:$I$991)</f>
        <v>4.5</v>
      </c>
      <c r="E753">
        <f>_xlfn.XLOOKUP(A753,'Grocery and sales Data'!$A$1:$A$991,'Grocery and sales Data'!$R$1:$R$991)</f>
        <v>238.5</v>
      </c>
      <c r="F753" t="str">
        <f t="shared" si="11"/>
        <v>Medium</v>
      </c>
    </row>
    <row r="754" spans="1:6" ht="16" x14ac:dyDescent="0.4">
      <c r="A754" s="2" t="s">
        <v>2738</v>
      </c>
      <c r="B754" t="str">
        <f>_xlfn.XLOOKUP(A754,'Grocery and sales Data'!$A$1:$A$991,'Grocery and sales Data'!$B$1:$B$991)</f>
        <v>Egg (Goose)</v>
      </c>
      <c r="C754" t="str">
        <f>_xlfn.XLOOKUP(A754,'Grocery and sales Data'!$A$1:$A$991,'Grocery and sales Data'!$C$1:$C$991)</f>
        <v>Dairy</v>
      </c>
      <c r="D754" s="9">
        <f>_xlfn.XLOOKUP(A754,'Grocery and sales Data'!$A$1:$A$991,'Grocery and sales Data'!$I$1:$I$991)</f>
        <v>2.4500000000000002</v>
      </c>
      <c r="E754">
        <f>_xlfn.XLOOKUP(A754,'Grocery and sales Data'!$A$1:$A$991,'Grocery and sales Data'!$R$1:$R$991)</f>
        <v>191.10000000000002</v>
      </c>
      <c r="F754" t="str">
        <f t="shared" si="11"/>
        <v>Medium</v>
      </c>
    </row>
    <row r="755" spans="1:6" ht="16" x14ac:dyDescent="0.4">
      <c r="A755" s="2" t="s">
        <v>2741</v>
      </c>
      <c r="B755" t="str">
        <f>_xlfn.XLOOKUP(A755,'Grocery and sales Data'!$A$1:$A$991,'Grocery and sales Data'!$B$1:$B$991)</f>
        <v>Cheddar Cheese</v>
      </c>
      <c r="C755" t="str">
        <f>_xlfn.XLOOKUP(A755,'Grocery and sales Data'!$A$1:$A$991,'Grocery and sales Data'!$C$1:$C$991)</f>
        <v>Dairy</v>
      </c>
      <c r="D755" s="9">
        <f>_xlfn.XLOOKUP(A755,'Grocery and sales Data'!$A$1:$A$991,'Grocery and sales Data'!$I$1:$I$991)</f>
        <v>9</v>
      </c>
      <c r="E755">
        <f>_xlfn.XLOOKUP(A755,'Grocery and sales Data'!$A$1:$A$991,'Grocery and sales Data'!$R$1:$R$991)</f>
        <v>567</v>
      </c>
      <c r="F755" t="str">
        <f t="shared" si="11"/>
        <v>Medium</v>
      </c>
    </row>
    <row r="756" spans="1:6" ht="16" x14ac:dyDescent="0.4">
      <c r="A756" s="2" t="s">
        <v>2744</v>
      </c>
      <c r="B756" t="str">
        <f>_xlfn.XLOOKUP(A756,'Grocery and sales Data'!$A$1:$A$991,'Grocery and sales Data'!$B$1:$B$991)</f>
        <v>Blueberries</v>
      </c>
      <c r="C756" t="str">
        <f>_xlfn.XLOOKUP(A756,'Grocery and sales Data'!$A$1:$A$991,'Grocery and sales Data'!$C$1:$C$991)</f>
        <v>Fruits &amp; Vegetables</v>
      </c>
      <c r="D756" s="9">
        <f>_xlfn.XLOOKUP(A756,'Grocery and sales Data'!$A$1:$A$991,'Grocery and sales Data'!$I$1:$I$991)</f>
        <v>10</v>
      </c>
      <c r="E756">
        <f>_xlfn.XLOOKUP(A756,'Grocery and sales Data'!$A$1:$A$991,'Grocery and sales Data'!$R$1:$R$991)</f>
        <v>760</v>
      </c>
      <c r="F756" t="str">
        <f t="shared" si="11"/>
        <v>Medium</v>
      </c>
    </row>
    <row r="757" spans="1:6" ht="16" x14ac:dyDescent="0.4">
      <c r="A757" s="2" t="s">
        <v>2747</v>
      </c>
      <c r="B757" t="str">
        <f>_xlfn.XLOOKUP(A757,'Grocery and sales Data'!$A$1:$A$991,'Grocery and sales Data'!$B$1:$B$991)</f>
        <v>Corn Oil</v>
      </c>
      <c r="C757" t="str">
        <f>_xlfn.XLOOKUP(A757,'Grocery and sales Data'!$A$1:$A$991,'Grocery and sales Data'!$C$1:$C$991)</f>
        <v>Oils &amp; Fats</v>
      </c>
      <c r="D757" s="9">
        <f>_xlfn.XLOOKUP(A757,'Grocery and sales Data'!$A$1:$A$991,'Grocery and sales Data'!$I$1:$I$991)</f>
        <v>2.5</v>
      </c>
      <c r="E757">
        <f>_xlfn.XLOOKUP(A757,'Grocery and sales Data'!$A$1:$A$991,'Grocery and sales Data'!$R$1:$R$991)</f>
        <v>250</v>
      </c>
      <c r="F757" t="str">
        <f t="shared" si="11"/>
        <v>Medium</v>
      </c>
    </row>
    <row r="758" spans="1:6" ht="16" x14ac:dyDescent="0.4">
      <c r="A758" s="2" t="s">
        <v>2750</v>
      </c>
      <c r="B758" t="str">
        <f>_xlfn.XLOOKUP(A758,'Grocery and sales Data'!$A$1:$A$991,'Grocery and sales Data'!$B$1:$B$991)</f>
        <v>Strawberries</v>
      </c>
      <c r="C758" t="str">
        <f>_xlfn.XLOOKUP(A758,'Grocery and sales Data'!$A$1:$A$991,'Grocery and sales Data'!$C$1:$C$991)</f>
        <v>Fruits &amp; Vegetables</v>
      </c>
      <c r="D758" s="9">
        <f>_xlfn.XLOOKUP(A758,'Grocery and sales Data'!$A$1:$A$991,'Grocery and sales Data'!$I$1:$I$991)</f>
        <v>6</v>
      </c>
      <c r="E758">
        <f>_xlfn.XLOOKUP(A758,'Grocery and sales Data'!$A$1:$A$991,'Grocery and sales Data'!$R$1:$R$991)</f>
        <v>564</v>
      </c>
      <c r="F758" t="str">
        <f t="shared" si="11"/>
        <v>Medium</v>
      </c>
    </row>
    <row r="759" spans="1:6" ht="16" x14ac:dyDescent="0.4">
      <c r="A759" s="2" t="s">
        <v>2753</v>
      </c>
      <c r="B759" t="str">
        <f>_xlfn.XLOOKUP(A759,'Grocery and sales Data'!$A$1:$A$991,'Grocery and sales Data'!$B$1:$B$991)</f>
        <v>Arabica Coffee</v>
      </c>
      <c r="C759" t="str">
        <f>_xlfn.XLOOKUP(A759,'Grocery and sales Data'!$A$1:$A$991,'Grocery and sales Data'!$C$1:$C$991)</f>
        <v>Beverages</v>
      </c>
      <c r="D759" s="9">
        <f>_xlfn.XLOOKUP(A759,'Grocery and sales Data'!$A$1:$A$991,'Grocery and sales Data'!$I$1:$I$991)</f>
        <v>20</v>
      </c>
      <c r="E759">
        <f>_xlfn.XLOOKUP(A759,'Grocery and sales Data'!$A$1:$A$991,'Grocery and sales Data'!$R$1:$R$991)</f>
        <v>1340</v>
      </c>
      <c r="F759" t="str">
        <f t="shared" si="11"/>
        <v>High</v>
      </c>
    </row>
    <row r="760" spans="1:6" ht="16" x14ac:dyDescent="0.4">
      <c r="A760" s="2" t="s">
        <v>2756</v>
      </c>
      <c r="B760" t="str">
        <f>_xlfn.XLOOKUP(A760,'Grocery and sales Data'!$A$1:$A$991,'Grocery and sales Data'!$B$1:$B$991)</f>
        <v>Plum</v>
      </c>
      <c r="C760" t="str">
        <f>_xlfn.XLOOKUP(A760,'Grocery and sales Data'!$A$1:$A$991,'Grocery and sales Data'!$C$1:$C$991)</f>
        <v>Fruits &amp; Vegetables</v>
      </c>
      <c r="D760" s="9">
        <f>_xlfn.XLOOKUP(A760,'Grocery and sales Data'!$A$1:$A$991,'Grocery and sales Data'!$I$1:$I$991)</f>
        <v>4</v>
      </c>
      <c r="E760">
        <f>_xlfn.XLOOKUP(A760,'Grocery and sales Data'!$A$1:$A$991,'Grocery and sales Data'!$R$1:$R$991)</f>
        <v>396</v>
      </c>
      <c r="F760" t="str">
        <f t="shared" si="11"/>
        <v>Medium</v>
      </c>
    </row>
    <row r="761" spans="1:6" ht="16" x14ac:dyDescent="0.4">
      <c r="A761" s="2" t="s">
        <v>2760</v>
      </c>
      <c r="B761" t="str">
        <f>_xlfn.XLOOKUP(A761,'Grocery and sales Data'!$A$1:$A$991,'Grocery and sales Data'!$B$1:$B$991)</f>
        <v>Salmon</v>
      </c>
      <c r="C761" t="str">
        <f>_xlfn.XLOOKUP(A761,'Grocery and sales Data'!$A$1:$A$991,'Grocery and sales Data'!$C$1:$C$991)</f>
        <v>Seafood</v>
      </c>
      <c r="D761" s="9">
        <f>_xlfn.XLOOKUP(A761,'Grocery and sales Data'!$A$1:$A$991,'Grocery and sales Data'!$I$1:$I$991)</f>
        <v>15</v>
      </c>
      <c r="E761">
        <f>_xlfn.XLOOKUP(A761,'Grocery and sales Data'!$A$1:$A$991,'Grocery and sales Data'!$R$1:$R$991)</f>
        <v>315</v>
      </c>
      <c r="F761" t="str">
        <f t="shared" si="11"/>
        <v>Medium</v>
      </c>
    </row>
    <row r="762" spans="1:6" ht="16" x14ac:dyDescent="0.4">
      <c r="A762" s="2" t="s">
        <v>2763</v>
      </c>
      <c r="B762" t="str">
        <f>_xlfn.XLOOKUP(A762,'Grocery and sales Data'!$A$1:$A$991,'Grocery and sales Data'!$B$1:$B$991)</f>
        <v>Broccoli</v>
      </c>
      <c r="C762" t="str">
        <f>_xlfn.XLOOKUP(A762,'Grocery and sales Data'!$A$1:$A$991,'Grocery and sales Data'!$C$1:$C$991)</f>
        <v>Fruits &amp; Vegetables</v>
      </c>
      <c r="D762" s="9">
        <f>_xlfn.XLOOKUP(A762,'Grocery and sales Data'!$A$1:$A$991,'Grocery and sales Data'!$I$1:$I$991)</f>
        <v>4</v>
      </c>
      <c r="E762">
        <f>_xlfn.XLOOKUP(A762,'Grocery and sales Data'!$A$1:$A$991,'Grocery and sales Data'!$R$1:$R$991)</f>
        <v>360</v>
      </c>
      <c r="F762" t="str">
        <f t="shared" si="11"/>
        <v>Medium</v>
      </c>
    </row>
    <row r="763" spans="1:6" ht="16" x14ac:dyDescent="0.4">
      <c r="A763" s="2" t="s">
        <v>2766</v>
      </c>
      <c r="B763" t="str">
        <f>_xlfn.XLOOKUP(A763,'Grocery and sales Data'!$A$1:$A$991,'Grocery and sales Data'!$B$1:$B$991)</f>
        <v>Mackerel</v>
      </c>
      <c r="C763" t="str">
        <f>_xlfn.XLOOKUP(A763,'Grocery and sales Data'!$A$1:$A$991,'Grocery and sales Data'!$C$1:$C$991)</f>
        <v>Seafood</v>
      </c>
      <c r="D763" s="9">
        <f>_xlfn.XLOOKUP(A763,'Grocery and sales Data'!$A$1:$A$991,'Grocery and sales Data'!$I$1:$I$991)</f>
        <v>7.5</v>
      </c>
      <c r="E763">
        <f>_xlfn.XLOOKUP(A763,'Grocery and sales Data'!$A$1:$A$991,'Grocery and sales Data'!$R$1:$R$991)</f>
        <v>262.5</v>
      </c>
      <c r="F763" t="str">
        <f t="shared" si="11"/>
        <v>Medium</v>
      </c>
    </row>
    <row r="764" spans="1:6" ht="16" x14ac:dyDescent="0.4">
      <c r="A764" s="2" t="s">
        <v>2769</v>
      </c>
      <c r="B764" t="str">
        <f>_xlfn.XLOOKUP(A764,'Grocery and sales Data'!$A$1:$A$991,'Grocery and sales Data'!$B$1:$B$991)</f>
        <v>Kale</v>
      </c>
      <c r="C764" t="str">
        <f>_xlfn.XLOOKUP(A764,'Grocery and sales Data'!$A$1:$A$991,'Grocery and sales Data'!$C$1:$C$991)</f>
        <v>Fruits &amp; Vegetables</v>
      </c>
      <c r="D764" s="9">
        <f>_xlfn.XLOOKUP(A764,'Grocery and sales Data'!$A$1:$A$991,'Grocery and sales Data'!$I$1:$I$991)</f>
        <v>4</v>
      </c>
      <c r="E764">
        <f>_xlfn.XLOOKUP(A764,'Grocery and sales Data'!$A$1:$A$991,'Grocery and sales Data'!$R$1:$R$991)</f>
        <v>104</v>
      </c>
      <c r="F764" t="str">
        <f t="shared" si="11"/>
        <v>Medium</v>
      </c>
    </row>
    <row r="765" spans="1:6" ht="16" x14ac:dyDescent="0.4">
      <c r="A765" s="2" t="s">
        <v>2772</v>
      </c>
      <c r="B765" t="str">
        <f>_xlfn.XLOOKUP(A765,'Grocery and sales Data'!$A$1:$A$991,'Grocery and sales Data'!$B$1:$B$991)</f>
        <v>Sesame Oil</v>
      </c>
      <c r="C765" t="str">
        <f>_xlfn.XLOOKUP(A765,'Grocery and sales Data'!$A$1:$A$991,'Grocery and sales Data'!$C$1:$C$991)</f>
        <v>Oils &amp; Fats</v>
      </c>
      <c r="D765" s="9">
        <f>_xlfn.XLOOKUP(A765,'Grocery and sales Data'!$A$1:$A$991,'Grocery and sales Data'!$I$1:$I$991)</f>
        <v>6.5</v>
      </c>
      <c r="E765">
        <f>_xlfn.XLOOKUP(A765,'Grocery and sales Data'!$A$1:$A$991,'Grocery and sales Data'!$R$1:$R$991)</f>
        <v>253.5</v>
      </c>
      <c r="F765" t="str">
        <f t="shared" si="11"/>
        <v>Medium</v>
      </c>
    </row>
    <row r="766" spans="1:6" ht="16" x14ac:dyDescent="0.4">
      <c r="A766" s="2" t="s">
        <v>2775</v>
      </c>
      <c r="B766" t="str">
        <f>_xlfn.XLOOKUP(A766,'Grocery and sales Data'!$A$1:$A$991,'Grocery and sales Data'!$B$1:$B$991)</f>
        <v>Black Coffee</v>
      </c>
      <c r="C766" t="str">
        <f>_xlfn.XLOOKUP(A766,'Grocery and sales Data'!$A$1:$A$991,'Grocery and sales Data'!$C$1:$C$991)</f>
        <v>Beverages</v>
      </c>
      <c r="D766" s="9">
        <f>_xlfn.XLOOKUP(A766,'Grocery and sales Data'!$A$1:$A$991,'Grocery and sales Data'!$I$1:$I$991)</f>
        <v>15</v>
      </c>
      <c r="E766">
        <f>_xlfn.XLOOKUP(A766,'Grocery and sales Data'!$A$1:$A$991,'Grocery and sales Data'!$R$1:$R$991)</f>
        <v>1440</v>
      </c>
      <c r="F766" t="str">
        <f t="shared" si="11"/>
        <v>High</v>
      </c>
    </row>
    <row r="767" spans="1:6" ht="16" x14ac:dyDescent="0.4">
      <c r="A767" s="2" t="s">
        <v>2778</v>
      </c>
      <c r="B767" t="str">
        <f>_xlfn.XLOOKUP(A767,'Grocery and sales Data'!$A$1:$A$991,'Grocery and sales Data'!$B$1:$B$991)</f>
        <v>Apricot</v>
      </c>
      <c r="C767" t="str">
        <f>_xlfn.XLOOKUP(A767,'Grocery and sales Data'!$A$1:$A$991,'Grocery and sales Data'!$C$1:$C$991)</f>
        <v>Fruits &amp; Vegetables</v>
      </c>
      <c r="D767" s="9">
        <f>_xlfn.XLOOKUP(A767,'Grocery and sales Data'!$A$1:$A$991,'Grocery and sales Data'!$I$1:$I$991)</f>
        <v>5</v>
      </c>
      <c r="E767">
        <f>_xlfn.XLOOKUP(A767,'Grocery and sales Data'!$A$1:$A$991,'Grocery and sales Data'!$R$1:$R$991)</f>
        <v>380</v>
      </c>
      <c r="F767" t="str">
        <f t="shared" si="11"/>
        <v>Medium</v>
      </c>
    </row>
    <row r="768" spans="1:6" ht="16" x14ac:dyDescent="0.4">
      <c r="A768" s="2" t="s">
        <v>2781</v>
      </c>
      <c r="B768" t="str">
        <f>_xlfn.XLOOKUP(A768,'Grocery and sales Data'!$A$1:$A$991,'Grocery and sales Data'!$B$1:$B$991)</f>
        <v>Jasmine Rice</v>
      </c>
      <c r="C768" t="str">
        <f>_xlfn.XLOOKUP(A768,'Grocery and sales Data'!$A$1:$A$991,'Grocery and sales Data'!$C$1:$C$991)</f>
        <v>Grains &amp; Pulses</v>
      </c>
      <c r="D768" s="9">
        <f>_xlfn.XLOOKUP(A768,'Grocery and sales Data'!$A$1:$A$991,'Grocery and sales Data'!$I$1:$I$991)</f>
        <v>4.75</v>
      </c>
      <c r="E768">
        <f>_xlfn.XLOOKUP(A768,'Grocery and sales Data'!$A$1:$A$991,'Grocery and sales Data'!$R$1:$R$991)</f>
        <v>299.25</v>
      </c>
      <c r="F768" t="str">
        <f t="shared" si="11"/>
        <v>Medium</v>
      </c>
    </row>
    <row r="769" spans="1:6" ht="16" x14ac:dyDescent="0.4">
      <c r="A769" s="2" t="s">
        <v>2784</v>
      </c>
      <c r="B769" t="str">
        <f>_xlfn.XLOOKUP(A769,'Grocery and sales Data'!$A$1:$A$991,'Grocery and sales Data'!$B$1:$B$991)</f>
        <v>Wild Rice</v>
      </c>
      <c r="C769" t="str">
        <f>_xlfn.XLOOKUP(A769,'Grocery and sales Data'!$A$1:$A$991,'Grocery and sales Data'!$C$1:$C$991)</f>
        <v>Grains &amp; Pulses</v>
      </c>
      <c r="D769" s="9">
        <f>_xlfn.XLOOKUP(A769,'Grocery and sales Data'!$A$1:$A$991,'Grocery and sales Data'!$I$1:$I$991)</f>
        <v>9.75</v>
      </c>
      <c r="E769">
        <f>_xlfn.XLOOKUP(A769,'Grocery and sales Data'!$A$1:$A$991,'Grocery and sales Data'!$R$1:$R$991)</f>
        <v>906.75</v>
      </c>
      <c r="F769" t="str">
        <f t="shared" si="11"/>
        <v>Medium</v>
      </c>
    </row>
    <row r="770" spans="1:6" ht="16" x14ac:dyDescent="0.4">
      <c r="A770" s="2" t="s">
        <v>2788</v>
      </c>
      <c r="B770" t="str">
        <f>_xlfn.XLOOKUP(A770,'Grocery and sales Data'!$A$1:$A$991,'Grocery and sales Data'!$B$1:$B$991)</f>
        <v>Potato</v>
      </c>
      <c r="C770" t="str">
        <f>_xlfn.XLOOKUP(A770,'Grocery and sales Data'!$A$1:$A$991,'Grocery and sales Data'!$C$1:$C$991)</f>
        <v>Fruits &amp; Vegetables</v>
      </c>
      <c r="D770" s="9">
        <f>_xlfn.XLOOKUP(A770,'Grocery and sales Data'!$A$1:$A$991,'Grocery and sales Data'!$I$1:$I$991)</f>
        <v>1.2</v>
      </c>
      <c r="E770">
        <f>_xlfn.XLOOKUP(A770,'Grocery and sales Data'!$A$1:$A$991,'Grocery and sales Data'!$R$1:$R$991)</f>
        <v>115.19999999999999</v>
      </c>
      <c r="F770" t="str">
        <f t="shared" si="11"/>
        <v>Medium</v>
      </c>
    </row>
    <row r="771" spans="1:6" ht="16" x14ac:dyDescent="0.4">
      <c r="A771" s="2" t="s">
        <v>2791</v>
      </c>
      <c r="B771" t="str">
        <f>_xlfn.XLOOKUP(A771,'Grocery and sales Data'!$A$1:$A$991,'Grocery and sales Data'!$B$1:$B$991)</f>
        <v>Egg (Goose)</v>
      </c>
      <c r="C771" t="str">
        <f>_xlfn.XLOOKUP(A771,'Grocery and sales Data'!$A$1:$A$991,'Grocery and sales Data'!$C$1:$C$991)</f>
        <v>Dairy</v>
      </c>
      <c r="D771" s="9">
        <f>_xlfn.XLOOKUP(A771,'Grocery and sales Data'!$A$1:$A$991,'Grocery and sales Data'!$I$1:$I$991)</f>
        <v>2.4</v>
      </c>
      <c r="E771">
        <f>_xlfn.XLOOKUP(A771,'Grocery and sales Data'!$A$1:$A$991,'Grocery and sales Data'!$R$1:$R$991)</f>
        <v>86.399999999999991</v>
      </c>
      <c r="F771" t="str">
        <f t="shared" ref="F771:F834" si="12">IF(E771&gt;=1000,"High",IF(E771&gt;=100,"Medium","Low"))</f>
        <v>Low</v>
      </c>
    </row>
    <row r="772" spans="1:6" ht="16" x14ac:dyDescent="0.4">
      <c r="A772" s="2" t="s">
        <v>2794</v>
      </c>
      <c r="B772" t="str">
        <f>_xlfn.XLOOKUP(A772,'Grocery and sales Data'!$A$1:$A$991,'Grocery and sales Data'!$B$1:$B$991)</f>
        <v>Black Coffee</v>
      </c>
      <c r="C772" t="str">
        <f>_xlfn.XLOOKUP(A772,'Grocery and sales Data'!$A$1:$A$991,'Grocery and sales Data'!$C$1:$C$991)</f>
        <v>Beverages</v>
      </c>
      <c r="D772" s="9">
        <f>_xlfn.XLOOKUP(A772,'Grocery and sales Data'!$A$1:$A$991,'Grocery and sales Data'!$I$1:$I$991)</f>
        <v>15</v>
      </c>
      <c r="E772">
        <f>_xlfn.XLOOKUP(A772,'Grocery and sales Data'!$A$1:$A$991,'Grocery and sales Data'!$R$1:$R$991)</f>
        <v>495</v>
      </c>
      <c r="F772" t="str">
        <f t="shared" si="12"/>
        <v>Medium</v>
      </c>
    </row>
    <row r="773" spans="1:6" ht="16" x14ac:dyDescent="0.4">
      <c r="A773" s="2" t="s">
        <v>2797</v>
      </c>
      <c r="B773" t="str">
        <f>_xlfn.XLOOKUP(A773,'Grocery and sales Data'!$A$1:$A$991,'Grocery and sales Data'!$B$1:$B$991)</f>
        <v>Whole Wheat Bread</v>
      </c>
      <c r="C773" t="str">
        <f>_xlfn.XLOOKUP(A773,'Grocery and sales Data'!$A$1:$A$991,'Grocery and sales Data'!$C$1:$C$991)</f>
        <v>Bakery</v>
      </c>
      <c r="D773" s="9">
        <f>_xlfn.XLOOKUP(A773,'Grocery and sales Data'!$A$1:$A$991,'Grocery and sales Data'!$I$1:$I$991)</f>
        <v>3.5</v>
      </c>
      <c r="E773">
        <f>_xlfn.XLOOKUP(A773,'Grocery and sales Data'!$A$1:$A$991,'Grocery and sales Data'!$R$1:$R$991)</f>
        <v>234.5</v>
      </c>
      <c r="F773" t="str">
        <f t="shared" si="12"/>
        <v>Medium</v>
      </c>
    </row>
    <row r="774" spans="1:6" ht="16" x14ac:dyDescent="0.4">
      <c r="A774" s="2" t="s">
        <v>2800</v>
      </c>
      <c r="B774" t="str">
        <f>_xlfn.XLOOKUP(A774,'Grocery and sales Data'!$A$1:$A$991,'Grocery and sales Data'!$B$1:$B$991)</f>
        <v>Vegetable Oil</v>
      </c>
      <c r="C774" t="str">
        <f>_xlfn.XLOOKUP(A774,'Grocery and sales Data'!$A$1:$A$991,'Grocery and sales Data'!$C$1:$C$991)</f>
        <v>Oils &amp; Fats</v>
      </c>
      <c r="D774" s="9">
        <f>_xlfn.XLOOKUP(A774,'Grocery and sales Data'!$A$1:$A$991,'Grocery and sales Data'!$I$1:$I$991)</f>
        <v>2</v>
      </c>
      <c r="E774">
        <f>_xlfn.XLOOKUP(A774,'Grocery and sales Data'!$A$1:$A$991,'Grocery and sales Data'!$R$1:$R$991)</f>
        <v>48</v>
      </c>
      <c r="F774" t="str">
        <f t="shared" si="12"/>
        <v>Low</v>
      </c>
    </row>
    <row r="775" spans="1:6" ht="16" x14ac:dyDescent="0.4">
      <c r="A775" s="2" t="s">
        <v>2803</v>
      </c>
      <c r="B775" t="str">
        <f>_xlfn.XLOOKUP(A775,'Grocery and sales Data'!$A$1:$A$991,'Grocery and sales Data'!$B$1:$B$991)</f>
        <v>Black Coffee</v>
      </c>
      <c r="C775" t="str">
        <f>_xlfn.XLOOKUP(A775,'Grocery and sales Data'!$A$1:$A$991,'Grocery and sales Data'!$C$1:$C$991)</f>
        <v>Beverages</v>
      </c>
      <c r="D775" s="9">
        <f>_xlfn.XLOOKUP(A775,'Grocery and sales Data'!$A$1:$A$991,'Grocery and sales Data'!$I$1:$I$991)</f>
        <v>14.9</v>
      </c>
      <c r="E775">
        <f>_xlfn.XLOOKUP(A775,'Grocery and sales Data'!$A$1:$A$991,'Grocery and sales Data'!$R$1:$R$991)</f>
        <v>1341</v>
      </c>
      <c r="F775" t="str">
        <f t="shared" si="12"/>
        <v>High</v>
      </c>
    </row>
    <row r="776" spans="1:6" ht="16" x14ac:dyDescent="0.4">
      <c r="A776" s="2" t="s">
        <v>2806</v>
      </c>
      <c r="B776" t="str">
        <f>_xlfn.XLOOKUP(A776,'Grocery and sales Data'!$A$1:$A$991,'Grocery and sales Data'!$B$1:$B$991)</f>
        <v>Pear</v>
      </c>
      <c r="C776" t="str">
        <f>_xlfn.XLOOKUP(A776,'Grocery and sales Data'!$A$1:$A$991,'Grocery and sales Data'!$C$1:$C$991)</f>
        <v>Fruits &amp; Vegetables</v>
      </c>
      <c r="D776" s="9">
        <f>_xlfn.XLOOKUP(A776,'Grocery and sales Data'!$A$1:$A$991,'Grocery and sales Data'!$I$1:$I$991)</f>
        <v>4.5</v>
      </c>
      <c r="E776">
        <f>_xlfn.XLOOKUP(A776,'Grocery and sales Data'!$A$1:$A$991,'Grocery and sales Data'!$R$1:$R$991)</f>
        <v>148.5</v>
      </c>
      <c r="F776" t="str">
        <f t="shared" si="12"/>
        <v>Medium</v>
      </c>
    </row>
    <row r="777" spans="1:6" ht="16" x14ac:dyDescent="0.4">
      <c r="A777" s="2" t="s">
        <v>2809</v>
      </c>
      <c r="B777" t="str">
        <f>_xlfn.XLOOKUP(A777,'Grocery and sales Data'!$A$1:$A$991,'Grocery and sales Data'!$B$1:$B$991)</f>
        <v>Tilapia</v>
      </c>
      <c r="C777" t="str">
        <f>_xlfn.XLOOKUP(A777,'Grocery and sales Data'!$A$1:$A$991,'Grocery and sales Data'!$C$1:$C$991)</f>
        <v>Seafood</v>
      </c>
      <c r="D777" s="9">
        <f>_xlfn.XLOOKUP(A777,'Grocery and sales Data'!$A$1:$A$991,'Grocery and sales Data'!$I$1:$I$991)</f>
        <v>6.8</v>
      </c>
      <c r="E777">
        <f>_xlfn.XLOOKUP(A777,'Grocery and sales Data'!$A$1:$A$991,'Grocery and sales Data'!$R$1:$R$991)</f>
        <v>435.2</v>
      </c>
      <c r="F777" t="str">
        <f t="shared" si="12"/>
        <v>Medium</v>
      </c>
    </row>
    <row r="778" spans="1:6" ht="16" x14ac:dyDescent="0.4">
      <c r="A778" s="2" t="s">
        <v>2812</v>
      </c>
      <c r="B778" t="str">
        <f>_xlfn.XLOOKUP(A778,'Grocery and sales Data'!$A$1:$A$991,'Grocery and sales Data'!$B$1:$B$991)</f>
        <v>Orange</v>
      </c>
      <c r="C778" t="str">
        <f>_xlfn.XLOOKUP(A778,'Grocery and sales Data'!$A$1:$A$991,'Grocery and sales Data'!$C$1:$C$991)</f>
        <v>Fruits &amp; Vegetables</v>
      </c>
      <c r="D778" s="9">
        <f>_xlfn.XLOOKUP(A778,'Grocery and sales Data'!$A$1:$A$991,'Grocery and sales Data'!$I$1:$I$991)</f>
        <v>3</v>
      </c>
      <c r="E778">
        <f>_xlfn.XLOOKUP(A778,'Grocery and sales Data'!$A$1:$A$991,'Grocery and sales Data'!$R$1:$R$991)</f>
        <v>258</v>
      </c>
      <c r="F778" t="str">
        <f t="shared" si="12"/>
        <v>Medium</v>
      </c>
    </row>
    <row r="779" spans="1:6" ht="16" x14ac:dyDescent="0.4">
      <c r="A779" s="2" t="s">
        <v>2815</v>
      </c>
      <c r="B779" t="str">
        <f>_xlfn.XLOOKUP(A779,'Grocery and sales Data'!$A$1:$A$991,'Grocery and sales Data'!$B$1:$B$991)</f>
        <v>Lime</v>
      </c>
      <c r="C779" t="str">
        <f>_xlfn.XLOOKUP(A779,'Grocery and sales Data'!$A$1:$A$991,'Grocery and sales Data'!$C$1:$C$991)</f>
        <v>Fruits &amp; Vegetables</v>
      </c>
      <c r="D779" s="9">
        <f>_xlfn.XLOOKUP(A779,'Grocery and sales Data'!$A$1:$A$991,'Grocery and sales Data'!$I$1:$I$991)</f>
        <v>2</v>
      </c>
      <c r="E779">
        <f>_xlfn.XLOOKUP(A779,'Grocery and sales Data'!$A$1:$A$991,'Grocery and sales Data'!$R$1:$R$991)</f>
        <v>64</v>
      </c>
      <c r="F779" t="str">
        <f t="shared" si="12"/>
        <v>Low</v>
      </c>
    </row>
    <row r="780" spans="1:6" ht="16" x14ac:dyDescent="0.4">
      <c r="A780" s="2" t="s">
        <v>2818</v>
      </c>
      <c r="B780" t="str">
        <f>_xlfn.XLOOKUP(A780,'Grocery and sales Data'!$A$1:$A$991,'Grocery and sales Data'!$B$1:$B$991)</f>
        <v>Gouda Cheese</v>
      </c>
      <c r="C780" t="str">
        <f>_xlfn.XLOOKUP(A780,'Grocery and sales Data'!$A$1:$A$991,'Grocery and sales Data'!$C$1:$C$991)</f>
        <v>Dairy</v>
      </c>
      <c r="D780" s="9">
        <f>_xlfn.XLOOKUP(A780,'Grocery and sales Data'!$A$1:$A$991,'Grocery and sales Data'!$I$1:$I$991)</f>
        <v>7</v>
      </c>
      <c r="E780">
        <f>_xlfn.XLOOKUP(A780,'Grocery and sales Data'!$A$1:$A$991,'Grocery and sales Data'!$R$1:$R$991)</f>
        <v>413</v>
      </c>
      <c r="F780" t="str">
        <f t="shared" si="12"/>
        <v>Medium</v>
      </c>
    </row>
    <row r="781" spans="1:6" ht="16" x14ac:dyDescent="0.4">
      <c r="A781" s="2" t="s">
        <v>2821</v>
      </c>
      <c r="B781" t="str">
        <f>_xlfn.XLOOKUP(A781,'Grocery and sales Data'!$A$1:$A$991,'Grocery and sales Data'!$B$1:$B$991)</f>
        <v>Onion</v>
      </c>
      <c r="C781" t="str">
        <f>_xlfn.XLOOKUP(A781,'Grocery and sales Data'!$A$1:$A$991,'Grocery and sales Data'!$C$1:$C$991)</f>
        <v>Fruits &amp; Vegetables</v>
      </c>
      <c r="D781" s="9">
        <f>_xlfn.XLOOKUP(A781,'Grocery and sales Data'!$A$1:$A$991,'Grocery and sales Data'!$I$1:$I$991)</f>
        <v>2</v>
      </c>
      <c r="E781">
        <f>_xlfn.XLOOKUP(A781,'Grocery and sales Data'!$A$1:$A$991,'Grocery and sales Data'!$R$1:$R$991)</f>
        <v>80</v>
      </c>
      <c r="F781" t="str">
        <f t="shared" si="12"/>
        <v>Low</v>
      </c>
    </row>
    <row r="782" spans="1:6" ht="16" x14ac:dyDescent="0.4">
      <c r="A782" s="2" t="s">
        <v>2824</v>
      </c>
      <c r="B782" t="str">
        <f>_xlfn.XLOOKUP(A782,'Grocery and sales Data'!$A$1:$A$991,'Grocery and sales Data'!$B$1:$B$991)</f>
        <v>Haddock</v>
      </c>
      <c r="C782" t="str">
        <f>_xlfn.XLOOKUP(A782,'Grocery and sales Data'!$A$1:$A$991,'Grocery and sales Data'!$C$1:$C$991)</f>
        <v>Seafood</v>
      </c>
      <c r="D782" s="9">
        <f>_xlfn.XLOOKUP(A782,'Grocery and sales Data'!$A$1:$A$991,'Grocery and sales Data'!$I$1:$I$991)</f>
        <v>9</v>
      </c>
      <c r="E782">
        <f>_xlfn.XLOOKUP(A782,'Grocery and sales Data'!$A$1:$A$991,'Grocery and sales Data'!$R$1:$R$991)</f>
        <v>774</v>
      </c>
      <c r="F782" t="str">
        <f t="shared" si="12"/>
        <v>Medium</v>
      </c>
    </row>
    <row r="783" spans="1:6" ht="16" x14ac:dyDescent="0.4">
      <c r="A783" s="2" t="s">
        <v>2827</v>
      </c>
      <c r="B783" t="str">
        <f>_xlfn.XLOOKUP(A783,'Grocery and sales Data'!$A$1:$A$991,'Grocery and sales Data'!$B$1:$B$991)</f>
        <v>Almond Flour</v>
      </c>
      <c r="C783" t="str">
        <f>_xlfn.XLOOKUP(A783,'Grocery and sales Data'!$A$1:$A$991,'Grocery and sales Data'!$C$1:$C$991)</f>
        <v>Grains &amp; Pulses</v>
      </c>
      <c r="D783" s="9">
        <f>_xlfn.XLOOKUP(A783,'Grocery and sales Data'!$A$1:$A$991,'Grocery and sales Data'!$I$1:$I$991)</f>
        <v>9.5</v>
      </c>
      <c r="E783">
        <f>_xlfn.XLOOKUP(A783,'Grocery and sales Data'!$A$1:$A$991,'Grocery and sales Data'!$R$1:$R$991)</f>
        <v>228</v>
      </c>
      <c r="F783" t="str">
        <f t="shared" si="12"/>
        <v>Medium</v>
      </c>
    </row>
    <row r="784" spans="1:6" ht="16" x14ac:dyDescent="0.4">
      <c r="A784" s="2" t="s">
        <v>2830</v>
      </c>
      <c r="B784" t="str">
        <f>_xlfn.XLOOKUP(A784,'Grocery and sales Data'!$A$1:$A$991,'Grocery and sales Data'!$B$1:$B$991)</f>
        <v>Tomato</v>
      </c>
      <c r="C784" t="str">
        <f>_xlfn.XLOOKUP(A784,'Grocery and sales Data'!$A$1:$A$991,'Grocery and sales Data'!$C$1:$C$991)</f>
        <v>Fruits &amp; Vegetables</v>
      </c>
      <c r="D784" s="9">
        <f>_xlfn.XLOOKUP(A784,'Grocery and sales Data'!$A$1:$A$991,'Grocery and sales Data'!$I$1:$I$991)</f>
        <v>2.5</v>
      </c>
      <c r="E784">
        <f>_xlfn.XLOOKUP(A784,'Grocery and sales Data'!$A$1:$A$991,'Grocery and sales Data'!$R$1:$R$991)</f>
        <v>232.5</v>
      </c>
      <c r="F784" t="str">
        <f t="shared" si="12"/>
        <v>Medium</v>
      </c>
    </row>
    <row r="785" spans="1:6" ht="16" x14ac:dyDescent="0.4">
      <c r="A785" s="2" t="s">
        <v>2833</v>
      </c>
      <c r="B785" t="str">
        <f>_xlfn.XLOOKUP(A785,'Grocery and sales Data'!$A$1:$A$991,'Grocery and sales Data'!$B$1:$B$991)</f>
        <v>Heavy Cream</v>
      </c>
      <c r="C785" t="str">
        <f>_xlfn.XLOOKUP(A785,'Grocery and sales Data'!$A$1:$A$991,'Grocery and sales Data'!$C$1:$C$991)</f>
        <v>Dairy</v>
      </c>
      <c r="D785" s="9">
        <f>_xlfn.XLOOKUP(A785,'Grocery and sales Data'!$A$1:$A$991,'Grocery and sales Data'!$I$1:$I$991)</f>
        <v>4</v>
      </c>
      <c r="E785">
        <f>_xlfn.XLOOKUP(A785,'Grocery and sales Data'!$A$1:$A$991,'Grocery and sales Data'!$R$1:$R$991)</f>
        <v>380</v>
      </c>
      <c r="F785" t="str">
        <f t="shared" si="12"/>
        <v>Medium</v>
      </c>
    </row>
    <row r="786" spans="1:6" ht="16" x14ac:dyDescent="0.4">
      <c r="A786" s="2" t="s">
        <v>2837</v>
      </c>
      <c r="B786" t="str">
        <f>_xlfn.XLOOKUP(A786,'Grocery and sales Data'!$A$1:$A$991,'Grocery and sales Data'!$B$1:$B$991)</f>
        <v>Cauliflower</v>
      </c>
      <c r="C786" t="str">
        <f>_xlfn.XLOOKUP(A786,'Grocery and sales Data'!$A$1:$A$991,'Grocery and sales Data'!$C$1:$C$991)</f>
        <v>Fruits &amp; Vegetables</v>
      </c>
      <c r="D786" s="9">
        <f>_xlfn.XLOOKUP(A786,'Grocery and sales Data'!$A$1:$A$991,'Grocery and sales Data'!$I$1:$I$991)</f>
        <v>2.5</v>
      </c>
      <c r="E786">
        <f>_xlfn.XLOOKUP(A786,'Grocery and sales Data'!$A$1:$A$991,'Grocery and sales Data'!$R$1:$R$991)</f>
        <v>217.5</v>
      </c>
      <c r="F786" t="str">
        <f t="shared" si="12"/>
        <v>Medium</v>
      </c>
    </row>
    <row r="787" spans="1:6" ht="16" x14ac:dyDescent="0.4">
      <c r="A787" s="2" t="s">
        <v>2840</v>
      </c>
      <c r="B787" t="str">
        <f>_xlfn.XLOOKUP(A787,'Grocery and sales Data'!$A$1:$A$991,'Grocery and sales Data'!$B$1:$B$991)</f>
        <v>Lime</v>
      </c>
      <c r="C787" t="str">
        <f>_xlfn.XLOOKUP(A787,'Grocery and sales Data'!$A$1:$A$991,'Grocery and sales Data'!$C$1:$C$991)</f>
        <v>Fruits &amp; Vegetables</v>
      </c>
      <c r="D787" s="9">
        <f>_xlfn.XLOOKUP(A787,'Grocery and sales Data'!$A$1:$A$991,'Grocery and sales Data'!$I$1:$I$991)</f>
        <v>1.9</v>
      </c>
      <c r="E787">
        <f>_xlfn.XLOOKUP(A787,'Grocery and sales Data'!$A$1:$A$991,'Grocery and sales Data'!$R$1:$R$991)</f>
        <v>119.69999999999999</v>
      </c>
      <c r="F787" t="str">
        <f t="shared" si="12"/>
        <v>Medium</v>
      </c>
    </row>
    <row r="788" spans="1:6" ht="16" x14ac:dyDescent="0.4">
      <c r="A788" s="2" t="s">
        <v>2843</v>
      </c>
      <c r="B788" t="str">
        <f>_xlfn.XLOOKUP(A788,'Grocery and sales Data'!$A$1:$A$991,'Grocery and sales Data'!$B$1:$B$991)</f>
        <v>Egg (Turkey)</v>
      </c>
      <c r="C788" t="str">
        <f>_xlfn.XLOOKUP(A788,'Grocery and sales Data'!$A$1:$A$991,'Grocery and sales Data'!$C$1:$C$991)</f>
        <v>Dairy</v>
      </c>
      <c r="D788" s="9">
        <f>_xlfn.XLOOKUP(A788,'Grocery and sales Data'!$A$1:$A$991,'Grocery and sales Data'!$I$1:$I$991)</f>
        <v>2.35</v>
      </c>
      <c r="E788">
        <f>_xlfn.XLOOKUP(A788,'Grocery and sales Data'!$A$1:$A$991,'Grocery and sales Data'!$R$1:$R$991)</f>
        <v>183.3</v>
      </c>
      <c r="F788" t="str">
        <f t="shared" si="12"/>
        <v>Medium</v>
      </c>
    </row>
    <row r="789" spans="1:6" ht="16" x14ac:dyDescent="0.4">
      <c r="A789" s="2" t="s">
        <v>2846</v>
      </c>
      <c r="B789" t="str">
        <f>_xlfn.XLOOKUP(A789,'Grocery and sales Data'!$A$1:$A$991,'Grocery and sales Data'!$B$1:$B$991)</f>
        <v>White Tea</v>
      </c>
      <c r="C789" t="str">
        <f>_xlfn.XLOOKUP(A789,'Grocery and sales Data'!$A$1:$A$991,'Grocery and sales Data'!$C$1:$C$991)</f>
        <v>Beverages</v>
      </c>
      <c r="D789" s="9">
        <f>_xlfn.XLOOKUP(A789,'Grocery and sales Data'!$A$1:$A$991,'Grocery and sales Data'!$I$1:$I$991)</f>
        <v>25.25</v>
      </c>
      <c r="E789">
        <f>_xlfn.XLOOKUP(A789,'Grocery and sales Data'!$A$1:$A$991,'Grocery and sales Data'!$R$1:$R$991)</f>
        <v>1338.25</v>
      </c>
      <c r="F789" t="str">
        <f t="shared" si="12"/>
        <v>High</v>
      </c>
    </row>
    <row r="790" spans="1:6" ht="16" x14ac:dyDescent="0.4">
      <c r="A790" s="2" t="s">
        <v>2850</v>
      </c>
      <c r="B790" t="str">
        <f>_xlfn.XLOOKUP(A790,'Grocery and sales Data'!$A$1:$A$991,'Grocery and sales Data'!$B$1:$B$991)</f>
        <v>Cabbage</v>
      </c>
      <c r="C790" t="str">
        <f>_xlfn.XLOOKUP(A790,'Grocery and sales Data'!$A$1:$A$991,'Grocery and sales Data'!$C$1:$C$991)</f>
        <v>Fruits &amp; Vegetables</v>
      </c>
      <c r="D790" s="9">
        <f>_xlfn.XLOOKUP(A790,'Grocery and sales Data'!$A$1:$A$991,'Grocery and sales Data'!$I$1:$I$991)</f>
        <v>1</v>
      </c>
      <c r="E790">
        <f>_xlfn.XLOOKUP(A790,'Grocery and sales Data'!$A$1:$A$991,'Grocery and sales Data'!$R$1:$R$991)</f>
        <v>55</v>
      </c>
      <c r="F790" t="str">
        <f t="shared" si="12"/>
        <v>Low</v>
      </c>
    </row>
    <row r="791" spans="1:6" ht="16" x14ac:dyDescent="0.4">
      <c r="A791" s="2" t="s">
        <v>2853</v>
      </c>
      <c r="B791" t="str">
        <f>_xlfn.XLOOKUP(A791,'Grocery and sales Data'!$A$1:$A$991,'Grocery and sales Data'!$B$1:$B$991)</f>
        <v>Jasmine Rice</v>
      </c>
      <c r="C791" t="str">
        <f>_xlfn.XLOOKUP(A791,'Grocery and sales Data'!$A$1:$A$991,'Grocery and sales Data'!$C$1:$C$991)</f>
        <v>Grains &amp; Pulses</v>
      </c>
      <c r="D791" s="9">
        <f>_xlfn.XLOOKUP(A791,'Grocery and sales Data'!$A$1:$A$991,'Grocery and sales Data'!$I$1:$I$991)</f>
        <v>4.75</v>
      </c>
      <c r="E791">
        <f>_xlfn.XLOOKUP(A791,'Grocery and sales Data'!$A$1:$A$991,'Grocery and sales Data'!$R$1:$R$991)</f>
        <v>475</v>
      </c>
      <c r="F791" t="str">
        <f t="shared" si="12"/>
        <v>Medium</v>
      </c>
    </row>
    <row r="792" spans="1:6" ht="16" x14ac:dyDescent="0.4">
      <c r="A792" s="2" t="s">
        <v>2856</v>
      </c>
      <c r="B792" t="str">
        <f>_xlfn.XLOOKUP(A792,'Grocery and sales Data'!$A$1:$A$991,'Grocery and sales Data'!$B$1:$B$991)</f>
        <v>Butter Biscuit</v>
      </c>
      <c r="C792" t="str">
        <f>_xlfn.XLOOKUP(A792,'Grocery and sales Data'!$A$1:$A$991,'Grocery and sales Data'!$C$1:$C$991)</f>
        <v>Bakery</v>
      </c>
      <c r="D792" s="9">
        <f>_xlfn.XLOOKUP(A792,'Grocery and sales Data'!$A$1:$A$991,'Grocery and sales Data'!$I$1:$I$991)</f>
        <v>6</v>
      </c>
      <c r="E792">
        <f>_xlfn.XLOOKUP(A792,'Grocery and sales Data'!$A$1:$A$991,'Grocery and sales Data'!$R$1:$R$991)</f>
        <v>306</v>
      </c>
      <c r="F792" t="str">
        <f t="shared" si="12"/>
        <v>Medium</v>
      </c>
    </row>
    <row r="793" spans="1:6" ht="16" x14ac:dyDescent="0.4">
      <c r="A793" s="2" t="s">
        <v>2859</v>
      </c>
      <c r="B793" t="str">
        <f>_xlfn.XLOOKUP(A793,'Grocery and sales Data'!$A$1:$A$991,'Grocery and sales Data'!$B$1:$B$991)</f>
        <v>Brown Rice</v>
      </c>
      <c r="C793" t="str">
        <f>_xlfn.XLOOKUP(A793,'Grocery and sales Data'!$A$1:$A$991,'Grocery and sales Data'!$C$1:$C$991)</f>
        <v>Grains &amp; Pulses</v>
      </c>
      <c r="D793" s="9">
        <f>_xlfn.XLOOKUP(A793,'Grocery and sales Data'!$A$1:$A$991,'Grocery and sales Data'!$I$1:$I$991)</f>
        <v>2.5</v>
      </c>
      <c r="E793">
        <f>_xlfn.XLOOKUP(A793,'Grocery and sales Data'!$A$1:$A$991,'Grocery and sales Data'!$R$1:$R$991)</f>
        <v>107.5</v>
      </c>
      <c r="F793" t="str">
        <f t="shared" si="12"/>
        <v>Medium</v>
      </c>
    </row>
    <row r="794" spans="1:6" ht="16" x14ac:dyDescent="0.4">
      <c r="A794" s="2" t="s">
        <v>2862</v>
      </c>
      <c r="B794" t="str">
        <f>_xlfn.XLOOKUP(A794,'Grocery and sales Data'!$A$1:$A$991,'Grocery and sales Data'!$B$1:$B$991)</f>
        <v>Bread Flour</v>
      </c>
      <c r="C794" t="str">
        <f>_xlfn.XLOOKUP(A794,'Grocery and sales Data'!$A$1:$A$991,'Grocery and sales Data'!$C$1:$C$991)</f>
        <v>Grains &amp; Pulses</v>
      </c>
      <c r="D794" s="9">
        <f>_xlfn.XLOOKUP(A794,'Grocery and sales Data'!$A$1:$A$991,'Grocery and sales Data'!$I$1:$I$991)</f>
        <v>1.5</v>
      </c>
      <c r="E794">
        <f>_xlfn.XLOOKUP(A794,'Grocery and sales Data'!$A$1:$A$991,'Grocery and sales Data'!$R$1:$R$991)</f>
        <v>61.5</v>
      </c>
      <c r="F794" t="str">
        <f t="shared" si="12"/>
        <v>Low</v>
      </c>
    </row>
    <row r="795" spans="1:6" ht="16" x14ac:dyDescent="0.4">
      <c r="A795" s="2" t="s">
        <v>2865</v>
      </c>
      <c r="B795" t="str">
        <f>_xlfn.XLOOKUP(A795,'Grocery and sales Data'!$A$1:$A$991,'Grocery and sales Data'!$B$1:$B$991)</f>
        <v>Palm Oil</v>
      </c>
      <c r="C795" t="str">
        <f>_xlfn.XLOOKUP(A795,'Grocery and sales Data'!$A$1:$A$991,'Grocery and sales Data'!$C$1:$C$991)</f>
        <v>Oils &amp; Fats</v>
      </c>
      <c r="D795" s="9">
        <f>_xlfn.XLOOKUP(A795,'Grocery and sales Data'!$A$1:$A$991,'Grocery and sales Data'!$I$1:$I$991)</f>
        <v>1.8</v>
      </c>
      <c r="E795">
        <f>_xlfn.XLOOKUP(A795,'Grocery and sales Data'!$A$1:$A$991,'Grocery and sales Data'!$R$1:$R$991)</f>
        <v>82.8</v>
      </c>
      <c r="F795" t="str">
        <f t="shared" si="12"/>
        <v>Low</v>
      </c>
    </row>
    <row r="796" spans="1:6" ht="16" x14ac:dyDescent="0.4">
      <c r="A796" s="2" t="s">
        <v>2869</v>
      </c>
      <c r="B796" t="str">
        <f>_xlfn.XLOOKUP(A796,'Grocery and sales Data'!$A$1:$A$991,'Grocery and sales Data'!$B$1:$B$991)</f>
        <v>Almond Flour</v>
      </c>
      <c r="C796" t="str">
        <f>_xlfn.XLOOKUP(A796,'Grocery and sales Data'!$A$1:$A$991,'Grocery and sales Data'!$C$1:$C$991)</f>
        <v>Grains &amp; Pulses</v>
      </c>
      <c r="D796" s="9">
        <f>_xlfn.XLOOKUP(A796,'Grocery and sales Data'!$A$1:$A$991,'Grocery and sales Data'!$I$1:$I$991)</f>
        <v>9.5</v>
      </c>
      <c r="E796">
        <f>_xlfn.XLOOKUP(A796,'Grocery and sales Data'!$A$1:$A$991,'Grocery and sales Data'!$R$1:$R$991)</f>
        <v>256.5</v>
      </c>
      <c r="F796" t="str">
        <f t="shared" si="12"/>
        <v>Medium</v>
      </c>
    </row>
    <row r="797" spans="1:6" ht="16" x14ac:dyDescent="0.4">
      <c r="A797" s="2" t="s">
        <v>2872</v>
      </c>
      <c r="B797" t="str">
        <f>_xlfn.XLOOKUP(A797,'Grocery and sales Data'!$A$1:$A$991,'Grocery and sales Data'!$B$1:$B$991)</f>
        <v>Apricot</v>
      </c>
      <c r="C797" t="str">
        <f>_xlfn.XLOOKUP(A797,'Grocery and sales Data'!$A$1:$A$991,'Grocery and sales Data'!$C$1:$C$991)</f>
        <v>Fruits &amp; Vegetables</v>
      </c>
      <c r="D797" s="9">
        <f>_xlfn.XLOOKUP(A797,'Grocery and sales Data'!$A$1:$A$991,'Grocery and sales Data'!$I$1:$I$991)</f>
        <v>5</v>
      </c>
      <c r="E797">
        <f>_xlfn.XLOOKUP(A797,'Grocery and sales Data'!$A$1:$A$991,'Grocery and sales Data'!$R$1:$R$991)</f>
        <v>430</v>
      </c>
      <c r="F797" t="str">
        <f t="shared" si="12"/>
        <v>Medium</v>
      </c>
    </row>
    <row r="798" spans="1:6" ht="16" x14ac:dyDescent="0.4">
      <c r="A798" s="2" t="s">
        <v>2875</v>
      </c>
      <c r="B798" t="str">
        <f>_xlfn.XLOOKUP(A798,'Grocery and sales Data'!$A$1:$A$991,'Grocery and sales Data'!$B$1:$B$991)</f>
        <v>Sweet Potato</v>
      </c>
      <c r="C798" t="str">
        <f>_xlfn.XLOOKUP(A798,'Grocery and sales Data'!$A$1:$A$991,'Grocery and sales Data'!$C$1:$C$991)</f>
        <v>Fruits &amp; Vegetables</v>
      </c>
      <c r="D798" s="9">
        <f>_xlfn.XLOOKUP(A798,'Grocery and sales Data'!$A$1:$A$991,'Grocery and sales Data'!$I$1:$I$991)</f>
        <v>2</v>
      </c>
      <c r="E798">
        <f>_xlfn.XLOOKUP(A798,'Grocery and sales Data'!$A$1:$A$991,'Grocery and sales Data'!$R$1:$R$991)</f>
        <v>178</v>
      </c>
      <c r="F798" t="str">
        <f t="shared" si="12"/>
        <v>Medium</v>
      </c>
    </row>
    <row r="799" spans="1:6" ht="16" x14ac:dyDescent="0.4">
      <c r="A799" s="2" t="s">
        <v>2878</v>
      </c>
      <c r="B799" t="str">
        <f>_xlfn.XLOOKUP(A799,'Grocery and sales Data'!$A$1:$A$991,'Grocery and sales Data'!$B$1:$B$991)</f>
        <v>Sour Cream</v>
      </c>
      <c r="C799" t="str">
        <f>_xlfn.XLOOKUP(A799,'Grocery and sales Data'!$A$1:$A$991,'Grocery and sales Data'!$C$1:$C$991)</f>
        <v>Dairy</v>
      </c>
      <c r="D799" s="9">
        <f>_xlfn.XLOOKUP(A799,'Grocery and sales Data'!$A$1:$A$991,'Grocery and sales Data'!$I$1:$I$991)</f>
        <v>4</v>
      </c>
      <c r="E799">
        <f>_xlfn.XLOOKUP(A799,'Grocery and sales Data'!$A$1:$A$991,'Grocery and sales Data'!$R$1:$R$991)</f>
        <v>272</v>
      </c>
      <c r="F799" t="str">
        <f t="shared" si="12"/>
        <v>Medium</v>
      </c>
    </row>
    <row r="800" spans="1:6" ht="16" x14ac:dyDescent="0.4">
      <c r="A800" s="2" t="s">
        <v>2881</v>
      </c>
      <c r="B800" t="str">
        <f>_xlfn.XLOOKUP(A800,'Grocery and sales Data'!$A$1:$A$991,'Grocery and sales Data'!$B$1:$B$991)</f>
        <v>Black Rice</v>
      </c>
      <c r="C800" t="str">
        <f>_xlfn.XLOOKUP(A800,'Grocery and sales Data'!$A$1:$A$991,'Grocery and sales Data'!$C$1:$C$991)</f>
        <v>Grains &amp; Pulses</v>
      </c>
      <c r="D800" s="9">
        <f>_xlfn.XLOOKUP(A800,'Grocery and sales Data'!$A$1:$A$991,'Grocery and sales Data'!$I$1:$I$991)</f>
        <v>6.25</v>
      </c>
      <c r="E800">
        <f>_xlfn.XLOOKUP(A800,'Grocery and sales Data'!$A$1:$A$991,'Grocery and sales Data'!$R$1:$R$991)</f>
        <v>237.5</v>
      </c>
      <c r="F800" t="str">
        <f t="shared" si="12"/>
        <v>Medium</v>
      </c>
    </row>
    <row r="801" spans="1:6" ht="16" x14ac:dyDescent="0.4">
      <c r="A801" s="2" t="s">
        <v>2884</v>
      </c>
      <c r="B801" t="str">
        <f>_xlfn.XLOOKUP(A801,'Grocery and sales Data'!$A$1:$A$991,'Grocery and sales Data'!$B$1:$B$991)</f>
        <v>Salmon</v>
      </c>
      <c r="C801" t="str">
        <f>_xlfn.XLOOKUP(A801,'Grocery and sales Data'!$A$1:$A$991,'Grocery and sales Data'!$C$1:$C$991)</f>
        <v>Seafood</v>
      </c>
      <c r="D801" s="9">
        <f>_xlfn.XLOOKUP(A801,'Grocery and sales Data'!$A$1:$A$991,'Grocery and sales Data'!$I$1:$I$991)</f>
        <v>15</v>
      </c>
      <c r="E801">
        <f>_xlfn.XLOOKUP(A801,'Grocery and sales Data'!$A$1:$A$991,'Grocery and sales Data'!$R$1:$R$991)</f>
        <v>705</v>
      </c>
      <c r="F801" t="str">
        <f t="shared" si="12"/>
        <v>Medium</v>
      </c>
    </row>
    <row r="802" spans="1:6" ht="16" x14ac:dyDescent="0.4">
      <c r="A802" s="2" t="s">
        <v>2887</v>
      </c>
      <c r="B802" t="str">
        <f>_xlfn.XLOOKUP(A802,'Grocery and sales Data'!$A$1:$A$991,'Grocery and sales Data'!$B$1:$B$991)</f>
        <v>Heavy Cream</v>
      </c>
      <c r="C802" t="str">
        <f>_xlfn.XLOOKUP(A802,'Grocery and sales Data'!$A$1:$A$991,'Grocery and sales Data'!$C$1:$C$991)</f>
        <v>Dairy</v>
      </c>
      <c r="D802" s="9">
        <f>_xlfn.XLOOKUP(A802,'Grocery and sales Data'!$A$1:$A$991,'Grocery and sales Data'!$I$1:$I$991)</f>
        <v>4.2</v>
      </c>
      <c r="E802">
        <f>_xlfn.XLOOKUP(A802,'Grocery and sales Data'!$A$1:$A$991,'Grocery and sales Data'!$R$1:$R$991)</f>
        <v>273</v>
      </c>
      <c r="F802" t="str">
        <f t="shared" si="12"/>
        <v>Medium</v>
      </c>
    </row>
    <row r="803" spans="1:6" ht="16" x14ac:dyDescent="0.4">
      <c r="A803" s="2" t="s">
        <v>2890</v>
      </c>
      <c r="B803" t="str">
        <f>_xlfn.XLOOKUP(A803,'Grocery and sales Data'!$A$1:$A$991,'Grocery and sales Data'!$B$1:$B$991)</f>
        <v>Pomegranate</v>
      </c>
      <c r="C803" t="str">
        <f>_xlfn.XLOOKUP(A803,'Grocery and sales Data'!$A$1:$A$991,'Grocery and sales Data'!$C$1:$C$991)</f>
        <v>Fruits &amp; Vegetables</v>
      </c>
      <c r="D803" s="9">
        <f>_xlfn.XLOOKUP(A803,'Grocery and sales Data'!$A$1:$A$991,'Grocery and sales Data'!$I$1:$I$991)</f>
        <v>6</v>
      </c>
      <c r="E803">
        <f>_xlfn.XLOOKUP(A803,'Grocery and sales Data'!$A$1:$A$991,'Grocery and sales Data'!$R$1:$R$991)</f>
        <v>480</v>
      </c>
      <c r="F803" t="str">
        <f t="shared" si="12"/>
        <v>Medium</v>
      </c>
    </row>
    <row r="804" spans="1:6" ht="16" x14ac:dyDescent="0.4">
      <c r="A804" s="2" t="s">
        <v>2893</v>
      </c>
      <c r="B804" t="str">
        <f>_xlfn.XLOOKUP(A804,'Grocery and sales Data'!$A$1:$A$991,'Grocery and sales Data'!$B$1:$B$991)</f>
        <v>Olive Oil</v>
      </c>
      <c r="C804" t="str">
        <f>_xlfn.XLOOKUP(A804,'Grocery and sales Data'!$A$1:$A$991,'Grocery and sales Data'!$C$1:$C$991)</f>
        <v>Oils &amp; Fats</v>
      </c>
      <c r="D804" s="9">
        <f>_xlfn.XLOOKUP(A804,'Grocery and sales Data'!$A$1:$A$991,'Grocery and sales Data'!$I$1:$I$991)</f>
        <v>6</v>
      </c>
      <c r="E804">
        <f>_xlfn.XLOOKUP(A804,'Grocery and sales Data'!$A$1:$A$991,'Grocery and sales Data'!$R$1:$R$991)</f>
        <v>444</v>
      </c>
      <c r="F804" t="str">
        <f t="shared" si="12"/>
        <v>Medium</v>
      </c>
    </row>
    <row r="805" spans="1:6" ht="16" x14ac:dyDescent="0.4">
      <c r="A805" s="2" t="s">
        <v>2896</v>
      </c>
      <c r="B805" t="str">
        <f>_xlfn.XLOOKUP(A805,'Grocery and sales Data'!$A$1:$A$991,'Grocery and sales Data'!$B$1:$B$991)</f>
        <v>Potato</v>
      </c>
      <c r="C805" t="str">
        <f>_xlfn.XLOOKUP(A805,'Grocery and sales Data'!$A$1:$A$991,'Grocery and sales Data'!$C$1:$C$991)</f>
        <v>Fruits &amp; Vegetables</v>
      </c>
      <c r="D805" s="9">
        <f>_xlfn.XLOOKUP(A805,'Grocery and sales Data'!$A$1:$A$991,'Grocery and sales Data'!$I$1:$I$991)</f>
        <v>1.2</v>
      </c>
      <c r="E805">
        <f>_xlfn.XLOOKUP(A805,'Grocery and sales Data'!$A$1:$A$991,'Grocery and sales Data'!$R$1:$R$991)</f>
        <v>100.8</v>
      </c>
      <c r="F805" t="str">
        <f t="shared" si="12"/>
        <v>Medium</v>
      </c>
    </row>
    <row r="806" spans="1:6" ht="16" x14ac:dyDescent="0.4">
      <c r="A806" s="2" t="s">
        <v>2900</v>
      </c>
      <c r="B806" t="str">
        <f>_xlfn.XLOOKUP(A806,'Grocery and sales Data'!$A$1:$A$991,'Grocery and sales Data'!$B$1:$B$991)</f>
        <v>Sunflower Oil</v>
      </c>
      <c r="C806" t="str">
        <f>_xlfn.XLOOKUP(A806,'Grocery and sales Data'!$A$1:$A$991,'Grocery and sales Data'!$C$1:$C$991)</f>
        <v>Oils &amp; Fats</v>
      </c>
      <c r="D806" s="9">
        <f>_xlfn.XLOOKUP(A806,'Grocery and sales Data'!$A$1:$A$991,'Grocery and sales Data'!$I$1:$I$991)</f>
        <v>2.5</v>
      </c>
      <c r="E806">
        <f>_xlfn.XLOOKUP(A806,'Grocery and sales Data'!$A$1:$A$991,'Grocery and sales Data'!$R$1:$R$991)</f>
        <v>210</v>
      </c>
      <c r="F806" t="str">
        <f t="shared" si="12"/>
        <v>Medium</v>
      </c>
    </row>
    <row r="807" spans="1:6" ht="16" x14ac:dyDescent="0.4">
      <c r="A807" s="2" t="s">
        <v>2903</v>
      </c>
      <c r="B807" t="str">
        <f>_xlfn.XLOOKUP(A807,'Grocery and sales Data'!$A$1:$A$991,'Grocery and sales Data'!$B$1:$B$991)</f>
        <v>White Sugar</v>
      </c>
      <c r="C807" t="str">
        <f>_xlfn.XLOOKUP(A807,'Grocery and sales Data'!$A$1:$A$991,'Grocery and sales Data'!$C$1:$C$991)</f>
        <v>Grains &amp; Pulses</v>
      </c>
      <c r="D807" s="9">
        <f>_xlfn.XLOOKUP(A807,'Grocery and sales Data'!$A$1:$A$991,'Grocery and sales Data'!$I$1:$I$991)</f>
        <v>2</v>
      </c>
      <c r="E807">
        <f>_xlfn.XLOOKUP(A807,'Grocery and sales Data'!$A$1:$A$991,'Grocery and sales Data'!$R$1:$R$991)</f>
        <v>146</v>
      </c>
      <c r="F807" t="str">
        <f t="shared" si="12"/>
        <v>Medium</v>
      </c>
    </row>
    <row r="808" spans="1:6" ht="16" x14ac:dyDescent="0.4">
      <c r="A808" s="2" t="s">
        <v>2906</v>
      </c>
      <c r="B808" t="str">
        <f>_xlfn.XLOOKUP(A808,'Grocery and sales Data'!$A$1:$A$991,'Grocery and sales Data'!$B$1:$B$991)</f>
        <v>Cabbage</v>
      </c>
      <c r="C808" t="str">
        <f>_xlfn.XLOOKUP(A808,'Grocery and sales Data'!$A$1:$A$991,'Grocery and sales Data'!$C$1:$C$991)</f>
        <v>Fruits &amp; Vegetables</v>
      </c>
      <c r="D808" s="9">
        <f>_xlfn.XLOOKUP(A808,'Grocery and sales Data'!$A$1:$A$991,'Grocery and sales Data'!$I$1:$I$991)</f>
        <v>1</v>
      </c>
      <c r="E808">
        <f>_xlfn.XLOOKUP(A808,'Grocery and sales Data'!$A$1:$A$991,'Grocery and sales Data'!$R$1:$R$991)</f>
        <v>35</v>
      </c>
      <c r="F808" t="str">
        <f t="shared" si="12"/>
        <v>Low</v>
      </c>
    </row>
    <row r="809" spans="1:6" ht="16" x14ac:dyDescent="0.4">
      <c r="A809" s="2" t="s">
        <v>2909</v>
      </c>
      <c r="B809" t="str">
        <f>_xlfn.XLOOKUP(A809,'Grocery and sales Data'!$A$1:$A$991,'Grocery and sales Data'!$B$1:$B$991)</f>
        <v>Cucumber</v>
      </c>
      <c r="C809" t="str">
        <f>_xlfn.XLOOKUP(A809,'Grocery and sales Data'!$A$1:$A$991,'Grocery and sales Data'!$C$1:$C$991)</f>
        <v>Fruits &amp; Vegetables</v>
      </c>
      <c r="D809" s="9">
        <f>_xlfn.XLOOKUP(A809,'Grocery and sales Data'!$A$1:$A$991,'Grocery and sales Data'!$I$1:$I$991)</f>
        <v>1.8</v>
      </c>
      <c r="E809">
        <f>_xlfn.XLOOKUP(A809,'Grocery and sales Data'!$A$1:$A$991,'Grocery and sales Data'!$R$1:$R$991)</f>
        <v>59.4</v>
      </c>
      <c r="F809" t="str">
        <f t="shared" si="12"/>
        <v>Low</v>
      </c>
    </row>
    <row r="810" spans="1:6" ht="16" x14ac:dyDescent="0.4">
      <c r="A810" s="2" t="s">
        <v>2912</v>
      </c>
      <c r="B810" t="str">
        <f>_xlfn.XLOOKUP(A810,'Grocery and sales Data'!$A$1:$A$991,'Grocery and sales Data'!$B$1:$B$991)</f>
        <v>Tuna</v>
      </c>
      <c r="C810" t="str">
        <f>_xlfn.XLOOKUP(A810,'Grocery and sales Data'!$A$1:$A$991,'Grocery and sales Data'!$C$1:$C$991)</f>
        <v>Seafood</v>
      </c>
      <c r="D810" s="9">
        <f>_xlfn.XLOOKUP(A810,'Grocery and sales Data'!$A$1:$A$991,'Grocery and sales Data'!$I$1:$I$991)</f>
        <v>18</v>
      </c>
      <c r="E810">
        <f>_xlfn.XLOOKUP(A810,'Grocery and sales Data'!$A$1:$A$991,'Grocery and sales Data'!$R$1:$R$991)</f>
        <v>1656</v>
      </c>
      <c r="F810" t="str">
        <f t="shared" si="12"/>
        <v>High</v>
      </c>
    </row>
    <row r="811" spans="1:6" ht="16" x14ac:dyDescent="0.4">
      <c r="A811" s="2" t="s">
        <v>2915</v>
      </c>
      <c r="B811" t="str">
        <f>_xlfn.XLOOKUP(A811,'Grocery and sales Data'!$A$1:$A$991,'Grocery and sales Data'!$B$1:$B$991)</f>
        <v>Lime</v>
      </c>
      <c r="C811" t="str">
        <f>_xlfn.XLOOKUP(A811,'Grocery and sales Data'!$A$1:$A$991,'Grocery and sales Data'!$C$1:$C$991)</f>
        <v>Fruits &amp; Vegetables</v>
      </c>
      <c r="D811" s="9">
        <f>_xlfn.XLOOKUP(A811,'Grocery and sales Data'!$A$1:$A$991,'Grocery and sales Data'!$I$1:$I$991)</f>
        <v>2</v>
      </c>
      <c r="E811">
        <f>_xlfn.XLOOKUP(A811,'Grocery and sales Data'!$A$1:$A$991,'Grocery and sales Data'!$R$1:$R$991)</f>
        <v>154</v>
      </c>
      <c r="F811" t="str">
        <f t="shared" si="12"/>
        <v>Medium</v>
      </c>
    </row>
    <row r="812" spans="1:6" ht="16" x14ac:dyDescent="0.4">
      <c r="A812" s="2" t="s">
        <v>2918</v>
      </c>
      <c r="B812" t="str">
        <f>_xlfn.XLOOKUP(A812,'Grocery and sales Data'!$A$1:$A$991,'Grocery and sales Data'!$B$1:$B$991)</f>
        <v>Tomato</v>
      </c>
      <c r="C812" t="str">
        <f>_xlfn.XLOOKUP(A812,'Grocery and sales Data'!$A$1:$A$991,'Grocery and sales Data'!$C$1:$C$991)</f>
        <v>Fruits &amp; Vegetables</v>
      </c>
      <c r="D812" s="9">
        <f>_xlfn.XLOOKUP(A812,'Grocery and sales Data'!$A$1:$A$991,'Grocery and sales Data'!$I$1:$I$991)</f>
        <v>2.5</v>
      </c>
      <c r="E812">
        <f>_xlfn.XLOOKUP(A812,'Grocery and sales Data'!$A$1:$A$991,'Grocery and sales Data'!$R$1:$R$991)</f>
        <v>210</v>
      </c>
      <c r="F812" t="str">
        <f t="shared" si="12"/>
        <v>Medium</v>
      </c>
    </row>
    <row r="813" spans="1:6" ht="16" x14ac:dyDescent="0.4">
      <c r="A813" s="2" t="s">
        <v>2921</v>
      </c>
      <c r="B813" t="str">
        <f>_xlfn.XLOOKUP(A813,'Grocery and sales Data'!$A$1:$A$991,'Grocery and sales Data'!$B$1:$B$991)</f>
        <v>Pomegranate</v>
      </c>
      <c r="C813" t="str">
        <f>_xlfn.XLOOKUP(A813,'Grocery and sales Data'!$A$1:$A$991,'Grocery and sales Data'!$C$1:$C$991)</f>
        <v>Fruits &amp; Vegetables</v>
      </c>
      <c r="D813" s="9">
        <f>_xlfn.XLOOKUP(A813,'Grocery and sales Data'!$A$1:$A$991,'Grocery and sales Data'!$I$1:$I$991)</f>
        <v>6</v>
      </c>
      <c r="E813">
        <f>_xlfn.XLOOKUP(A813,'Grocery and sales Data'!$A$1:$A$991,'Grocery and sales Data'!$R$1:$R$991)</f>
        <v>222</v>
      </c>
      <c r="F813" t="str">
        <f t="shared" si="12"/>
        <v>Medium</v>
      </c>
    </row>
    <row r="814" spans="1:6" ht="16" x14ac:dyDescent="0.4">
      <c r="A814" s="2" t="s">
        <v>2925</v>
      </c>
      <c r="B814" t="str">
        <f>_xlfn.XLOOKUP(A814,'Grocery and sales Data'!$A$1:$A$991,'Grocery and sales Data'!$B$1:$B$991)</f>
        <v>Anchovies</v>
      </c>
      <c r="C814" t="str">
        <f>_xlfn.XLOOKUP(A814,'Grocery and sales Data'!$A$1:$A$991,'Grocery and sales Data'!$C$1:$C$991)</f>
        <v>Seafood</v>
      </c>
      <c r="D814" s="9">
        <f>_xlfn.XLOOKUP(A814,'Grocery and sales Data'!$A$1:$A$991,'Grocery and sales Data'!$I$1:$I$991)</f>
        <v>10</v>
      </c>
      <c r="E814">
        <f>_xlfn.XLOOKUP(A814,'Grocery and sales Data'!$A$1:$A$991,'Grocery and sales Data'!$R$1:$R$991)</f>
        <v>800</v>
      </c>
      <c r="F814" t="str">
        <f t="shared" si="12"/>
        <v>Medium</v>
      </c>
    </row>
    <row r="815" spans="1:6" ht="16" x14ac:dyDescent="0.4">
      <c r="A815" s="2" t="s">
        <v>2928</v>
      </c>
      <c r="B815" t="str">
        <f>_xlfn.XLOOKUP(A815,'Grocery and sales Data'!$A$1:$A$991,'Grocery and sales Data'!$B$1:$B$991)</f>
        <v>Grapes</v>
      </c>
      <c r="C815" t="str">
        <f>_xlfn.XLOOKUP(A815,'Grocery and sales Data'!$A$1:$A$991,'Grocery and sales Data'!$C$1:$C$991)</f>
        <v>Fruits &amp; Vegetables</v>
      </c>
      <c r="D815" s="9">
        <f>_xlfn.XLOOKUP(A815,'Grocery and sales Data'!$A$1:$A$991,'Grocery and sales Data'!$I$1:$I$991)</f>
        <v>5.5</v>
      </c>
      <c r="E815">
        <f>_xlfn.XLOOKUP(A815,'Grocery and sales Data'!$A$1:$A$991,'Grocery and sales Data'!$R$1:$R$991)</f>
        <v>445.5</v>
      </c>
      <c r="F815" t="str">
        <f t="shared" si="12"/>
        <v>Medium</v>
      </c>
    </row>
    <row r="816" spans="1:6" ht="16" x14ac:dyDescent="0.4">
      <c r="A816" s="2" t="s">
        <v>2931</v>
      </c>
      <c r="B816" t="str">
        <f>_xlfn.XLOOKUP(A816,'Grocery and sales Data'!$A$1:$A$991,'Grocery and sales Data'!$B$1:$B$991)</f>
        <v>Sourdough Bread</v>
      </c>
      <c r="C816" t="str">
        <f>_xlfn.XLOOKUP(A816,'Grocery and sales Data'!$A$1:$A$991,'Grocery and sales Data'!$C$1:$C$991)</f>
        <v>Bakery</v>
      </c>
      <c r="D816" s="9">
        <f>_xlfn.XLOOKUP(A816,'Grocery and sales Data'!$A$1:$A$991,'Grocery and sales Data'!$I$1:$I$991)</f>
        <v>4</v>
      </c>
      <c r="E816">
        <f>_xlfn.XLOOKUP(A816,'Grocery and sales Data'!$A$1:$A$991,'Grocery and sales Data'!$R$1:$R$991)</f>
        <v>188</v>
      </c>
      <c r="F816" t="str">
        <f t="shared" si="12"/>
        <v>Medium</v>
      </c>
    </row>
    <row r="817" spans="1:6" ht="16" x14ac:dyDescent="0.4">
      <c r="A817" s="2" t="s">
        <v>2934</v>
      </c>
      <c r="B817" t="str">
        <f>_xlfn.XLOOKUP(A817,'Grocery and sales Data'!$A$1:$A$991,'Grocery and sales Data'!$B$1:$B$991)</f>
        <v>Asparagus</v>
      </c>
      <c r="C817" t="str">
        <f>_xlfn.XLOOKUP(A817,'Grocery and sales Data'!$A$1:$A$991,'Grocery and sales Data'!$C$1:$C$991)</f>
        <v>Fruits &amp; Vegetables</v>
      </c>
      <c r="D817" s="9">
        <f>_xlfn.XLOOKUP(A817,'Grocery and sales Data'!$A$1:$A$991,'Grocery and sales Data'!$I$1:$I$991)</f>
        <v>5</v>
      </c>
      <c r="E817">
        <f>_xlfn.XLOOKUP(A817,'Grocery and sales Data'!$A$1:$A$991,'Grocery and sales Data'!$R$1:$R$991)</f>
        <v>205</v>
      </c>
      <c r="F817" t="str">
        <f t="shared" si="12"/>
        <v>Medium</v>
      </c>
    </row>
    <row r="818" spans="1:6" ht="16" x14ac:dyDescent="0.4">
      <c r="A818" s="2" t="s">
        <v>2937</v>
      </c>
      <c r="B818" t="str">
        <f>_xlfn.XLOOKUP(A818,'Grocery and sales Data'!$A$1:$A$991,'Grocery and sales Data'!$B$1:$B$991)</f>
        <v>Herbal Tea</v>
      </c>
      <c r="C818" t="str">
        <f>_xlfn.XLOOKUP(A818,'Grocery and sales Data'!$A$1:$A$991,'Grocery and sales Data'!$C$1:$C$991)</f>
        <v>Beverages</v>
      </c>
      <c r="D818" s="9">
        <f>_xlfn.XLOOKUP(A818,'Grocery and sales Data'!$A$1:$A$991,'Grocery and sales Data'!$I$1:$I$991)</f>
        <v>30</v>
      </c>
      <c r="E818">
        <f>_xlfn.XLOOKUP(A818,'Grocery and sales Data'!$A$1:$A$991,'Grocery and sales Data'!$R$1:$R$991)</f>
        <v>1020</v>
      </c>
      <c r="F818" t="str">
        <f t="shared" si="12"/>
        <v>High</v>
      </c>
    </row>
    <row r="819" spans="1:6" ht="16" x14ac:dyDescent="0.4">
      <c r="A819" s="2" t="s">
        <v>2941</v>
      </c>
      <c r="B819" t="str">
        <f>_xlfn.XLOOKUP(A819,'Grocery and sales Data'!$A$1:$A$991,'Grocery and sales Data'!$B$1:$B$991)</f>
        <v>All-Purpose Flour</v>
      </c>
      <c r="C819" t="str">
        <f>_xlfn.XLOOKUP(A819,'Grocery and sales Data'!$A$1:$A$991,'Grocery and sales Data'!$C$1:$C$991)</f>
        <v>Grains &amp; Pulses</v>
      </c>
      <c r="D819" s="9">
        <f>_xlfn.XLOOKUP(A819,'Grocery and sales Data'!$A$1:$A$991,'Grocery and sales Data'!$I$1:$I$991)</f>
        <v>1.75</v>
      </c>
      <c r="E819">
        <f>_xlfn.XLOOKUP(A819,'Grocery and sales Data'!$A$1:$A$991,'Grocery and sales Data'!$R$1:$R$991)</f>
        <v>152.25</v>
      </c>
      <c r="F819" t="str">
        <f t="shared" si="12"/>
        <v>Medium</v>
      </c>
    </row>
    <row r="820" spans="1:6" ht="16" x14ac:dyDescent="0.4">
      <c r="A820" s="2" t="s">
        <v>2944</v>
      </c>
      <c r="B820" t="str">
        <f>_xlfn.XLOOKUP(A820,'Grocery and sales Data'!$A$1:$A$991,'Grocery and sales Data'!$B$1:$B$991)</f>
        <v>Almond Flour</v>
      </c>
      <c r="C820" t="str">
        <f>_xlfn.XLOOKUP(A820,'Grocery and sales Data'!$A$1:$A$991,'Grocery and sales Data'!$C$1:$C$991)</f>
        <v>Grains &amp; Pulses</v>
      </c>
      <c r="D820" s="9">
        <f>_xlfn.XLOOKUP(A820,'Grocery and sales Data'!$A$1:$A$991,'Grocery and sales Data'!$I$1:$I$991)</f>
        <v>9.5</v>
      </c>
      <c r="E820">
        <f>_xlfn.XLOOKUP(A820,'Grocery and sales Data'!$A$1:$A$991,'Grocery and sales Data'!$R$1:$R$991)</f>
        <v>247</v>
      </c>
      <c r="F820" t="str">
        <f t="shared" si="12"/>
        <v>Medium</v>
      </c>
    </row>
    <row r="821" spans="1:6" ht="16" x14ac:dyDescent="0.4">
      <c r="A821" s="2" t="s">
        <v>2947</v>
      </c>
      <c r="B821" t="str">
        <f>_xlfn.XLOOKUP(A821,'Grocery and sales Data'!$A$1:$A$991,'Grocery and sales Data'!$B$1:$B$991)</f>
        <v>Rice Flour</v>
      </c>
      <c r="C821" t="str">
        <f>_xlfn.XLOOKUP(A821,'Grocery and sales Data'!$A$1:$A$991,'Grocery and sales Data'!$C$1:$C$991)</f>
        <v>Grains &amp; Pulses</v>
      </c>
      <c r="D821" s="9">
        <f>_xlfn.XLOOKUP(A821,'Grocery and sales Data'!$A$1:$A$991,'Grocery and sales Data'!$I$1:$I$991)</f>
        <v>2</v>
      </c>
      <c r="E821">
        <f>_xlfn.XLOOKUP(A821,'Grocery and sales Data'!$A$1:$A$991,'Grocery and sales Data'!$R$1:$R$991)</f>
        <v>196</v>
      </c>
      <c r="F821" t="str">
        <f t="shared" si="12"/>
        <v>Medium</v>
      </c>
    </row>
    <row r="822" spans="1:6" ht="16" x14ac:dyDescent="0.4">
      <c r="A822" s="2" t="s">
        <v>2950</v>
      </c>
      <c r="B822" t="str">
        <f>_xlfn.XLOOKUP(A822,'Grocery and sales Data'!$A$1:$A$991,'Grocery and sales Data'!$B$1:$B$991)</f>
        <v>Halibut</v>
      </c>
      <c r="C822" t="str">
        <f>_xlfn.XLOOKUP(A822,'Grocery and sales Data'!$A$1:$A$991,'Grocery and sales Data'!$C$1:$C$991)</f>
        <v>Seafood</v>
      </c>
      <c r="D822" s="9">
        <f>_xlfn.XLOOKUP(A822,'Grocery and sales Data'!$A$1:$A$991,'Grocery and sales Data'!$I$1:$I$991)</f>
        <v>20</v>
      </c>
      <c r="E822">
        <f>_xlfn.XLOOKUP(A822,'Grocery and sales Data'!$A$1:$A$991,'Grocery and sales Data'!$R$1:$R$991)</f>
        <v>1320</v>
      </c>
      <c r="F822" t="str">
        <f t="shared" si="12"/>
        <v>High</v>
      </c>
    </row>
    <row r="823" spans="1:6" ht="16" x14ac:dyDescent="0.4">
      <c r="A823" s="2" t="s">
        <v>2953</v>
      </c>
      <c r="B823" t="str">
        <f>_xlfn.XLOOKUP(A823,'Grocery and sales Data'!$A$1:$A$991,'Grocery and sales Data'!$B$1:$B$991)</f>
        <v>Apple</v>
      </c>
      <c r="C823" t="str">
        <f>_xlfn.XLOOKUP(A823,'Grocery and sales Data'!$A$1:$A$991,'Grocery and sales Data'!$C$1:$C$991)</f>
        <v>Fruits &amp; Vegetables</v>
      </c>
      <c r="D823" s="9">
        <f>_xlfn.XLOOKUP(A823,'Grocery and sales Data'!$A$1:$A$991,'Grocery and sales Data'!$I$1:$I$991)</f>
        <v>3.5</v>
      </c>
      <c r="E823">
        <f>_xlfn.XLOOKUP(A823,'Grocery and sales Data'!$A$1:$A$991,'Grocery and sales Data'!$R$1:$R$991)</f>
        <v>126</v>
      </c>
      <c r="F823" t="str">
        <f t="shared" si="12"/>
        <v>Medium</v>
      </c>
    </row>
    <row r="824" spans="1:6" ht="16" x14ac:dyDescent="0.4">
      <c r="A824" s="2" t="s">
        <v>2956</v>
      </c>
      <c r="B824" t="str">
        <f>_xlfn.XLOOKUP(A824,'Grocery and sales Data'!$A$1:$A$991,'Grocery and sales Data'!$B$1:$B$991)</f>
        <v>Canola Oil</v>
      </c>
      <c r="C824" t="str">
        <f>_xlfn.XLOOKUP(A824,'Grocery and sales Data'!$A$1:$A$991,'Grocery and sales Data'!$C$1:$C$991)</f>
        <v>Oils &amp; Fats</v>
      </c>
      <c r="D824" s="9">
        <f>_xlfn.XLOOKUP(A824,'Grocery and sales Data'!$A$1:$A$991,'Grocery and sales Data'!$I$1:$I$991)</f>
        <v>2.2999999999999998</v>
      </c>
      <c r="E824">
        <f>_xlfn.XLOOKUP(A824,'Grocery and sales Data'!$A$1:$A$991,'Grocery and sales Data'!$R$1:$R$991)</f>
        <v>165.6</v>
      </c>
      <c r="F824" t="str">
        <f t="shared" si="12"/>
        <v>Medium</v>
      </c>
    </row>
    <row r="825" spans="1:6" ht="16" x14ac:dyDescent="0.4">
      <c r="A825" s="2" t="s">
        <v>2959</v>
      </c>
      <c r="B825" t="str">
        <f>_xlfn.XLOOKUP(A825,'Grocery and sales Data'!$A$1:$A$991,'Grocery and sales Data'!$B$1:$B$991)</f>
        <v>Tilapia</v>
      </c>
      <c r="C825" t="str">
        <f>_xlfn.XLOOKUP(A825,'Grocery and sales Data'!$A$1:$A$991,'Grocery and sales Data'!$C$1:$C$991)</f>
        <v>Seafood</v>
      </c>
      <c r="D825" s="9">
        <f>_xlfn.XLOOKUP(A825,'Grocery and sales Data'!$A$1:$A$991,'Grocery and sales Data'!$I$1:$I$991)</f>
        <v>7</v>
      </c>
      <c r="E825">
        <f>_xlfn.XLOOKUP(A825,'Grocery and sales Data'!$A$1:$A$991,'Grocery and sales Data'!$R$1:$R$991)</f>
        <v>455</v>
      </c>
      <c r="F825" t="str">
        <f t="shared" si="12"/>
        <v>Medium</v>
      </c>
    </row>
    <row r="826" spans="1:6" ht="16" x14ac:dyDescent="0.4">
      <c r="A826" s="2" t="s">
        <v>2962</v>
      </c>
      <c r="B826" t="str">
        <f>_xlfn.XLOOKUP(A826,'Grocery and sales Data'!$A$1:$A$991,'Grocery and sales Data'!$B$1:$B$991)</f>
        <v>Evaporated Milk</v>
      </c>
      <c r="C826" t="str">
        <f>_xlfn.XLOOKUP(A826,'Grocery and sales Data'!$A$1:$A$991,'Grocery and sales Data'!$C$1:$C$991)</f>
        <v>Dairy</v>
      </c>
      <c r="D826" s="9">
        <f>_xlfn.XLOOKUP(A826,'Grocery and sales Data'!$A$1:$A$991,'Grocery and sales Data'!$I$1:$I$991)</f>
        <v>2</v>
      </c>
      <c r="E826">
        <f>_xlfn.XLOOKUP(A826,'Grocery and sales Data'!$A$1:$A$991,'Grocery and sales Data'!$R$1:$R$991)</f>
        <v>104</v>
      </c>
      <c r="F826" t="str">
        <f t="shared" si="12"/>
        <v>Medium</v>
      </c>
    </row>
    <row r="827" spans="1:6" ht="16" x14ac:dyDescent="0.4">
      <c r="A827" s="2" t="s">
        <v>2965</v>
      </c>
      <c r="B827" t="str">
        <f>_xlfn.XLOOKUP(A827,'Grocery and sales Data'!$A$1:$A$991,'Grocery and sales Data'!$B$1:$B$991)</f>
        <v>Mushrooms</v>
      </c>
      <c r="C827" t="str">
        <f>_xlfn.XLOOKUP(A827,'Grocery and sales Data'!$A$1:$A$991,'Grocery and sales Data'!$C$1:$C$991)</f>
        <v>Fruits &amp; Vegetables</v>
      </c>
      <c r="D827" s="9">
        <f>_xlfn.XLOOKUP(A827,'Grocery and sales Data'!$A$1:$A$991,'Grocery and sales Data'!$I$1:$I$991)</f>
        <v>6.3</v>
      </c>
      <c r="E827">
        <f>_xlfn.XLOOKUP(A827,'Grocery and sales Data'!$A$1:$A$991,'Grocery and sales Data'!$R$1:$R$991)</f>
        <v>340.2</v>
      </c>
      <c r="F827" t="str">
        <f t="shared" si="12"/>
        <v>Medium</v>
      </c>
    </row>
    <row r="828" spans="1:6" ht="16" x14ac:dyDescent="0.4">
      <c r="A828" s="2" t="s">
        <v>2968</v>
      </c>
      <c r="B828" t="str">
        <f>_xlfn.XLOOKUP(A828,'Grocery and sales Data'!$A$1:$A$991,'Grocery and sales Data'!$B$1:$B$991)</f>
        <v>Grapes</v>
      </c>
      <c r="C828" t="str">
        <f>_xlfn.XLOOKUP(A828,'Grocery and sales Data'!$A$1:$A$991,'Grocery and sales Data'!$C$1:$C$991)</f>
        <v>Fruits &amp; Vegetables</v>
      </c>
      <c r="D828" s="9">
        <f>_xlfn.XLOOKUP(A828,'Grocery and sales Data'!$A$1:$A$991,'Grocery and sales Data'!$I$1:$I$991)</f>
        <v>5.5</v>
      </c>
      <c r="E828">
        <f>_xlfn.XLOOKUP(A828,'Grocery and sales Data'!$A$1:$A$991,'Grocery and sales Data'!$R$1:$R$991)</f>
        <v>346.5</v>
      </c>
      <c r="F828" t="str">
        <f t="shared" si="12"/>
        <v>Medium</v>
      </c>
    </row>
    <row r="829" spans="1:6" ht="16" x14ac:dyDescent="0.4">
      <c r="A829" s="2" t="s">
        <v>2971</v>
      </c>
      <c r="B829" t="str">
        <f>_xlfn.XLOOKUP(A829,'Grocery and sales Data'!$A$1:$A$991,'Grocery and sales Data'!$B$1:$B$991)</f>
        <v>Onion</v>
      </c>
      <c r="C829" t="str">
        <f>_xlfn.XLOOKUP(A829,'Grocery and sales Data'!$A$1:$A$991,'Grocery and sales Data'!$C$1:$C$991)</f>
        <v>Fruits &amp; Vegetables</v>
      </c>
      <c r="D829" s="9">
        <f>_xlfn.XLOOKUP(A829,'Grocery and sales Data'!$A$1:$A$991,'Grocery and sales Data'!$I$1:$I$991)</f>
        <v>2</v>
      </c>
      <c r="E829">
        <f>_xlfn.XLOOKUP(A829,'Grocery and sales Data'!$A$1:$A$991,'Grocery and sales Data'!$R$1:$R$991)</f>
        <v>50</v>
      </c>
      <c r="F829" t="str">
        <f t="shared" si="12"/>
        <v>Low</v>
      </c>
    </row>
    <row r="830" spans="1:6" ht="16" x14ac:dyDescent="0.4">
      <c r="A830" s="2" t="s">
        <v>2974</v>
      </c>
      <c r="B830" t="str">
        <f>_xlfn.XLOOKUP(A830,'Grocery and sales Data'!$A$1:$A$991,'Grocery and sales Data'!$B$1:$B$991)</f>
        <v>Pineapple</v>
      </c>
      <c r="C830" t="str">
        <f>_xlfn.XLOOKUP(A830,'Grocery and sales Data'!$A$1:$A$991,'Grocery and sales Data'!$C$1:$C$991)</f>
        <v>Fruits &amp; Vegetables</v>
      </c>
      <c r="D830" s="9">
        <f>_xlfn.XLOOKUP(A830,'Grocery and sales Data'!$A$1:$A$991,'Grocery and sales Data'!$I$1:$I$991)</f>
        <v>3.5</v>
      </c>
      <c r="E830">
        <f>_xlfn.XLOOKUP(A830,'Grocery and sales Data'!$A$1:$A$991,'Grocery and sales Data'!$R$1:$R$991)</f>
        <v>259</v>
      </c>
      <c r="F830" t="str">
        <f t="shared" si="12"/>
        <v>Medium</v>
      </c>
    </row>
    <row r="831" spans="1:6" ht="16" x14ac:dyDescent="0.4">
      <c r="A831" s="2" t="s">
        <v>2977</v>
      </c>
      <c r="B831" t="str">
        <f>_xlfn.XLOOKUP(A831,'Grocery and sales Data'!$A$1:$A$991,'Grocery and sales Data'!$B$1:$B$991)</f>
        <v>Carrot</v>
      </c>
      <c r="C831" t="str">
        <f>_xlfn.XLOOKUP(A831,'Grocery and sales Data'!$A$1:$A$991,'Grocery and sales Data'!$C$1:$C$991)</f>
        <v>Fruits &amp; Vegetables</v>
      </c>
      <c r="D831" s="9">
        <f>_xlfn.XLOOKUP(A831,'Grocery and sales Data'!$A$1:$A$991,'Grocery and sales Data'!$I$1:$I$991)</f>
        <v>1.5</v>
      </c>
      <c r="E831">
        <f>_xlfn.XLOOKUP(A831,'Grocery and sales Data'!$A$1:$A$991,'Grocery and sales Data'!$R$1:$R$991)</f>
        <v>136.5</v>
      </c>
      <c r="F831" t="str">
        <f t="shared" si="12"/>
        <v>Medium</v>
      </c>
    </row>
    <row r="832" spans="1:6" ht="16" x14ac:dyDescent="0.4">
      <c r="A832" s="2" t="s">
        <v>2980</v>
      </c>
      <c r="B832" t="str">
        <f>_xlfn.XLOOKUP(A832,'Grocery and sales Data'!$A$1:$A$991,'Grocery and sales Data'!$B$1:$B$991)</f>
        <v>Parmesan Cheese</v>
      </c>
      <c r="C832" t="str">
        <f>_xlfn.XLOOKUP(A832,'Grocery and sales Data'!$A$1:$A$991,'Grocery and sales Data'!$C$1:$C$991)</f>
        <v>Dairy</v>
      </c>
      <c r="D832" s="9">
        <f>_xlfn.XLOOKUP(A832,'Grocery and sales Data'!$A$1:$A$991,'Grocery and sales Data'!$I$1:$I$991)</f>
        <v>11.9</v>
      </c>
      <c r="E832">
        <f>_xlfn.XLOOKUP(A832,'Grocery and sales Data'!$A$1:$A$991,'Grocery and sales Data'!$R$1:$R$991)</f>
        <v>440.3</v>
      </c>
      <c r="F832" t="str">
        <f t="shared" si="12"/>
        <v>Medium</v>
      </c>
    </row>
    <row r="833" spans="1:6" ht="16" x14ac:dyDescent="0.4">
      <c r="A833" s="2" t="s">
        <v>2983</v>
      </c>
      <c r="B833" t="str">
        <f>_xlfn.XLOOKUP(A833,'Grocery and sales Data'!$A$1:$A$991,'Grocery and sales Data'!$B$1:$B$991)</f>
        <v>Peach</v>
      </c>
      <c r="C833" t="str">
        <f>_xlfn.XLOOKUP(A833,'Grocery and sales Data'!$A$1:$A$991,'Grocery and sales Data'!$C$1:$C$991)</f>
        <v>Fruits &amp; Vegetables</v>
      </c>
      <c r="D833" s="9">
        <f>_xlfn.XLOOKUP(A833,'Grocery and sales Data'!$A$1:$A$991,'Grocery and sales Data'!$I$1:$I$991)</f>
        <v>4</v>
      </c>
      <c r="E833">
        <f>_xlfn.XLOOKUP(A833,'Grocery and sales Data'!$A$1:$A$991,'Grocery and sales Data'!$R$1:$R$991)</f>
        <v>144</v>
      </c>
      <c r="F833" t="str">
        <f t="shared" si="12"/>
        <v>Medium</v>
      </c>
    </row>
    <row r="834" spans="1:6" ht="16" x14ac:dyDescent="0.4">
      <c r="A834" s="2" t="s">
        <v>2986</v>
      </c>
      <c r="B834" t="str">
        <f>_xlfn.XLOOKUP(A834,'Grocery and sales Data'!$A$1:$A$991,'Grocery and sales Data'!$B$1:$B$991)</f>
        <v>Egg (Turkey)</v>
      </c>
      <c r="C834" t="str">
        <f>_xlfn.XLOOKUP(A834,'Grocery and sales Data'!$A$1:$A$991,'Grocery and sales Data'!$C$1:$C$991)</f>
        <v>Dairy</v>
      </c>
      <c r="D834" s="9">
        <f>_xlfn.XLOOKUP(A834,'Grocery and sales Data'!$A$1:$A$991,'Grocery and sales Data'!$I$1:$I$991)</f>
        <v>2.5</v>
      </c>
      <c r="E834">
        <f>_xlfn.XLOOKUP(A834,'Grocery and sales Data'!$A$1:$A$991,'Grocery and sales Data'!$R$1:$R$991)</f>
        <v>152.5</v>
      </c>
      <c r="F834" t="str">
        <f t="shared" si="12"/>
        <v>Medium</v>
      </c>
    </row>
    <row r="835" spans="1:6" ht="16" x14ac:dyDescent="0.4">
      <c r="A835" s="2" t="s">
        <v>2989</v>
      </c>
      <c r="B835" t="str">
        <f>_xlfn.XLOOKUP(A835,'Grocery and sales Data'!$A$1:$A$991,'Grocery and sales Data'!$B$1:$B$991)</f>
        <v>Tomato</v>
      </c>
      <c r="C835" t="str">
        <f>_xlfn.XLOOKUP(A835,'Grocery and sales Data'!$A$1:$A$991,'Grocery and sales Data'!$C$1:$C$991)</f>
        <v>Fruits &amp; Vegetables</v>
      </c>
      <c r="D835" s="9">
        <f>_xlfn.XLOOKUP(A835,'Grocery and sales Data'!$A$1:$A$991,'Grocery and sales Data'!$I$1:$I$991)</f>
        <v>2.5</v>
      </c>
      <c r="E835">
        <f>_xlfn.XLOOKUP(A835,'Grocery and sales Data'!$A$1:$A$991,'Grocery and sales Data'!$R$1:$R$991)</f>
        <v>200</v>
      </c>
      <c r="F835" t="str">
        <f t="shared" ref="F835:F898" si="13">IF(E835&gt;=1000,"High",IF(E835&gt;=100,"Medium","Low"))</f>
        <v>Medium</v>
      </c>
    </row>
    <row r="836" spans="1:6" ht="16" x14ac:dyDescent="0.4">
      <c r="A836" s="2" t="s">
        <v>2992</v>
      </c>
      <c r="B836" t="str">
        <f>_xlfn.XLOOKUP(A836,'Grocery and sales Data'!$A$1:$A$991,'Grocery and sales Data'!$B$1:$B$991)</f>
        <v>Lettuce</v>
      </c>
      <c r="C836" t="str">
        <f>_xlfn.XLOOKUP(A836,'Grocery and sales Data'!$A$1:$A$991,'Grocery and sales Data'!$C$1:$C$991)</f>
        <v>Fruits &amp; Vegetables</v>
      </c>
      <c r="D836" s="9">
        <f>_xlfn.XLOOKUP(A836,'Grocery and sales Data'!$A$1:$A$991,'Grocery and sales Data'!$I$1:$I$991)</f>
        <v>2</v>
      </c>
      <c r="E836">
        <f>_xlfn.XLOOKUP(A836,'Grocery and sales Data'!$A$1:$A$991,'Grocery and sales Data'!$R$1:$R$991)</f>
        <v>50</v>
      </c>
      <c r="F836" t="str">
        <f t="shared" si="13"/>
        <v>Low</v>
      </c>
    </row>
    <row r="837" spans="1:6" ht="16" x14ac:dyDescent="0.4">
      <c r="A837" s="2" t="s">
        <v>2995</v>
      </c>
      <c r="B837" t="str">
        <f>_xlfn.XLOOKUP(A837,'Grocery and sales Data'!$A$1:$A$991,'Grocery and sales Data'!$B$1:$B$991)</f>
        <v>Yogurt</v>
      </c>
      <c r="C837" t="str">
        <f>_xlfn.XLOOKUP(A837,'Grocery and sales Data'!$A$1:$A$991,'Grocery and sales Data'!$C$1:$C$991)</f>
        <v>Dairy</v>
      </c>
      <c r="D837" s="9">
        <f>_xlfn.XLOOKUP(A837,'Grocery and sales Data'!$A$1:$A$991,'Grocery and sales Data'!$I$1:$I$991)</f>
        <v>1.75</v>
      </c>
      <c r="E837">
        <f>_xlfn.XLOOKUP(A837,'Grocery and sales Data'!$A$1:$A$991,'Grocery and sales Data'!$R$1:$R$991)</f>
        <v>71.75</v>
      </c>
      <c r="F837" t="str">
        <f t="shared" si="13"/>
        <v>Low</v>
      </c>
    </row>
    <row r="838" spans="1:6" ht="16" x14ac:dyDescent="0.4">
      <c r="A838" s="2" t="s">
        <v>2999</v>
      </c>
      <c r="B838" t="str">
        <f>_xlfn.XLOOKUP(A838,'Grocery and sales Data'!$A$1:$A$991,'Grocery and sales Data'!$B$1:$B$991)</f>
        <v>Orange</v>
      </c>
      <c r="C838" t="str">
        <f>_xlfn.XLOOKUP(A838,'Grocery and sales Data'!$A$1:$A$991,'Grocery and sales Data'!$C$1:$C$991)</f>
        <v>Fruits &amp; Vegetables</v>
      </c>
      <c r="D838" s="9">
        <f>_xlfn.XLOOKUP(A838,'Grocery and sales Data'!$A$1:$A$991,'Grocery and sales Data'!$I$1:$I$991)</f>
        <v>3</v>
      </c>
      <c r="E838">
        <f>_xlfn.XLOOKUP(A838,'Grocery and sales Data'!$A$1:$A$991,'Grocery and sales Data'!$R$1:$R$991)</f>
        <v>75</v>
      </c>
      <c r="F838" t="str">
        <f t="shared" si="13"/>
        <v>Low</v>
      </c>
    </row>
    <row r="839" spans="1:6" ht="16" x14ac:dyDescent="0.4">
      <c r="A839" s="2" t="s">
        <v>3002</v>
      </c>
      <c r="B839" t="str">
        <f>_xlfn.XLOOKUP(A839,'Grocery and sales Data'!$A$1:$A$991,'Grocery and sales Data'!$B$1:$B$991)</f>
        <v>Bread Flour</v>
      </c>
      <c r="C839" t="str">
        <f>_xlfn.XLOOKUP(A839,'Grocery and sales Data'!$A$1:$A$991,'Grocery and sales Data'!$C$1:$C$991)</f>
        <v>Grains &amp; Pulses</v>
      </c>
      <c r="D839" s="9">
        <f>_xlfn.XLOOKUP(A839,'Grocery and sales Data'!$A$1:$A$991,'Grocery and sales Data'!$I$1:$I$991)</f>
        <v>1.5</v>
      </c>
      <c r="E839">
        <f>_xlfn.XLOOKUP(A839,'Grocery and sales Data'!$A$1:$A$991,'Grocery and sales Data'!$R$1:$R$991)</f>
        <v>115.5</v>
      </c>
      <c r="F839" t="str">
        <f t="shared" si="13"/>
        <v>Medium</v>
      </c>
    </row>
    <row r="840" spans="1:6" ht="16" x14ac:dyDescent="0.4">
      <c r="A840" s="2" t="s">
        <v>3005</v>
      </c>
      <c r="B840" t="str">
        <f>_xlfn.XLOOKUP(A840,'Grocery and sales Data'!$A$1:$A$991,'Grocery and sales Data'!$B$1:$B$991)</f>
        <v>Peach</v>
      </c>
      <c r="C840" t="str">
        <f>_xlfn.XLOOKUP(A840,'Grocery and sales Data'!$A$1:$A$991,'Grocery and sales Data'!$C$1:$C$991)</f>
        <v>Fruits &amp; Vegetables</v>
      </c>
      <c r="D840" s="9">
        <f>_xlfn.XLOOKUP(A840,'Grocery and sales Data'!$A$1:$A$991,'Grocery and sales Data'!$I$1:$I$991)</f>
        <v>4</v>
      </c>
      <c r="E840">
        <f>_xlfn.XLOOKUP(A840,'Grocery and sales Data'!$A$1:$A$991,'Grocery and sales Data'!$R$1:$R$991)</f>
        <v>368</v>
      </c>
      <c r="F840" t="str">
        <f t="shared" si="13"/>
        <v>Medium</v>
      </c>
    </row>
    <row r="841" spans="1:6" ht="16" x14ac:dyDescent="0.4">
      <c r="A841" s="2" t="s">
        <v>3008</v>
      </c>
      <c r="B841" t="str">
        <f>_xlfn.XLOOKUP(A841,'Grocery and sales Data'!$A$1:$A$991,'Grocery and sales Data'!$B$1:$B$991)</f>
        <v>Bread Flour</v>
      </c>
      <c r="C841" t="str">
        <f>_xlfn.XLOOKUP(A841,'Grocery and sales Data'!$A$1:$A$991,'Grocery and sales Data'!$C$1:$C$991)</f>
        <v>Grains &amp; Pulses</v>
      </c>
      <c r="D841" s="9">
        <f>_xlfn.XLOOKUP(A841,'Grocery and sales Data'!$A$1:$A$991,'Grocery and sales Data'!$I$1:$I$991)</f>
        <v>1.5</v>
      </c>
      <c r="E841">
        <f>_xlfn.XLOOKUP(A841,'Grocery and sales Data'!$A$1:$A$991,'Grocery and sales Data'!$R$1:$R$991)</f>
        <v>82.5</v>
      </c>
      <c r="F841" t="str">
        <f t="shared" si="13"/>
        <v>Low</v>
      </c>
    </row>
    <row r="842" spans="1:6" ht="16" x14ac:dyDescent="0.4">
      <c r="A842" s="2" t="s">
        <v>3011</v>
      </c>
      <c r="B842" t="str">
        <f>_xlfn.XLOOKUP(A842,'Grocery and sales Data'!$A$1:$A$991,'Grocery and sales Data'!$B$1:$B$991)</f>
        <v>Raw Sugar</v>
      </c>
      <c r="C842" t="str">
        <f>_xlfn.XLOOKUP(A842,'Grocery and sales Data'!$A$1:$A$991,'Grocery and sales Data'!$C$1:$C$991)</f>
        <v>Grains &amp; Pulses</v>
      </c>
      <c r="D842" s="9">
        <f>_xlfn.XLOOKUP(A842,'Grocery and sales Data'!$A$1:$A$991,'Grocery and sales Data'!$I$1:$I$991)</f>
        <v>1.5</v>
      </c>
      <c r="E842">
        <f>_xlfn.XLOOKUP(A842,'Grocery and sales Data'!$A$1:$A$991,'Grocery and sales Data'!$R$1:$R$991)</f>
        <v>120</v>
      </c>
      <c r="F842" t="str">
        <f t="shared" si="13"/>
        <v>Medium</v>
      </c>
    </row>
    <row r="843" spans="1:6" ht="16" x14ac:dyDescent="0.4">
      <c r="A843" s="2" t="s">
        <v>3014</v>
      </c>
      <c r="B843" t="str">
        <f>_xlfn.XLOOKUP(A843,'Grocery and sales Data'!$A$1:$A$991,'Grocery and sales Data'!$B$1:$B$991)</f>
        <v>Multigrain Bread</v>
      </c>
      <c r="C843" t="str">
        <f>_xlfn.XLOOKUP(A843,'Grocery and sales Data'!$A$1:$A$991,'Grocery and sales Data'!$C$1:$C$991)</f>
        <v>Bakery</v>
      </c>
      <c r="D843" s="9">
        <f>_xlfn.XLOOKUP(A843,'Grocery and sales Data'!$A$1:$A$991,'Grocery and sales Data'!$I$1:$I$991)</f>
        <v>3.25</v>
      </c>
      <c r="E843">
        <f>_xlfn.XLOOKUP(A843,'Grocery and sales Data'!$A$1:$A$991,'Grocery and sales Data'!$R$1:$R$991)</f>
        <v>97.5</v>
      </c>
      <c r="F843" t="str">
        <f t="shared" si="13"/>
        <v>Low</v>
      </c>
    </row>
    <row r="844" spans="1:6" ht="16" x14ac:dyDescent="0.4">
      <c r="A844" s="2" t="s">
        <v>3017</v>
      </c>
      <c r="B844" t="str">
        <f>_xlfn.XLOOKUP(A844,'Grocery and sales Data'!$A$1:$A$991,'Grocery and sales Data'!$B$1:$B$991)</f>
        <v>Digestive Biscuit</v>
      </c>
      <c r="C844" t="str">
        <f>_xlfn.XLOOKUP(A844,'Grocery and sales Data'!$A$1:$A$991,'Grocery and sales Data'!$C$1:$C$991)</f>
        <v>Bakery</v>
      </c>
      <c r="D844" s="9">
        <f>_xlfn.XLOOKUP(A844,'Grocery and sales Data'!$A$1:$A$991,'Grocery and sales Data'!$I$1:$I$991)</f>
        <v>4</v>
      </c>
      <c r="E844">
        <f>_xlfn.XLOOKUP(A844,'Grocery and sales Data'!$A$1:$A$991,'Grocery and sales Data'!$R$1:$R$991)</f>
        <v>320</v>
      </c>
      <c r="F844" t="str">
        <f t="shared" si="13"/>
        <v>Medium</v>
      </c>
    </row>
    <row r="845" spans="1:6" ht="16" x14ac:dyDescent="0.4">
      <c r="A845" s="2" t="s">
        <v>3020</v>
      </c>
      <c r="B845" t="str">
        <f>_xlfn.XLOOKUP(A845,'Grocery and sales Data'!$A$1:$A$991,'Grocery and sales Data'!$B$1:$B$991)</f>
        <v>Peach</v>
      </c>
      <c r="C845" t="str">
        <f>_xlfn.XLOOKUP(A845,'Grocery and sales Data'!$A$1:$A$991,'Grocery and sales Data'!$C$1:$C$991)</f>
        <v>Fruits &amp; Vegetables</v>
      </c>
      <c r="D845" s="9">
        <f>_xlfn.XLOOKUP(A845,'Grocery and sales Data'!$A$1:$A$991,'Grocery and sales Data'!$I$1:$I$991)</f>
        <v>4</v>
      </c>
      <c r="E845">
        <f>_xlfn.XLOOKUP(A845,'Grocery and sales Data'!$A$1:$A$991,'Grocery and sales Data'!$R$1:$R$991)</f>
        <v>96</v>
      </c>
      <c r="F845" t="str">
        <f t="shared" si="13"/>
        <v>Low</v>
      </c>
    </row>
    <row r="846" spans="1:6" ht="16" x14ac:dyDescent="0.4">
      <c r="A846" s="2" t="s">
        <v>3023</v>
      </c>
      <c r="B846" t="str">
        <f>_xlfn.XLOOKUP(A846,'Grocery and sales Data'!$A$1:$A$991,'Grocery and sales Data'!$B$1:$B$991)</f>
        <v>Mango</v>
      </c>
      <c r="C846" t="str">
        <f>_xlfn.XLOOKUP(A846,'Grocery and sales Data'!$A$1:$A$991,'Grocery and sales Data'!$C$1:$C$991)</f>
        <v>Fruits &amp; Vegetables</v>
      </c>
      <c r="D846" s="9">
        <f>_xlfn.XLOOKUP(A846,'Grocery and sales Data'!$A$1:$A$991,'Grocery and sales Data'!$I$1:$I$991)</f>
        <v>4.9000000000000004</v>
      </c>
      <c r="E846">
        <f>_xlfn.XLOOKUP(A846,'Grocery and sales Data'!$A$1:$A$991,'Grocery and sales Data'!$R$1:$R$991)</f>
        <v>411.6</v>
      </c>
      <c r="F846" t="str">
        <f t="shared" si="13"/>
        <v>Medium</v>
      </c>
    </row>
    <row r="847" spans="1:6" ht="16" x14ac:dyDescent="0.4">
      <c r="A847" s="2" t="s">
        <v>3026</v>
      </c>
      <c r="B847" t="str">
        <f>_xlfn.XLOOKUP(A847,'Grocery and sales Data'!$A$1:$A$991,'Grocery and sales Data'!$B$1:$B$991)</f>
        <v>Plum</v>
      </c>
      <c r="C847" t="str">
        <f>_xlfn.XLOOKUP(A847,'Grocery and sales Data'!$A$1:$A$991,'Grocery and sales Data'!$C$1:$C$991)</f>
        <v>Fruits &amp; Vegetables</v>
      </c>
      <c r="D847" s="9">
        <f>_xlfn.XLOOKUP(A847,'Grocery and sales Data'!$A$1:$A$991,'Grocery and sales Data'!$I$1:$I$991)</f>
        <v>4</v>
      </c>
      <c r="E847">
        <f>_xlfn.XLOOKUP(A847,'Grocery and sales Data'!$A$1:$A$991,'Grocery and sales Data'!$R$1:$R$991)</f>
        <v>180</v>
      </c>
      <c r="F847" t="str">
        <f t="shared" si="13"/>
        <v>Medium</v>
      </c>
    </row>
    <row r="848" spans="1:6" ht="16" x14ac:dyDescent="0.4">
      <c r="A848" s="2" t="s">
        <v>3029</v>
      </c>
      <c r="B848" t="str">
        <f>_xlfn.XLOOKUP(A848,'Grocery and sales Data'!$A$1:$A$991,'Grocery and sales Data'!$B$1:$B$991)</f>
        <v>Egg (Goose)</v>
      </c>
      <c r="C848" t="str">
        <f>_xlfn.XLOOKUP(A848,'Grocery and sales Data'!$A$1:$A$991,'Grocery and sales Data'!$C$1:$C$991)</f>
        <v>Dairy</v>
      </c>
      <c r="D848" s="9">
        <f>_xlfn.XLOOKUP(A848,'Grocery and sales Data'!$A$1:$A$991,'Grocery and sales Data'!$I$1:$I$991)</f>
        <v>2.5</v>
      </c>
      <c r="E848">
        <f>_xlfn.XLOOKUP(A848,'Grocery and sales Data'!$A$1:$A$991,'Grocery and sales Data'!$R$1:$R$991)</f>
        <v>190</v>
      </c>
      <c r="F848" t="str">
        <f t="shared" si="13"/>
        <v>Medium</v>
      </c>
    </row>
    <row r="849" spans="1:6" ht="16" x14ac:dyDescent="0.4">
      <c r="A849" s="2" t="s">
        <v>3032</v>
      </c>
      <c r="B849" t="str">
        <f>_xlfn.XLOOKUP(A849,'Grocery and sales Data'!$A$1:$A$991,'Grocery and sales Data'!$B$1:$B$991)</f>
        <v>Cod</v>
      </c>
      <c r="C849" t="str">
        <f>_xlfn.XLOOKUP(A849,'Grocery and sales Data'!$A$1:$A$991,'Grocery and sales Data'!$C$1:$C$991)</f>
        <v>Seafood</v>
      </c>
      <c r="D849" s="9">
        <f>_xlfn.XLOOKUP(A849,'Grocery and sales Data'!$A$1:$A$991,'Grocery and sales Data'!$I$1:$I$991)</f>
        <v>8</v>
      </c>
      <c r="E849">
        <f>_xlfn.XLOOKUP(A849,'Grocery and sales Data'!$A$1:$A$991,'Grocery and sales Data'!$R$1:$R$991)</f>
        <v>432</v>
      </c>
      <c r="F849" t="str">
        <f t="shared" si="13"/>
        <v>Medium</v>
      </c>
    </row>
    <row r="850" spans="1:6" ht="16" x14ac:dyDescent="0.4">
      <c r="A850" s="2" t="s">
        <v>3035</v>
      </c>
      <c r="B850" t="str">
        <f>_xlfn.XLOOKUP(A850,'Grocery and sales Data'!$A$1:$A$991,'Grocery and sales Data'!$B$1:$B$991)</f>
        <v>Pomegranate</v>
      </c>
      <c r="C850" t="str">
        <f>_xlfn.XLOOKUP(A850,'Grocery and sales Data'!$A$1:$A$991,'Grocery and sales Data'!$C$1:$C$991)</f>
        <v>Fruits &amp; Vegetables</v>
      </c>
      <c r="D850" s="9">
        <f>_xlfn.XLOOKUP(A850,'Grocery and sales Data'!$A$1:$A$991,'Grocery and sales Data'!$I$1:$I$991)</f>
        <v>6</v>
      </c>
      <c r="E850">
        <f>_xlfn.XLOOKUP(A850,'Grocery and sales Data'!$A$1:$A$991,'Grocery and sales Data'!$R$1:$R$991)</f>
        <v>246</v>
      </c>
      <c r="F850" t="str">
        <f t="shared" si="13"/>
        <v>Medium</v>
      </c>
    </row>
    <row r="851" spans="1:6" ht="16" x14ac:dyDescent="0.4">
      <c r="A851" s="2" t="s">
        <v>3038</v>
      </c>
      <c r="B851" t="str">
        <f>_xlfn.XLOOKUP(A851,'Grocery and sales Data'!$A$1:$A$991,'Grocery and sales Data'!$B$1:$B$991)</f>
        <v>Chocolate Biscuit</v>
      </c>
      <c r="C851" t="str">
        <f>_xlfn.XLOOKUP(A851,'Grocery and sales Data'!$A$1:$A$991,'Grocery and sales Data'!$C$1:$C$991)</f>
        <v>Bakery</v>
      </c>
      <c r="D851" s="9">
        <f>_xlfn.XLOOKUP(A851,'Grocery and sales Data'!$A$1:$A$991,'Grocery and sales Data'!$I$1:$I$991)</f>
        <v>5</v>
      </c>
      <c r="E851">
        <f>_xlfn.XLOOKUP(A851,'Grocery and sales Data'!$A$1:$A$991,'Grocery and sales Data'!$R$1:$R$991)</f>
        <v>485</v>
      </c>
      <c r="F851" t="str">
        <f t="shared" si="13"/>
        <v>Medium</v>
      </c>
    </row>
    <row r="852" spans="1:6" ht="16" x14ac:dyDescent="0.4">
      <c r="A852" s="2" t="s">
        <v>3041</v>
      </c>
      <c r="B852" t="str">
        <f>_xlfn.XLOOKUP(A852,'Grocery and sales Data'!$A$1:$A$991,'Grocery and sales Data'!$B$1:$B$991)</f>
        <v>Halibut</v>
      </c>
      <c r="C852" t="str">
        <f>_xlfn.XLOOKUP(A852,'Grocery and sales Data'!$A$1:$A$991,'Grocery and sales Data'!$C$1:$C$991)</f>
        <v>Seafood</v>
      </c>
      <c r="D852" s="9">
        <f>_xlfn.XLOOKUP(A852,'Grocery and sales Data'!$A$1:$A$991,'Grocery and sales Data'!$I$1:$I$991)</f>
        <v>20</v>
      </c>
      <c r="E852">
        <f>_xlfn.XLOOKUP(A852,'Grocery and sales Data'!$A$1:$A$991,'Grocery and sales Data'!$R$1:$R$991)</f>
        <v>1480</v>
      </c>
      <c r="F852" t="str">
        <f t="shared" si="13"/>
        <v>High</v>
      </c>
    </row>
    <row r="853" spans="1:6" ht="16" x14ac:dyDescent="0.4">
      <c r="A853" s="2" t="s">
        <v>3044</v>
      </c>
      <c r="B853" t="str">
        <f>_xlfn.XLOOKUP(A853,'Grocery and sales Data'!$A$1:$A$991,'Grocery and sales Data'!$B$1:$B$991)</f>
        <v>Cucumber</v>
      </c>
      <c r="C853" t="str">
        <f>_xlfn.XLOOKUP(A853,'Grocery and sales Data'!$A$1:$A$991,'Grocery and sales Data'!$C$1:$C$991)</f>
        <v>Fruits &amp; Vegetables</v>
      </c>
      <c r="D853" s="9">
        <f>_xlfn.XLOOKUP(A853,'Grocery and sales Data'!$A$1:$A$991,'Grocery and sales Data'!$I$1:$I$991)</f>
        <v>1.75</v>
      </c>
      <c r="E853">
        <f>_xlfn.XLOOKUP(A853,'Grocery and sales Data'!$A$1:$A$991,'Grocery and sales Data'!$R$1:$R$991)</f>
        <v>78.75</v>
      </c>
      <c r="F853" t="str">
        <f t="shared" si="13"/>
        <v>Low</v>
      </c>
    </row>
    <row r="854" spans="1:6" ht="16" x14ac:dyDescent="0.4">
      <c r="A854" s="2" t="s">
        <v>3047</v>
      </c>
      <c r="B854" t="str">
        <f>_xlfn.XLOOKUP(A854,'Grocery and sales Data'!$A$1:$A$991,'Grocery and sales Data'!$B$1:$B$991)</f>
        <v>Cheddar Cheese</v>
      </c>
      <c r="C854" t="str">
        <f>_xlfn.XLOOKUP(A854,'Grocery and sales Data'!$A$1:$A$991,'Grocery and sales Data'!$C$1:$C$991)</f>
        <v>Dairy</v>
      </c>
      <c r="D854" s="9">
        <f>_xlfn.XLOOKUP(A854,'Grocery and sales Data'!$A$1:$A$991,'Grocery and sales Data'!$I$1:$I$991)</f>
        <v>9</v>
      </c>
      <c r="E854">
        <f>_xlfn.XLOOKUP(A854,'Grocery and sales Data'!$A$1:$A$991,'Grocery and sales Data'!$R$1:$R$991)</f>
        <v>900</v>
      </c>
      <c r="F854" t="str">
        <f t="shared" si="13"/>
        <v>Medium</v>
      </c>
    </row>
    <row r="855" spans="1:6" ht="16" x14ac:dyDescent="0.4">
      <c r="A855" s="2" t="s">
        <v>3050</v>
      </c>
      <c r="B855" t="str">
        <f>_xlfn.XLOOKUP(A855,'Grocery and sales Data'!$A$1:$A$991,'Grocery and sales Data'!$B$1:$B$991)</f>
        <v>Mackerel</v>
      </c>
      <c r="C855" t="str">
        <f>_xlfn.XLOOKUP(A855,'Grocery and sales Data'!$A$1:$A$991,'Grocery and sales Data'!$C$1:$C$991)</f>
        <v>Seafood</v>
      </c>
      <c r="D855" s="9">
        <f>_xlfn.XLOOKUP(A855,'Grocery and sales Data'!$A$1:$A$991,'Grocery and sales Data'!$I$1:$I$991)</f>
        <v>7.5</v>
      </c>
      <c r="E855">
        <f>_xlfn.XLOOKUP(A855,'Grocery and sales Data'!$A$1:$A$991,'Grocery and sales Data'!$R$1:$R$991)</f>
        <v>675</v>
      </c>
      <c r="F855" t="str">
        <f t="shared" si="13"/>
        <v>Medium</v>
      </c>
    </row>
    <row r="856" spans="1:6" ht="16" x14ac:dyDescent="0.4">
      <c r="A856" s="2" t="s">
        <v>3053</v>
      </c>
      <c r="B856" t="str">
        <f>_xlfn.XLOOKUP(A856,'Grocery and sales Data'!$A$1:$A$991,'Grocery and sales Data'!$B$1:$B$991)</f>
        <v>Evaporated Milk</v>
      </c>
      <c r="C856" t="str">
        <f>_xlfn.XLOOKUP(A856,'Grocery and sales Data'!$A$1:$A$991,'Grocery and sales Data'!$C$1:$C$991)</f>
        <v>Dairy</v>
      </c>
      <c r="D856" s="9">
        <f>_xlfn.XLOOKUP(A856,'Grocery and sales Data'!$A$1:$A$991,'Grocery and sales Data'!$I$1:$I$991)</f>
        <v>2</v>
      </c>
      <c r="E856">
        <f>_xlfn.XLOOKUP(A856,'Grocery and sales Data'!$A$1:$A$991,'Grocery and sales Data'!$R$1:$R$991)</f>
        <v>136</v>
      </c>
      <c r="F856" t="str">
        <f t="shared" si="13"/>
        <v>Medium</v>
      </c>
    </row>
    <row r="857" spans="1:6" ht="16" x14ac:dyDescent="0.4">
      <c r="A857" s="2" t="s">
        <v>3056</v>
      </c>
      <c r="B857" t="str">
        <f>_xlfn.XLOOKUP(A857,'Grocery and sales Data'!$A$1:$A$991,'Grocery and sales Data'!$B$1:$B$991)</f>
        <v>Onion</v>
      </c>
      <c r="C857" t="str">
        <f>_xlfn.XLOOKUP(A857,'Grocery and sales Data'!$A$1:$A$991,'Grocery and sales Data'!$C$1:$C$991)</f>
        <v>Fruits &amp; Vegetables</v>
      </c>
      <c r="D857" s="9">
        <f>_xlfn.XLOOKUP(A857,'Grocery and sales Data'!$A$1:$A$991,'Grocery and sales Data'!$I$1:$I$991)</f>
        <v>2</v>
      </c>
      <c r="E857">
        <f>_xlfn.XLOOKUP(A857,'Grocery and sales Data'!$A$1:$A$991,'Grocery and sales Data'!$R$1:$R$991)</f>
        <v>92</v>
      </c>
      <c r="F857" t="str">
        <f t="shared" si="13"/>
        <v>Low</v>
      </c>
    </row>
    <row r="858" spans="1:6" ht="16" x14ac:dyDescent="0.4">
      <c r="A858" s="2" t="s">
        <v>3059</v>
      </c>
      <c r="B858" t="str">
        <f>_xlfn.XLOOKUP(A858,'Grocery and sales Data'!$A$1:$A$991,'Grocery and sales Data'!$B$1:$B$991)</f>
        <v>Cherry</v>
      </c>
      <c r="C858" t="str">
        <f>_xlfn.XLOOKUP(A858,'Grocery and sales Data'!$A$1:$A$991,'Grocery and sales Data'!$C$1:$C$991)</f>
        <v>Fruits &amp; Vegetables</v>
      </c>
      <c r="D858" s="9">
        <f>_xlfn.XLOOKUP(A858,'Grocery and sales Data'!$A$1:$A$991,'Grocery and sales Data'!$I$1:$I$991)</f>
        <v>8</v>
      </c>
      <c r="E858">
        <f>_xlfn.XLOOKUP(A858,'Grocery and sales Data'!$A$1:$A$991,'Grocery and sales Data'!$R$1:$R$991)</f>
        <v>592</v>
      </c>
      <c r="F858" t="str">
        <f t="shared" si="13"/>
        <v>Medium</v>
      </c>
    </row>
    <row r="859" spans="1:6" ht="16" x14ac:dyDescent="0.4">
      <c r="A859" s="2" t="s">
        <v>3062</v>
      </c>
      <c r="B859" t="str">
        <f>_xlfn.XLOOKUP(A859,'Grocery and sales Data'!$A$1:$A$991,'Grocery and sales Data'!$B$1:$B$991)</f>
        <v>Coconut</v>
      </c>
      <c r="C859" t="str">
        <f>_xlfn.XLOOKUP(A859,'Grocery and sales Data'!$A$1:$A$991,'Grocery and sales Data'!$C$1:$C$991)</f>
        <v>Fruits &amp; Vegetables</v>
      </c>
      <c r="D859" s="9">
        <f>_xlfn.XLOOKUP(A859,'Grocery and sales Data'!$A$1:$A$991,'Grocery and sales Data'!$I$1:$I$991)</f>
        <v>5</v>
      </c>
      <c r="E859">
        <f>_xlfn.XLOOKUP(A859,'Grocery and sales Data'!$A$1:$A$991,'Grocery and sales Data'!$R$1:$R$991)</f>
        <v>190</v>
      </c>
      <c r="F859" t="str">
        <f t="shared" si="13"/>
        <v>Medium</v>
      </c>
    </row>
    <row r="860" spans="1:6" ht="16" x14ac:dyDescent="0.4">
      <c r="A860" s="2" t="s">
        <v>3066</v>
      </c>
      <c r="B860" t="str">
        <f>_xlfn.XLOOKUP(A860,'Grocery and sales Data'!$A$1:$A$991,'Grocery and sales Data'!$B$1:$B$991)</f>
        <v>Pear</v>
      </c>
      <c r="C860" t="str">
        <f>_xlfn.XLOOKUP(A860,'Grocery and sales Data'!$A$1:$A$991,'Grocery and sales Data'!$C$1:$C$991)</f>
        <v>Fruits &amp; Vegetables</v>
      </c>
      <c r="D860" s="9">
        <f>_xlfn.XLOOKUP(A860,'Grocery and sales Data'!$A$1:$A$991,'Grocery and sales Data'!$I$1:$I$991)</f>
        <v>4.5</v>
      </c>
      <c r="E860">
        <f>_xlfn.XLOOKUP(A860,'Grocery and sales Data'!$A$1:$A$991,'Grocery and sales Data'!$R$1:$R$991)</f>
        <v>288</v>
      </c>
      <c r="F860" t="str">
        <f t="shared" si="13"/>
        <v>Medium</v>
      </c>
    </row>
    <row r="861" spans="1:6" ht="16" x14ac:dyDescent="0.4">
      <c r="A861" s="2" t="s">
        <v>3069</v>
      </c>
      <c r="B861" t="str">
        <f>_xlfn.XLOOKUP(A861,'Grocery and sales Data'!$A$1:$A$991,'Grocery and sales Data'!$B$1:$B$991)</f>
        <v>Yogurt</v>
      </c>
      <c r="C861" t="str">
        <f>_xlfn.XLOOKUP(A861,'Grocery and sales Data'!$A$1:$A$991,'Grocery and sales Data'!$C$1:$C$991)</f>
        <v>Dairy</v>
      </c>
      <c r="D861" s="9">
        <f>_xlfn.XLOOKUP(A861,'Grocery and sales Data'!$A$1:$A$991,'Grocery and sales Data'!$I$1:$I$991)</f>
        <v>1.75</v>
      </c>
      <c r="E861">
        <f>_xlfn.XLOOKUP(A861,'Grocery and sales Data'!$A$1:$A$991,'Grocery and sales Data'!$R$1:$R$991)</f>
        <v>145.25</v>
      </c>
      <c r="F861" t="str">
        <f t="shared" si="13"/>
        <v>Medium</v>
      </c>
    </row>
    <row r="862" spans="1:6" ht="16" x14ac:dyDescent="0.4">
      <c r="A862" s="2" t="s">
        <v>3072</v>
      </c>
      <c r="B862" t="str">
        <f>_xlfn.XLOOKUP(A862,'Grocery and sales Data'!$A$1:$A$991,'Grocery and sales Data'!$B$1:$B$991)</f>
        <v>Black Rice</v>
      </c>
      <c r="C862" t="str">
        <f>_xlfn.XLOOKUP(A862,'Grocery and sales Data'!$A$1:$A$991,'Grocery and sales Data'!$C$1:$C$991)</f>
        <v>Grains &amp; Pulses</v>
      </c>
      <c r="D862" s="9">
        <f>_xlfn.XLOOKUP(A862,'Grocery and sales Data'!$A$1:$A$991,'Grocery and sales Data'!$I$1:$I$991)</f>
        <v>6.2</v>
      </c>
      <c r="E862">
        <f>_xlfn.XLOOKUP(A862,'Grocery and sales Data'!$A$1:$A$991,'Grocery and sales Data'!$R$1:$R$991)</f>
        <v>303.8</v>
      </c>
      <c r="F862" t="str">
        <f t="shared" si="13"/>
        <v>Medium</v>
      </c>
    </row>
    <row r="863" spans="1:6" ht="16" x14ac:dyDescent="0.4">
      <c r="A863" s="2" t="s">
        <v>3075</v>
      </c>
      <c r="B863" t="str">
        <f>_xlfn.XLOOKUP(A863,'Grocery and sales Data'!$A$1:$A$991,'Grocery and sales Data'!$B$1:$B$991)</f>
        <v>Whole Wheat Flour</v>
      </c>
      <c r="C863" t="str">
        <f>_xlfn.XLOOKUP(A863,'Grocery and sales Data'!$A$1:$A$991,'Grocery and sales Data'!$C$1:$C$991)</f>
        <v>Grains &amp; Pulses</v>
      </c>
      <c r="D863" s="9">
        <f>_xlfn.XLOOKUP(A863,'Grocery and sales Data'!$A$1:$A$991,'Grocery and sales Data'!$I$1:$I$991)</f>
        <v>2.75</v>
      </c>
      <c r="E863">
        <f>_xlfn.XLOOKUP(A863,'Grocery and sales Data'!$A$1:$A$991,'Grocery and sales Data'!$R$1:$R$991)</f>
        <v>140.25</v>
      </c>
      <c r="F863" t="str">
        <f t="shared" si="13"/>
        <v>Medium</v>
      </c>
    </row>
    <row r="864" spans="1:6" ht="16" x14ac:dyDescent="0.4">
      <c r="A864" s="2" t="s">
        <v>3078</v>
      </c>
      <c r="B864" t="str">
        <f>_xlfn.XLOOKUP(A864,'Grocery and sales Data'!$A$1:$A$991,'Grocery and sales Data'!$B$1:$B$991)</f>
        <v>Whole Wheat Bread</v>
      </c>
      <c r="C864" t="str">
        <f>_xlfn.XLOOKUP(A864,'Grocery and sales Data'!$A$1:$A$991,'Grocery and sales Data'!$C$1:$C$991)</f>
        <v>Bakery</v>
      </c>
      <c r="D864" s="9">
        <f>_xlfn.XLOOKUP(A864,'Grocery and sales Data'!$A$1:$A$991,'Grocery and sales Data'!$I$1:$I$991)</f>
        <v>3.5</v>
      </c>
      <c r="E864">
        <f>_xlfn.XLOOKUP(A864,'Grocery and sales Data'!$A$1:$A$991,'Grocery and sales Data'!$R$1:$R$991)</f>
        <v>343</v>
      </c>
      <c r="F864" t="str">
        <f t="shared" si="13"/>
        <v>Medium</v>
      </c>
    </row>
    <row r="865" spans="1:6" ht="16" x14ac:dyDescent="0.4">
      <c r="A865" s="2" t="s">
        <v>3081</v>
      </c>
      <c r="B865" t="str">
        <f>_xlfn.XLOOKUP(A865,'Grocery and sales Data'!$A$1:$A$991,'Grocery and sales Data'!$B$1:$B$991)</f>
        <v>Ricotta Cheese</v>
      </c>
      <c r="C865" t="str">
        <f>_xlfn.XLOOKUP(A865,'Grocery and sales Data'!$A$1:$A$991,'Grocery and sales Data'!$C$1:$C$991)</f>
        <v>Dairy</v>
      </c>
      <c r="D865" s="9">
        <f>_xlfn.XLOOKUP(A865,'Grocery and sales Data'!$A$1:$A$991,'Grocery and sales Data'!$I$1:$I$991)</f>
        <v>6</v>
      </c>
      <c r="E865">
        <f>_xlfn.XLOOKUP(A865,'Grocery and sales Data'!$A$1:$A$991,'Grocery and sales Data'!$R$1:$R$991)</f>
        <v>330</v>
      </c>
      <c r="F865" t="str">
        <f t="shared" si="13"/>
        <v>Medium</v>
      </c>
    </row>
    <row r="866" spans="1:6" ht="16" x14ac:dyDescent="0.4">
      <c r="A866" s="2" t="s">
        <v>3084</v>
      </c>
      <c r="B866" t="str">
        <f>_xlfn.XLOOKUP(A866,'Grocery and sales Data'!$A$1:$A$991,'Grocery and sales Data'!$B$1:$B$991)</f>
        <v>Canola Oil</v>
      </c>
      <c r="C866" t="str">
        <f>_xlfn.XLOOKUP(A866,'Grocery and sales Data'!$A$1:$A$991,'Grocery and sales Data'!$C$1:$C$991)</f>
        <v>Oils &amp; Fats</v>
      </c>
      <c r="D866" s="9">
        <f>_xlfn.XLOOKUP(A866,'Grocery and sales Data'!$A$1:$A$991,'Grocery and sales Data'!$I$1:$I$991)</f>
        <v>2.2999999999999998</v>
      </c>
      <c r="E866">
        <f>_xlfn.XLOOKUP(A866,'Grocery and sales Data'!$A$1:$A$991,'Grocery and sales Data'!$R$1:$R$991)</f>
        <v>75.899999999999991</v>
      </c>
      <c r="F866" t="str">
        <f t="shared" si="13"/>
        <v>Low</v>
      </c>
    </row>
    <row r="867" spans="1:6" ht="16" x14ac:dyDescent="0.4">
      <c r="A867" s="2" t="s">
        <v>3087</v>
      </c>
      <c r="B867" t="str">
        <f>_xlfn.XLOOKUP(A867,'Grocery and sales Data'!$A$1:$A$991,'Grocery and sales Data'!$B$1:$B$991)</f>
        <v>Cherry</v>
      </c>
      <c r="C867" t="str">
        <f>_xlfn.XLOOKUP(A867,'Grocery and sales Data'!$A$1:$A$991,'Grocery and sales Data'!$C$1:$C$991)</f>
        <v>Fruits &amp; Vegetables</v>
      </c>
      <c r="D867" s="9">
        <f>_xlfn.XLOOKUP(A867,'Grocery and sales Data'!$A$1:$A$991,'Grocery and sales Data'!$I$1:$I$991)</f>
        <v>8</v>
      </c>
      <c r="E867">
        <f>_xlfn.XLOOKUP(A867,'Grocery and sales Data'!$A$1:$A$991,'Grocery and sales Data'!$R$1:$R$991)</f>
        <v>216</v>
      </c>
      <c r="F867" t="str">
        <f t="shared" si="13"/>
        <v>Medium</v>
      </c>
    </row>
    <row r="868" spans="1:6" ht="16" x14ac:dyDescent="0.4">
      <c r="A868" s="2" t="s">
        <v>3090</v>
      </c>
      <c r="B868" t="str">
        <f>_xlfn.XLOOKUP(A868,'Grocery and sales Data'!$A$1:$A$991,'Grocery and sales Data'!$B$1:$B$991)</f>
        <v>Peanut Oil</v>
      </c>
      <c r="C868" t="str">
        <f>_xlfn.XLOOKUP(A868,'Grocery and sales Data'!$A$1:$A$991,'Grocery and sales Data'!$C$1:$C$991)</f>
        <v>Oils &amp; Fats</v>
      </c>
      <c r="D868" s="9">
        <f>_xlfn.XLOOKUP(A868,'Grocery and sales Data'!$A$1:$A$991,'Grocery and sales Data'!$I$1:$I$991)</f>
        <v>4</v>
      </c>
      <c r="E868">
        <f>_xlfn.XLOOKUP(A868,'Grocery and sales Data'!$A$1:$A$991,'Grocery and sales Data'!$R$1:$R$991)</f>
        <v>164</v>
      </c>
      <c r="F868" t="str">
        <f t="shared" si="13"/>
        <v>Medium</v>
      </c>
    </row>
    <row r="869" spans="1:6" ht="16" x14ac:dyDescent="0.4">
      <c r="A869" s="2" t="s">
        <v>3093</v>
      </c>
      <c r="B869" t="str">
        <f>_xlfn.XLOOKUP(A869,'Grocery and sales Data'!$A$1:$A$991,'Grocery and sales Data'!$B$1:$B$991)</f>
        <v>Buttermilk</v>
      </c>
      <c r="C869" t="str">
        <f>_xlfn.XLOOKUP(A869,'Grocery and sales Data'!$A$1:$A$991,'Grocery and sales Data'!$C$1:$C$991)</f>
        <v>Dairy</v>
      </c>
      <c r="D869" s="9">
        <f>_xlfn.XLOOKUP(A869,'Grocery and sales Data'!$A$1:$A$991,'Grocery and sales Data'!$I$1:$I$991)</f>
        <v>2.5</v>
      </c>
      <c r="E869">
        <f>_xlfn.XLOOKUP(A869,'Grocery and sales Data'!$A$1:$A$991,'Grocery and sales Data'!$R$1:$R$991)</f>
        <v>117.5</v>
      </c>
      <c r="F869" t="str">
        <f t="shared" si="13"/>
        <v>Medium</v>
      </c>
    </row>
    <row r="870" spans="1:6" ht="16" x14ac:dyDescent="0.4">
      <c r="A870" s="2" t="s">
        <v>3096</v>
      </c>
      <c r="B870" t="str">
        <f>_xlfn.XLOOKUP(A870,'Grocery and sales Data'!$A$1:$A$991,'Grocery and sales Data'!$B$1:$B$991)</f>
        <v>Asparagus</v>
      </c>
      <c r="C870" t="str">
        <f>_xlfn.XLOOKUP(A870,'Grocery and sales Data'!$A$1:$A$991,'Grocery and sales Data'!$C$1:$C$991)</f>
        <v>Fruits &amp; Vegetables</v>
      </c>
      <c r="D870" s="9">
        <f>_xlfn.XLOOKUP(A870,'Grocery and sales Data'!$A$1:$A$991,'Grocery and sales Data'!$I$1:$I$991)</f>
        <v>5</v>
      </c>
      <c r="E870">
        <f>_xlfn.XLOOKUP(A870,'Grocery and sales Data'!$A$1:$A$991,'Grocery and sales Data'!$R$1:$R$991)</f>
        <v>290</v>
      </c>
      <c r="F870" t="str">
        <f t="shared" si="13"/>
        <v>Medium</v>
      </c>
    </row>
    <row r="871" spans="1:6" ht="16" x14ac:dyDescent="0.4">
      <c r="A871" s="2" t="s">
        <v>3099</v>
      </c>
      <c r="B871" t="str">
        <f>_xlfn.XLOOKUP(A871,'Grocery and sales Data'!$A$1:$A$991,'Grocery and sales Data'!$B$1:$B$991)</f>
        <v>Brown Rice</v>
      </c>
      <c r="C871" t="str">
        <f>_xlfn.XLOOKUP(A871,'Grocery and sales Data'!$A$1:$A$991,'Grocery and sales Data'!$C$1:$C$991)</f>
        <v>Grains &amp; Pulses</v>
      </c>
      <c r="D871" s="9">
        <f>_xlfn.XLOOKUP(A871,'Grocery and sales Data'!$A$1:$A$991,'Grocery and sales Data'!$I$1:$I$991)</f>
        <v>2.5</v>
      </c>
      <c r="E871">
        <f>_xlfn.XLOOKUP(A871,'Grocery and sales Data'!$A$1:$A$991,'Grocery and sales Data'!$R$1:$R$991)</f>
        <v>120</v>
      </c>
      <c r="F871" t="str">
        <f t="shared" si="13"/>
        <v>Medium</v>
      </c>
    </row>
    <row r="872" spans="1:6" ht="16" x14ac:dyDescent="0.4">
      <c r="A872" s="2" t="s">
        <v>3102</v>
      </c>
      <c r="B872" t="str">
        <f>_xlfn.XLOOKUP(A872,'Grocery and sales Data'!$A$1:$A$991,'Grocery and sales Data'!$B$1:$B$991)</f>
        <v>Arabica Coffee</v>
      </c>
      <c r="C872" t="str">
        <f>_xlfn.XLOOKUP(A872,'Grocery and sales Data'!$A$1:$A$991,'Grocery and sales Data'!$C$1:$C$991)</f>
        <v>Beverages</v>
      </c>
      <c r="D872" s="9">
        <f>_xlfn.XLOOKUP(A872,'Grocery and sales Data'!$A$1:$A$991,'Grocery and sales Data'!$I$1:$I$991)</f>
        <v>20.5</v>
      </c>
      <c r="E872">
        <f>_xlfn.XLOOKUP(A872,'Grocery and sales Data'!$A$1:$A$991,'Grocery and sales Data'!$R$1:$R$991)</f>
        <v>1271</v>
      </c>
      <c r="F872" t="str">
        <f t="shared" si="13"/>
        <v>High</v>
      </c>
    </row>
    <row r="873" spans="1:6" ht="16" x14ac:dyDescent="0.4">
      <c r="A873" s="2" t="s">
        <v>3106</v>
      </c>
      <c r="B873" t="str">
        <f>_xlfn.XLOOKUP(A873,'Grocery and sales Data'!$A$1:$A$991,'Grocery and sales Data'!$B$1:$B$991)</f>
        <v>Canola Oil</v>
      </c>
      <c r="C873" t="str">
        <f>_xlfn.XLOOKUP(A873,'Grocery and sales Data'!$A$1:$A$991,'Grocery and sales Data'!$C$1:$C$991)</f>
        <v>Oils &amp; Fats</v>
      </c>
      <c r="D873" s="9">
        <f>_xlfn.XLOOKUP(A873,'Grocery and sales Data'!$A$1:$A$991,'Grocery and sales Data'!$I$1:$I$991)</f>
        <v>2.2999999999999998</v>
      </c>
      <c r="E873">
        <f>_xlfn.XLOOKUP(A873,'Grocery and sales Data'!$A$1:$A$991,'Grocery and sales Data'!$R$1:$R$991)</f>
        <v>190.89999999999998</v>
      </c>
      <c r="F873" t="str">
        <f t="shared" si="13"/>
        <v>Medium</v>
      </c>
    </row>
    <row r="874" spans="1:6" ht="16" x14ac:dyDescent="0.4">
      <c r="A874" s="2" t="s">
        <v>3109</v>
      </c>
      <c r="B874" t="str">
        <f>_xlfn.XLOOKUP(A874,'Grocery and sales Data'!$A$1:$A$991,'Grocery and sales Data'!$B$1:$B$991)</f>
        <v>Haddock</v>
      </c>
      <c r="C874" t="str">
        <f>_xlfn.XLOOKUP(A874,'Grocery and sales Data'!$A$1:$A$991,'Grocery and sales Data'!$C$1:$C$991)</f>
        <v>Seafood</v>
      </c>
      <c r="D874" s="9">
        <f>_xlfn.XLOOKUP(A874,'Grocery and sales Data'!$A$1:$A$991,'Grocery and sales Data'!$I$1:$I$991)</f>
        <v>9</v>
      </c>
      <c r="E874">
        <f>_xlfn.XLOOKUP(A874,'Grocery and sales Data'!$A$1:$A$991,'Grocery and sales Data'!$R$1:$R$991)</f>
        <v>684</v>
      </c>
      <c r="F874" t="str">
        <f t="shared" si="13"/>
        <v>Medium</v>
      </c>
    </row>
    <row r="875" spans="1:6" ht="16" x14ac:dyDescent="0.4">
      <c r="A875" s="2" t="s">
        <v>3112</v>
      </c>
      <c r="B875" t="str">
        <f>_xlfn.XLOOKUP(A875,'Grocery and sales Data'!$A$1:$A$991,'Grocery and sales Data'!$B$1:$B$991)</f>
        <v>Egg (Chicken)</v>
      </c>
      <c r="C875" t="str">
        <f>_xlfn.XLOOKUP(A875,'Grocery and sales Data'!$A$1:$A$991,'Grocery and sales Data'!$C$1:$C$991)</f>
        <v>Dairy</v>
      </c>
      <c r="D875" s="9">
        <f>_xlfn.XLOOKUP(A875,'Grocery and sales Data'!$A$1:$A$991,'Grocery and sales Data'!$I$1:$I$991)</f>
        <v>0.2</v>
      </c>
      <c r="E875">
        <f>_xlfn.XLOOKUP(A875,'Grocery and sales Data'!$A$1:$A$991,'Grocery and sales Data'!$R$1:$R$991)</f>
        <v>13.600000000000001</v>
      </c>
      <c r="F875" t="str">
        <f t="shared" si="13"/>
        <v>Low</v>
      </c>
    </row>
    <row r="876" spans="1:6" ht="16" x14ac:dyDescent="0.4">
      <c r="A876" s="2" t="s">
        <v>3115</v>
      </c>
      <c r="B876" t="str">
        <f>_xlfn.XLOOKUP(A876,'Grocery and sales Data'!$A$1:$A$991,'Grocery and sales Data'!$B$1:$B$991)</f>
        <v>Whole Wheat Flour</v>
      </c>
      <c r="C876" t="str">
        <f>_xlfn.XLOOKUP(A876,'Grocery and sales Data'!$A$1:$A$991,'Grocery and sales Data'!$C$1:$C$991)</f>
        <v>Grains &amp; Pulses</v>
      </c>
      <c r="D876" s="9">
        <f>_xlfn.XLOOKUP(A876,'Grocery and sales Data'!$A$1:$A$991,'Grocery and sales Data'!$I$1:$I$991)</f>
        <v>2.75</v>
      </c>
      <c r="E876">
        <f>_xlfn.XLOOKUP(A876,'Grocery and sales Data'!$A$1:$A$991,'Grocery and sales Data'!$R$1:$R$991)</f>
        <v>253</v>
      </c>
      <c r="F876" t="str">
        <f t="shared" si="13"/>
        <v>Medium</v>
      </c>
    </row>
    <row r="877" spans="1:6" ht="16" x14ac:dyDescent="0.4">
      <c r="A877" s="2" t="s">
        <v>3118</v>
      </c>
      <c r="B877" t="str">
        <f>_xlfn.XLOOKUP(A877,'Grocery and sales Data'!$A$1:$A$991,'Grocery and sales Data'!$B$1:$B$991)</f>
        <v>Sweet Potato</v>
      </c>
      <c r="C877" t="str">
        <f>_xlfn.XLOOKUP(A877,'Grocery and sales Data'!$A$1:$A$991,'Grocery and sales Data'!$C$1:$C$991)</f>
        <v>Fruits &amp; Vegetables</v>
      </c>
      <c r="D877" s="9">
        <f>_xlfn.XLOOKUP(A877,'Grocery and sales Data'!$A$1:$A$991,'Grocery and sales Data'!$I$1:$I$991)</f>
        <v>2</v>
      </c>
      <c r="E877">
        <f>_xlfn.XLOOKUP(A877,'Grocery and sales Data'!$A$1:$A$991,'Grocery and sales Data'!$R$1:$R$991)</f>
        <v>122</v>
      </c>
      <c r="F877" t="str">
        <f t="shared" si="13"/>
        <v>Medium</v>
      </c>
    </row>
    <row r="878" spans="1:6" ht="16" x14ac:dyDescent="0.4">
      <c r="A878" s="2" t="s">
        <v>3121</v>
      </c>
      <c r="B878" t="str">
        <f>_xlfn.XLOOKUP(A878,'Grocery and sales Data'!$A$1:$A$991,'Grocery and sales Data'!$B$1:$B$991)</f>
        <v>Almond Flour</v>
      </c>
      <c r="C878" t="str">
        <f>_xlfn.XLOOKUP(A878,'Grocery and sales Data'!$A$1:$A$991,'Grocery and sales Data'!$C$1:$C$991)</f>
        <v>Grains &amp; Pulses</v>
      </c>
      <c r="D878" s="9">
        <f>_xlfn.XLOOKUP(A878,'Grocery and sales Data'!$A$1:$A$991,'Grocery and sales Data'!$I$1:$I$991)</f>
        <v>9.5</v>
      </c>
      <c r="E878">
        <f>_xlfn.XLOOKUP(A878,'Grocery and sales Data'!$A$1:$A$991,'Grocery and sales Data'!$R$1:$R$991)</f>
        <v>532</v>
      </c>
      <c r="F878" t="str">
        <f t="shared" si="13"/>
        <v>Medium</v>
      </c>
    </row>
    <row r="879" spans="1:6" ht="16" x14ac:dyDescent="0.4">
      <c r="A879" s="2" t="s">
        <v>3124</v>
      </c>
      <c r="B879" t="str">
        <f>_xlfn.XLOOKUP(A879,'Grocery and sales Data'!$A$1:$A$991,'Grocery and sales Data'!$B$1:$B$991)</f>
        <v>Wild Rice</v>
      </c>
      <c r="C879" t="str">
        <f>_xlfn.XLOOKUP(A879,'Grocery and sales Data'!$A$1:$A$991,'Grocery and sales Data'!$C$1:$C$991)</f>
        <v>Grains &amp; Pulses</v>
      </c>
      <c r="D879" s="9">
        <f>_xlfn.XLOOKUP(A879,'Grocery and sales Data'!$A$1:$A$991,'Grocery and sales Data'!$I$1:$I$991)</f>
        <v>10</v>
      </c>
      <c r="E879">
        <f>_xlfn.XLOOKUP(A879,'Grocery and sales Data'!$A$1:$A$991,'Grocery and sales Data'!$R$1:$R$991)</f>
        <v>310</v>
      </c>
      <c r="F879" t="str">
        <f t="shared" si="13"/>
        <v>Medium</v>
      </c>
    </row>
    <row r="880" spans="1:6" ht="16" x14ac:dyDescent="0.4">
      <c r="A880" s="2" t="s">
        <v>3127</v>
      </c>
      <c r="B880" t="str">
        <f>_xlfn.XLOOKUP(A880,'Grocery and sales Data'!$A$1:$A$991,'Grocery and sales Data'!$B$1:$B$991)</f>
        <v>Jasmine Rice</v>
      </c>
      <c r="C880" t="str">
        <f>_xlfn.XLOOKUP(A880,'Grocery and sales Data'!$A$1:$A$991,'Grocery and sales Data'!$C$1:$C$991)</f>
        <v>Grains &amp; Pulses</v>
      </c>
      <c r="D880" s="9">
        <f>_xlfn.XLOOKUP(A880,'Grocery and sales Data'!$A$1:$A$991,'Grocery and sales Data'!$I$1:$I$991)</f>
        <v>4.75</v>
      </c>
      <c r="E880">
        <f>_xlfn.XLOOKUP(A880,'Grocery and sales Data'!$A$1:$A$991,'Grocery and sales Data'!$R$1:$R$991)</f>
        <v>247</v>
      </c>
      <c r="F880" t="str">
        <f t="shared" si="13"/>
        <v>Medium</v>
      </c>
    </row>
    <row r="881" spans="1:6" ht="16" x14ac:dyDescent="0.4">
      <c r="A881" s="2" t="s">
        <v>3130</v>
      </c>
      <c r="B881" t="str">
        <f>_xlfn.XLOOKUP(A881,'Grocery and sales Data'!$A$1:$A$991,'Grocery and sales Data'!$B$1:$B$991)</f>
        <v>Zucchini</v>
      </c>
      <c r="C881" t="str">
        <f>_xlfn.XLOOKUP(A881,'Grocery and sales Data'!$A$1:$A$991,'Grocery and sales Data'!$C$1:$C$991)</f>
        <v>Fruits &amp; Vegetables</v>
      </c>
      <c r="D881" s="9">
        <f>_xlfn.XLOOKUP(A881,'Grocery and sales Data'!$A$1:$A$991,'Grocery and sales Data'!$I$1:$I$991)</f>
        <v>2.5</v>
      </c>
      <c r="E881">
        <f>_xlfn.XLOOKUP(A881,'Grocery and sales Data'!$A$1:$A$991,'Grocery and sales Data'!$R$1:$R$991)</f>
        <v>120</v>
      </c>
      <c r="F881" t="str">
        <f t="shared" si="13"/>
        <v>Medium</v>
      </c>
    </row>
    <row r="882" spans="1:6" ht="16" x14ac:dyDescent="0.4">
      <c r="A882" s="2" t="s">
        <v>3133</v>
      </c>
      <c r="B882" t="str">
        <f>_xlfn.XLOOKUP(A882,'Grocery and sales Data'!$A$1:$A$991,'Grocery and sales Data'!$B$1:$B$991)</f>
        <v>Corn Oil</v>
      </c>
      <c r="C882" t="str">
        <f>_xlfn.XLOOKUP(A882,'Grocery and sales Data'!$A$1:$A$991,'Grocery and sales Data'!$C$1:$C$991)</f>
        <v>Oils &amp; Fats</v>
      </c>
      <c r="D882" s="9">
        <f>_xlfn.XLOOKUP(A882,'Grocery and sales Data'!$A$1:$A$991,'Grocery and sales Data'!$I$1:$I$991)</f>
        <v>2.5</v>
      </c>
      <c r="E882">
        <f>_xlfn.XLOOKUP(A882,'Grocery and sales Data'!$A$1:$A$991,'Grocery and sales Data'!$R$1:$R$991)</f>
        <v>80</v>
      </c>
      <c r="F882" t="str">
        <f t="shared" si="13"/>
        <v>Low</v>
      </c>
    </row>
    <row r="883" spans="1:6" ht="16" x14ac:dyDescent="0.4">
      <c r="A883" s="2" t="s">
        <v>3136</v>
      </c>
      <c r="B883" t="str">
        <f>_xlfn.XLOOKUP(A883,'Grocery and sales Data'!$A$1:$A$991,'Grocery and sales Data'!$B$1:$B$991)</f>
        <v>Cucumber</v>
      </c>
      <c r="C883" t="str">
        <f>_xlfn.XLOOKUP(A883,'Grocery and sales Data'!$A$1:$A$991,'Grocery and sales Data'!$C$1:$C$991)</f>
        <v>Fruits &amp; Vegetables</v>
      </c>
      <c r="D883" s="9">
        <f>_xlfn.XLOOKUP(A883,'Grocery and sales Data'!$A$1:$A$991,'Grocery and sales Data'!$I$1:$I$991)</f>
        <v>1.8</v>
      </c>
      <c r="E883">
        <f>_xlfn.XLOOKUP(A883,'Grocery and sales Data'!$A$1:$A$991,'Grocery and sales Data'!$R$1:$R$991)</f>
        <v>145.80000000000001</v>
      </c>
      <c r="F883" t="str">
        <f t="shared" si="13"/>
        <v>Medium</v>
      </c>
    </row>
    <row r="884" spans="1:6" ht="16" x14ac:dyDescent="0.4">
      <c r="A884" s="2" t="s">
        <v>3139</v>
      </c>
      <c r="B884" t="str">
        <f>_xlfn.XLOOKUP(A884,'Grocery and sales Data'!$A$1:$A$991,'Grocery and sales Data'!$B$1:$B$991)</f>
        <v>Onion</v>
      </c>
      <c r="C884" t="str">
        <f>_xlfn.XLOOKUP(A884,'Grocery and sales Data'!$A$1:$A$991,'Grocery and sales Data'!$C$1:$C$991)</f>
        <v>Fruits &amp; Vegetables</v>
      </c>
      <c r="D884" s="9">
        <f>_xlfn.XLOOKUP(A884,'Grocery and sales Data'!$A$1:$A$991,'Grocery and sales Data'!$I$1:$I$991)</f>
        <v>2</v>
      </c>
      <c r="E884">
        <f>_xlfn.XLOOKUP(A884,'Grocery and sales Data'!$A$1:$A$991,'Grocery and sales Data'!$R$1:$R$991)</f>
        <v>46</v>
      </c>
      <c r="F884" t="str">
        <f t="shared" si="13"/>
        <v>Low</v>
      </c>
    </row>
    <row r="885" spans="1:6" ht="16" x14ac:dyDescent="0.4">
      <c r="A885" s="2" t="s">
        <v>3142</v>
      </c>
      <c r="B885" t="str">
        <f>_xlfn.XLOOKUP(A885,'Grocery and sales Data'!$A$1:$A$991,'Grocery and sales Data'!$B$1:$B$991)</f>
        <v>Trout</v>
      </c>
      <c r="C885" t="str">
        <f>_xlfn.XLOOKUP(A885,'Grocery and sales Data'!$A$1:$A$991,'Grocery and sales Data'!$C$1:$C$991)</f>
        <v>Seafood</v>
      </c>
      <c r="D885" s="9">
        <f>_xlfn.XLOOKUP(A885,'Grocery and sales Data'!$A$1:$A$991,'Grocery and sales Data'!$I$1:$I$991)</f>
        <v>11.6</v>
      </c>
      <c r="E885">
        <f>_xlfn.XLOOKUP(A885,'Grocery and sales Data'!$A$1:$A$991,'Grocery and sales Data'!$R$1:$R$991)</f>
        <v>765.6</v>
      </c>
      <c r="F885" t="str">
        <f t="shared" si="13"/>
        <v>Medium</v>
      </c>
    </row>
    <row r="886" spans="1:6" ht="16" x14ac:dyDescent="0.4">
      <c r="A886" s="2" t="s">
        <v>3145</v>
      </c>
      <c r="B886" t="str">
        <f>_xlfn.XLOOKUP(A886,'Grocery and sales Data'!$A$1:$A$991,'Grocery and sales Data'!$B$1:$B$991)</f>
        <v>Egg (Quail)</v>
      </c>
      <c r="C886" t="str">
        <f>_xlfn.XLOOKUP(A886,'Grocery and sales Data'!$A$1:$A$991,'Grocery and sales Data'!$C$1:$C$991)</f>
        <v>Dairy</v>
      </c>
      <c r="D886" s="9">
        <f>_xlfn.XLOOKUP(A886,'Grocery and sales Data'!$A$1:$A$991,'Grocery and sales Data'!$I$1:$I$991)</f>
        <v>0.8</v>
      </c>
      <c r="E886">
        <f>_xlfn.XLOOKUP(A886,'Grocery and sales Data'!$A$1:$A$991,'Grocery and sales Data'!$R$1:$R$991)</f>
        <v>80</v>
      </c>
      <c r="F886" t="str">
        <f t="shared" si="13"/>
        <v>Low</v>
      </c>
    </row>
    <row r="887" spans="1:6" ht="16" x14ac:dyDescent="0.4">
      <c r="A887" s="2" t="s">
        <v>3148</v>
      </c>
      <c r="B887" t="str">
        <f>_xlfn.XLOOKUP(A887,'Grocery and sales Data'!$A$1:$A$991,'Grocery and sales Data'!$B$1:$B$991)</f>
        <v>Black Tea</v>
      </c>
      <c r="C887" t="str">
        <f>_xlfn.XLOOKUP(A887,'Grocery and sales Data'!$A$1:$A$991,'Grocery and sales Data'!$C$1:$C$991)</f>
        <v>Beverages</v>
      </c>
      <c r="D887" s="9">
        <f>_xlfn.XLOOKUP(A887,'Grocery and sales Data'!$A$1:$A$991,'Grocery and sales Data'!$I$1:$I$991)</f>
        <v>5</v>
      </c>
      <c r="E887">
        <f>_xlfn.XLOOKUP(A887,'Grocery and sales Data'!$A$1:$A$991,'Grocery and sales Data'!$R$1:$R$991)</f>
        <v>450</v>
      </c>
      <c r="F887" t="str">
        <f t="shared" si="13"/>
        <v>Medium</v>
      </c>
    </row>
    <row r="888" spans="1:6" ht="16" x14ac:dyDescent="0.4">
      <c r="A888" s="2" t="s">
        <v>3152</v>
      </c>
      <c r="B888" t="str">
        <f>_xlfn.XLOOKUP(A888,'Grocery and sales Data'!$A$1:$A$991,'Grocery and sales Data'!$B$1:$B$991)</f>
        <v>Anchovies</v>
      </c>
      <c r="C888" t="str">
        <f>_xlfn.XLOOKUP(A888,'Grocery and sales Data'!$A$1:$A$991,'Grocery and sales Data'!$C$1:$C$991)</f>
        <v>Seafood</v>
      </c>
      <c r="D888" s="9">
        <f>_xlfn.XLOOKUP(A888,'Grocery and sales Data'!$A$1:$A$991,'Grocery and sales Data'!$I$1:$I$991)</f>
        <v>10</v>
      </c>
      <c r="E888">
        <f>_xlfn.XLOOKUP(A888,'Grocery and sales Data'!$A$1:$A$991,'Grocery and sales Data'!$R$1:$R$991)</f>
        <v>370</v>
      </c>
      <c r="F888" t="str">
        <f t="shared" si="13"/>
        <v>Medium</v>
      </c>
    </row>
    <row r="889" spans="1:6" ht="16" x14ac:dyDescent="0.4">
      <c r="A889" s="2" t="s">
        <v>3155</v>
      </c>
      <c r="B889" t="str">
        <f>_xlfn.XLOOKUP(A889,'Grocery and sales Data'!$A$1:$A$991,'Grocery and sales Data'!$B$1:$B$991)</f>
        <v>Wild Rice</v>
      </c>
      <c r="C889" t="str">
        <f>_xlfn.XLOOKUP(A889,'Grocery and sales Data'!$A$1:$A$991,'Grocery and sales Data'!$C$1:$C$991)</f>
        <v>Grains &amp; Pulses</v>
      </c>
      <c r="D889" s="9">
        <f>_xlfn.XLOOKUP(A889,'Grocery and sales Data'!$A$1:$A$991,'Grocery and sales Data'!$I$1:$I$991)</f>
        <v>9.75</v>
      </c>
      <c r="E889">
        <f>_xlfn.XLOOKUP(A889,'Grocery and sales Data'!$A$1:$A$991,'Grocery and sales Data'!$R$1:$R$991)</f>
        <v>497.25</v>
      </c>
      <c r="F889" t="str">
        <f t="shared" si="13"/>
        <v>Medium</v>
      </c>
    </row>
    <row r="890" spans="1:6" ht="16" x14ac:dyDescent="0.4">
      <c r="A890" s="2" t="s">
        <v>3158</v>
      </c>
      <c r="B890" t="str">
        <f>_xlfn.XLOOKUP(A890,'Grocery and sales Data'!$A$1:$A$991,'Grocery and sales Data'!$B$1:$B$991)</f>
        <v>Green Beans</v>
      </c>
      <c r="C890" t="str">
        <f>_xlfn.XLOOKUP(A890,'Grocery and sales Data'!$A$1:$A$991,'Grocery and sales Data'!$C$1:$C$991)</f>
        <v>Fruits &amp; Vegetables</v>
      </c>
      <c r="D890" s="9">
        <f>_xlfn.XLOOKUP(A890,'Grocery and sales Data'!$A$1:$A$991,'Grocery and sales Data'!$I$1:$I$991)</f>
        <v>2.1</v>
      </c>
      <c r="E890">
        <f>_xlfn.XLOOKUP(A890,'Grocery and sales Data'!$A$1:$A$991,'Grocery and sales Data'!$R$1:$R$991)</f>
        <v>115.5</v>
      </c>
      <c r="F890" t="str">
        <f t="shared" si="13"/>
        <v>Medium</v>
      </c>
    </row>
    <row r="891" spans="1:6" ht="16" x14ac:dyDescent="0.4">
      <c r="A891" s="2" t="s">
        <v>3161</v>
      </c>
      <c r="B891" t="str">
        <f>_xlfn.XLOOKUP(A891,'Grocery and sales Data'!$A$1:$A$991,'Grocery and sales Data'!$B$1:$B$991)</f>
        <v>Butter Biscuit</v>
      </c>
      <c r="C891" t="str">
        <f>_xlfn.XLOOKUP(A891,'Grocery and sales Data'!$A$1:$A$991,'Grocery and sales Data'!$C$1:$C$991)</f>
        <v>Bakery</v>
      </c>
      <c r="D891" s="9">
        <f>_xlfn.XLOOKUP(A891,'Grocery and sales Data'!$A$1:$A$991,'Grocery and sales Data'!$I$1:$I$991)</f>
        <v>6</v>
      </c>
      <c r="E891">
        <f>_xlfn.XLOOKUP(A891,'Grocery and sales Data'!$A$1:$A$991,'Grocery and sales Data'!$R$1:$R$991)</f>
        <v>432</v>
      </c>
      <c r="F891" t="str">
        <f t="shared" si="13"/>
        <v>Medium</v>
      </c>
    </row>
    <row r="892" spans="1:6" ht="16" x14ac:dyDescent="0.4">
      <c r="A892" s="2" t="s">
        <v>3165</v>
      </c>
      <c r="B892" t="str">
        <f>_xlfn.XLOOKUP(A892,'Grocery and sales Data'!$A$1:$A$991,'Grocery and sales Data'!$B$1:$B$991)</f>
        <v>Gouda Cheese</v>
      </c>
      <c r="C892" t="str">
        <f>_xlfn.XLOOKUP(A892,'Grocery and sales Data'!$A$1:$A$991,'Grocery and sales Data'!$C$1:$C$991)</f>
        <v>Dairy</v>
      </c>
      <c r="D892" s="9">
        <f>_xlfn.XLOOKUP(A892,'Grocery and sales Data'!$A$1:$A$991,'Grocery and sales Data'!$I$1:$I$991)</f>
        <v>7</v>
      </c>
      <c r="E892">
        <f>_xlfn.XLOOKUP(A892,'Grocery and sales Data'!$A$1:$A$991,'Grocery and sales Data'!$R$1:$R$991)</f>
        <v>539</v>
      </c>
      <c r="F892" t="str">
        <f t="shared" si="13"/>
        <v>Medium</v>
      </c>
    </row>
    <row r="893" spans="1:6" ht="16" x14ac:dyDescent="0.4">
      <c r="A893" s="2" t="s">
        <v>3168</v>
      </c>
      <c r="B893" t="str">
        <f>_xlfn.XLOOKUP(A893,'Grocery and sales Data'!$A$1:$A$991,'Grocery and sales Data'!$B$1:$B$991)</f>
        <v>Anchovies</v>
      </c>
      <c r="C893" t="str">
        <f>_xlfn.XLOOKUP(A893,'Grocery and sales Data'!$A$1:$A$991,'Grocery and sales Data'!$C$1:$C$991)</f>
        <v>Seafood</v>
      </c>
      <c r="D893" s="9">
        <f>_xlfn.XLOOKUP(A893,'Grocery and sales Data'!$A$1:$A$991,'Grocery and sales Data'!$I$1:$I$991)</f>
        <v>10</v>
      </c>
      <c r="E893">
        <f>_xlfn.XLOOKUP(A893,'Grocery and sales Data'!$A$1:$A$991,'Grocery and sales Data'!$R$1:$R$991)</f>
        <v>490</v>
      </c>
      <c r="F893" t="str">
        <f t="shared" si="13"/>
        <v>Medium</v>
      </c>
    </row>
    <row r="894" spans="1:6" ht="16" x14ac:dyDescent="0.4">
      <c r="A894" s="2" t="s">
        <v>3171</v>
      </c>
      <c r="B894" t="str">
        <f>_xlfn.XLOOKUP(A894,'Grocery and sales Data'!$A$1:$A$991,'Grocery and sales Data'!$B$1:$B$991)</f>
        <v>Coconut Oil</v>
      </c>
      <c r="C894" t="str">
        <f>_xlfn.XLOOKUP(A894,'Grocery and sales Data'!$A$1:$A$991,'Grocery and sales Data'!$C$1:$C$991)</f>
        <v>Oils &amp; Fats</v>
      </c>
      <c r="D894" s="9">
        <f>_xlfn.XLOOKUP(A894,'Grocery and sales Data'!$A$1:$A$991,'Grocery and sales Data'!$I$1:$I$991)</f>
        <v>5</v>
      </c>
      <c r="E894">
        <f>_xlfn.XLOOKUP(A894,'Grocery and sales Data'!$A$1:$A$991,'Grocery and sales Data'!$R$1:$R$991)</f>
        <v>455</v>
      </c>
      <c r="F894" t="str">
        <f t="shared" si="13"/>
        <v>Medium</v>
      </c>
    </row>
    <row r="895" spans="1:6" ht="16" x14ac:dyDescent="0.4">
      <c r="A895" s="2" t="s">
        <v>3174</v>
      </c>
      <c r="B895" t="str">
        <f>_xlfn.XLOOKUP(A895,'Grocery and sales Data'!$A$1:$A$991,'Grocery and sales Data'!$B$1:$B$991)</f>
        <v>Sesame Oil</v>
      </c>
      <c r="C895" t="str">
        <f>_xlfn.XLOOKUP(A895,'Grocery and sales Data'!$A$1:$A$991,'Grocery and sales Data'!$C$1:$C$991)</f>
        <v>Oils &amp; Fats</v>
      </c>
      <c r="D895" s="9">
        <f>_xlfn.XLOOKUP(A895,'Grocery and sales Data'!$A$1:$A$991,'Grocery and sales Data'!$I$1:$I$991)</f>
        <v>6.5</v>
      </c>
      <c r="E895">
        <f>_xlfn.XLOOKUP(A895,'Grocery and sales Data'!$A$1:$A$991,'Grocery and sales Data'!$R$1:$R$991)</f>
        <v>344.5</v>
      </c>
      <c r="F895" t="str">
        <f t="shared" si="13"/>
        <v>Medium</v>
      </c>
    </row>
    <row r="896" spans="1:6" ht="16" x14ac:dyDescent="0.4">
      <c r="A896" s="2" t="s">
        <v>3177</v>
      </c>
      <c r="B896" t="str">
        <f>_xlfn.XLOOKUP(A896,'Grocery and sales Data'!$A$1:$A$991,'Grocery and sales Data'!$B$1:$B$991)</f>
        <v>Mango</v>
      </c>
      <c r="C896" t="str">
        <f>_xlfn.XLOOKUP(A896,'Grocery and sales Data'!$A$1:$A$991,'Grocery and sales Data'!$C$1:$C$991)</f>
        <v>Fruits &amp; Vegetables</v>
      </c>
      <c r="D896" s="9">
        <f>_xlfn.XLOOKUP(A896,'Grocery and sales Data'!$A$1:$A$991,'Grocery and sales Data'!$I$1:$I$991)</f>
        <v>5</v>
      </c>
      <c r="E896">
        <f>_xlfn.XLOOKUP(A896,'Grocery and sales Data'!$A$1:$A$991,'Grocery and sales Data'!$R$1:$R$991)</f>
        <v>205</v>
      </c>
      <c r="F896" t="str">
        <f t="shared" si="13"/>
        <v>Medium</v>
      </c>
    </row>
    <row r="897" spans="1:6" ht="16" x14ac:dyDescent="0.4">
      <c r="A897" s="2" t="s">
        <v>3180</v>
      </c>
      <c r="B897" t="str">
        <f>_xlfn.XLOOKUP(A897,'Grocery and sales Data'!$A$1:$A$991,'Grocery and sales Data'!$B$1:$B$991)</f>
        <v>Haddock</v>
      </c>
      <c r="C897" t="str">
        <f>_xlfn.XLOOKUP(A897,'Grocery and sales Data'!$A$1:$A$991,'Grocery and sales Data'!$C$1:$C$991)</f>
        <v>Seafood</v>
      </c>
      <c r="D897" s="9">
        <f>_xlfn.XLOOKUP(A897,'Grocery and sales Data'!$A$1:$A$991,'Grocery and sales Data'!$I$1:$I$991)</f>
        <v>9</v>
      </c>
      <c r="E897">
        <f>_xlfn.XLOOKUP(A897,'Grocery and sales Data'!$A$1:$A$991,'Grocery and sales Data'!$R$1:$R$991)</f>
        <v>261</v>
      </c>
      <c r="F897" t="str">
        <f t="shared" si="13"/>
        <v>Medium</v>
      </c>
    </row>
    <row r="898" spans="1:6" ht="16" x14ac:dyDescent="0.4">
      <c r="A898" s="2" t="s">
        <v>3183</v>
      </c>
      <c r="B898" t="str">
        <f>_xlfn.XLOOKUP(A898,'Grocery and sales Data'!$A$1:$A$991,'Grocery and sales Data'!$B$1:$B$991)</f>
        <v>Broccoli</v>
      </c>
      <c r="C898" t="str">
        <f>_xlfn.XLOOKUP(A898,'Grocery and sales Data'!$A$1:$A$991,'Grocery and sales Data'!$C$1:$C$991)</f>
        <v>Fruits &amp; Vegetables</v>
      </c>
      <c r="D898" s="9">
        <f>_xlfn.XLOOKUP(A898,'Grocery and sales Data'!$A$1:$A$991,'Grocery and sales Data'!$I$1:$I$991)</f>
        <v>4</v>
      </c>
      <c r="E898">
        <f>_xlfn.XLOOKUP(A898,'Grocery and sales Data'!$A$1:$A$991,'Grocery and sales Data'!$R$1:$R$991)</f>
        <v>372</v>
      </c>
      <c r="F898" t="str">
        <f t="shared" si="13"/>
        <v>Medium</v>
      </c>
    </row>
    <row r="899" spans="1:6" ht="16" x14ac:dyDescent="0.4">
      <c r="A899" s="2" t="s">
        <v>3186</v>
      </c>
      <c r="B899" t="str">
        <f>_xlfn.XLOOKUP(A899,'Grocery and sales Data'!$A$1:$A$991,'Grocery and sales Data'!$B$1:$B$991)</f>
        <v>Cod</v>
      </c>
      <c r="C899" t="str">
        <f>_xlfn.XLOOKUP(A899,'Grocery and sales Data'!$A$1:$A$991,'Grocery and sales Data'!$C$1:$C$991)</f>
        <v>Seafood</v>
      </c>
      <c r="D899" s="9">
        <f>_xlfn.XLOOKUP(A899,'Grocery and sales Data'!$A$1:$A$991,'Grocery and sales Data'!$I$1:$I$991)</f>
        <v>8</v>
      </c>
      <c r="E899">
        <f>_xlfn.XLOOKUP(A899,'Grocery and sales Data'!$A$1:$A$991,'Grocery and sales Data'!$R$1:$R$991)</f>
        <v>776</v>
      </c>
      <c r="F899" t="str">
        <f t="shared" ref="F899:F962" si="14">IF(E899&gt;=1000,"High",IF(E899&gt;=100,"Medium","Low"))</f>
        <v>Medium</v>
      </c>
    </row>
    <row r="900" spans="1:6" ht="16" x14ac:dyDescent="0.4">
      <c r="A900" s="2" t="s">
        <v>3189</v>
      </c>
      <c r="B900" t="str">
        <f>_xlfn.XLOOKUP(A900,'Grocery and sales Data'!$A$1:$A$991,'Grocery and sales Data'!$B$1:$B$991)</f>
        <v>Parmesan Cheese</v>
      </c>
      <c r="C900" t="str">
        <f>_xlfn.XLOOKUP(A900,'Grocery and sales Data'!$A$1:$A$991,'Grocery and sales Data'!$C$1:$C$991)</f>
        <v>Dairy</v>
      </c>
      <c r="D900" s="9">
        <f>_xlfn.XLOOKUP(A900,'Grocery and sales Data'!$A$1:$A$991,'Grocery and sales Data'!$I$1:$I$991)</f>
        <v>12</v>
      </c>
      <c r="E900">
        <f>_xlfn.XLOOKUP(A900,'Grocery and sales Data'!$A$1:$A$991,'Grocery and sales Data'!$R$1:$R$991)</f>
        <v>372</v>
      </c>
      <c r="F900" t="str">
        <f t="shared" si="14"/>
        <v>Medium</v>
      </c>
    </row>
    <row r="901" spans="1:6" ht="16" x14ac:dyDescent="0.4">
      <c r="A901" s="2" t="s">
        <v>3193</v>
      </c>
      <c r="B901" t="str">
        <f>_xlfn.XLOOKUP(A901,'Grocery and sales Data'!$A$1:$A$991,'Grocery and sales Data'!$B$1:$B$991)</f>
        <v>Sesame Oil</v>
      </c>
      <c r="C901" t="str">
        <f>_xlfn.XLOOKUP(A901,'Grocery and sales Data'!$A$1:$A$991,'Grocery and sales Data'!$C$1:$C$991)</f>
        <v>Oils &amp; Fats</v>
      </c>
      <c r="D901" s="9">
        <f>_xlfn.XLOOKUP(A901,'Grocery and sales Data'!$A$1:$A$991,'Grocery and sales Data'!$I$1:$I$991)</f>
        <v>6.5</v>
      </c>
      <c r="E901">
        <f>_xlfn.XLOOKUP(A901,'Grocery and sales Data'!$A$1:$A$991,'Grocery and sales Data'!$R$1:$R$991)</f>
        <v>331.5</v>
      </c>
      <c r="F901" t="str">
        <f t="shared" si="14"/>
        <v>Medium</v>
      </c>
    </row>
    <row r="902" spans="1:6" ht="16" x14ac:dyDescent="0.4">
      <c r="A902" s="2" t="s">
        <v>3196</v>
      </c>
      <c r="B902" t="str">
        <f>_xlfn.XLOOKUP(A902,'Grocery and sales Data'!$A$1:$A$991,'Grocery and sales Data'!$B$1:$B$991)</f>
        <v>Halibut</v>
      </c>
      <c r="C902" t="str">
        <f>_xlfn.XLOOKUP(A902,'Grocery and sales Data'!$A$1:$A$991,'Grocery and sales Data'!$C$1:$C$991)</f>
        <v>Seafood</v>
      </c>
      <c r="D902" s="9">
        <f>_xlfn.XLOOKUP(A902,'Grocery and sales Data'!$A$1:$A$991,'Grocery and sales Data'!$I$1:$I$991)</f>
        <v>20</v>
      </c>
      <c r="E902">
        <f>_xlfn.XLOOKUP(A902,'Grocery and sales Data'!$A$1:$A$991,'Grocery and sales Data'!$R$1:$R$991)</f>
        <v>1840</v>
      </c>
      <c r="F902" t="str">
        <f t="shared" si="14"/>
        <v>High</v>
      </c>
    </row>
    <row r="903" spans="1:6" ht="16" x14ac:dyDescent="0.4">
      <c r="A903" s="2" t="s">
        <v>3199</v>
      </c>
      <c r="B903" t="str">
        <f>_xlfn.XLOOKUP(A903,'Grocery and sales Data'!$A$1:$A$991,'Grocery and sales Data'!$B$1:$B$991)</f>
        <v>Jasmine Rice</v>
      </c>
      <c r="C903" t="str">
        <f>_xlfn.XLOOKUP(A903,'Grocery and sales Data'!$A$1:$A$991,'Grocery and sales Data'!$C$1:$C$991)</f>
        <v>Grains &amp; Pulses</v>
      </c>
      <c r="D903" s="9">
        <f>_xlfn.XLOOKUP(A903,'Grocery and sales Data'!$A$1:$A$991,'Grocery and sales Data'!$I$1:$I$991)</f>
        <v>4.75</v>
      </c>
      <c r="E903">
        <f>_xlfn.XLOOKUP(A903,'Grocery and sales Data'!$A$1:$A$991,'Grocery and sales Data'!$R$1:$R$991)</f>
        <v>441.75</v>
      </c>
      <c r="F903" t="str">
        <f t="shared" si="14"/>
        <v>Medium</v>
      </c>
    </row>
    <row r="904" spans="1:6" ht="16" x14ac:dyDescent="0.4">
      <c r="A904" s="2" t="s">
        <v>3202</v>
      </c>
      <c r="B904" t="str">
        <f>_xlfn.XLOOKUP(A904,'Grocery and sales Data'!$A$1:$A$991,'Grocery and sales Data'!$B$1:$B$991)</f>
        <v>Jasmine Rice</v>
      </c>
      <c r="C904" t="str">
        <f>_xlfn.XLOOKUP(A904,'Grocery and sales Data'!$A$1:$A$991,'Grocery and sales Data'!$C$1:$C$991)</f>
        <v>Grains &amp; Pulses</v>
      </c>
      <c r="D904" s="9">
        <f>_xlfn.XLOOKUP(A904,'Grocery and sales Data'!$A$1:$A$991,'Grocery and sales Data'!$I$1:$I$991)</f>
        <v>4.75</v>
      </c>
      <c r="E904">
        <f>_xlfn.XLOOKUP(A904,'Grocery and sales Data'!$A$1:$A$991,'Grocery and sales Data'!$R$1:$R$991)</f>
        <v>242.25</v>
      </c>
      <c r="F904" t="str">
        <f t="shared" si="14"/>
        <v>Medium</v>
      </c>
    </row>
    <row r="905" spans="1:6" ht="16" x14ac:dyDescent="0.4">
      <c r="A905" s="2" t="s">
        <v>3205</v>
      </c>
      <c r="B905" t="str">
        <f>_xlfn.XLOOKUP(A905,'Grocery and sales Data'!$A$1:$A$991,'Grocery and sales Data'!$B$1:$B$991)</f>
        <v>Peach</v>
      </c>
      <c r="C905" t="str">
        <f>_xlfn.XLOOKUP(A905,'Grocery and sales Data'!$A$1:$A$991,'Grocery and sales Data'!$C$1:$C$991)</f>
        <v>Fruits &amp; Vegetables</v>
      </c>
      <c r="D905" s="9">
        <f>_xlfn.XLOOKUP(A905,'Grocery and sales Data'!$A$1:$A$991,'Grocery and sales Data'!$I$1:$I$991)</f>
        <v>4</v>
      </c>
      <c r="E905">
        <f>_xlfn.XLOOKUP(A905,'Grocery and sales Data'!$A$1:$A$991,'Grocery and sales Data'!$R$1:$R$991)</f>
        <v>336</v>
      </c>
      <c r="F905" t="str">
        <f t="shared" si="14"/>
        <v>Medium</v>
      </c>
    </row>
    <row r="906" spans="1:6" ht="16" x14ac:dyDescent="0.4">
      <c r="A906" s="2" t="s">
        <v>3208</v>
      </c>
      <c r="B906" t="str">
        <f>_xlfn.XLOOKUP(A906,'Grocery and sales Data'!$A$1:$A$991,'Grocery and sales Data'!$B$1:$B$991)</f>
        <v>White Rice</v>
      </c>
      <c r="C906" t="str">
        <f>_xlfn.XLOOKUP(A906,'Grocery and sales Data'!$A$1:$A$991,'Grocery and sales Data'!$C$1:$C$991)</f>
        <v>Grains &amp; Pulses</v>
      </c>
      <c r="D906" s="9">
        <f>_xlfn.XLOOKUP(A906,'Grocery and sales Data'!$A$1:$A$991,'Grocery and sales Data'!$I$1:$I$991)</f>
        <v>1.8</v>
      </c>
      <c r="E906">
        <f>_xlfn.XLOOKUP(A906,'Grocery and sales Data'!$A$1:$A$991,'Grocery and sales Data'!$R$1:$R$991)</f>
        <v>82.8</v>
      </c>
      <c r="F906" t="str">
        <f t="shared" si="14"/>
        <v>Low</v>
      </c>
    </row>
    <row r="907" spans="1:6" ht="16" x14ac:dyDescent="0.4">
      <c r="A907" s="2" t="s">
        <v>3211</v>
      </c>
      <c r="B907" t="str">
        <f>_xlfn.XLOOKUP(A907,'Grocery and sales Data'!$A$1:$A$991,'Grocery and sales Data'!$B$1:$B$991)</f>
        <v>Halibut</v>
      </c>
      <c r="C907" t="str">
        <f>_xlfn.XLOOKUP(A907,'Grocery and sales Data'!$A$1:$A$991,'Grocery and sales Data'!$C$1:$C$991)</f>
        <v>Seafood</v>
      </c>
      <c r="D907" s="9">
        <f>_xlfn.XLOOKUP(A907,'Grocery and sales Data'!$A$1:$A$991,'Grocery and sales Data'!$I$1:$I$991)</f>
        <v>20</v>
      </c>
      <c r="E907">
        <f>_xlfn.XLOOKUP(A907,'Grocery and sales Data'!$A$1:$A$991,'Grocery and sales Data'!$R$1:$R$991)</f>
        <v>1500</v>
      </c>
      <c r="F907" t="str">
        <f t="shared" si="14"/>
        <v>High</v>
      </c>
    </row>
    <row r="908" spans="1:6" ht="16" x14ac:dyDescent="0.4">
      <c r="A908" s="2" t="s">
        <v>3214</v>
      </c>
      <c r="B908" t="str">
        <f>_xlfn.XLOOKUP(A908,'Grocery and sales Data'!$A$1:$A$991,'Grocery and sales Data'!$B$1:$B$991)</f>
        <v>Apricot</v>
      </c>
      <c r="C908" t="str">
        <f>_xlfn.XLOOKUP(A908,'Grocery and sales Data'!$A$1:$A$991,'Grocery and sales Data'!$C$1:$C$991)</f>
        <v>Fruits &amp; Vegetables</v>
      </c>
      <c r="D908" s="9">
        <f>_xlfn.XLOOKUP(A908,'Grocery and sales Data'!$A$1:$A$991,'Grocery and sales Data'!$I$1:$I$991)</f>
        <v>5</v>
      </c>
      <c r="E908">
        <f>_xlfn.XLOOKUP(A908,'Grocery and sales Data'!$A$1:$A$991,'Grocery and sales Data'!$R$1:$R$991)</f>
        <v>170</v>
      </c>
      <c r="F908" t="str">
        <f t="shared" si="14"/>
        <v>Medium</v>
      </c>
    </row>
    <row r="909" spans="1:6" ht="16" x14ac:dyDescent="0.4">
      <c r="A909" s="2" t="s">
        <v>3217</v>
      </c>
      <c r="B909" t="str">
        <f>_xlfn.XLOOKUP(A909,'Grocery and sales Data'!$A$1:$A$991,'Grocery and sales Data'!$B$1:$B$991)</f>
        <v>Trout</v>
      </c>
      <c r="C909" t="str">
        <f>_xlfn.XLOOKUP(A909,'Grocery and sales Data'!$A$1:$A$991,'Grocery and sales Data'!$C$1:$C$991)</f>
        <v>Seafood</v>
      </c>
      <c r="D909" s="9">
        <f>_xlfn.XLOOKUP(A909,'Grocery and sales Data'!$A$1:$A$991,'Grocery and sales Data'!$I$1:$I$991)</f>
        <v>12</v>
      </c>
      <c r="E909">
        <f>_xlfn.XLOOKUP(A909,'Grocery and sales Data'!$A$1:$A$991,'Grocery and sales Data'!$R$1:$R$991)</f>
        <v>1152</v>
      </c>
      <c r="F909" t="str">
        <f t="shared" si="14"/>
        <v>High</v>
      </c>
    </row>
    <row r="910" spans="1:6" ht="16" x14ac:dyDescent="0.4">
      <c r="A910" s="2" t="s">
        <v>3220</v>
      </c>
      <c r="B910" t="str">
        <f>_xlfn.XLOOKUP(A910,'Grocery and sales Data'!$A$1:$A$991,'Grocery and sales Data'!$B$1:$B$991)</f>
        <v>Cucumber</v>
      </c>
      <c r="C910" t="str">
        <f>_xlfn.XLOOKUP(A910,'Grocery and sales Data'!$A$1:$A$991,'Grocery and sales Data'!$C$1:$C$991)</f>
        <v>Fruits &amp; Vegetables</v>
      </c>
      <c r="D910" s="9">
        <f>_xlfn.XLOOKUP(A910,'Grocery and sales Data'!$A$1:$A$991,'Grocery and sales Data'!$I$1:$I$991)</f>
        <v>1.8</v>
      </c>
      <c r="E910">
        <f>_xlfn.XLOOKUP(A910,'Grocery and sales Data'!$A$1:$A$991,'Grocery and sales Data'!$R$1:$R$991)</f>
        <v>160.20000000000002</v>
      </c>
      <c r="F910" t="str">
        <f t="shared" si="14"/>
        <v>Medium</v>
      </c>
    </row>
    <row r="911" spans="1:6" ht="16" x14ac:dyDescent="0.4">
      <c r="A911" s="2" t="s">
        <v>3223</v>
      </c>
      <c r="B911" t="str">
        <f>_xlfn.XLOOKUP(A911,'Grocery and sales Data'!$A$1:$A$991,'Grocery and sales Data'!$B$1:$B$991)</f>
        <v>Green Beans</v>
      </c>
      <c r="C911" t="str">
        <f>_xlfn.XLOOKUP(A911,'Grocery and sales Data'!$A$1:$A$991,'Grocery and sales Data'!$C$1:$C$991)</f>
        <v>Fruits &amp; Vegetables</v>
      </c>
      <c r="D911" s="9">
        <f>_xlfn.XLOOKUP(A911,'Grocery and sales Data'!$A$1:$A$991,'Grocery and sales Data'!$I$1:$I$991)</f>
        <v>2.1</v>
      </c>
      <c r="E911">
        <f>_xlfn.XLOOKUP(A911,'Grocery and sales Data'!$A$1:$A$991,'Grocery and sales Data'!$R$1:$R$991)</f>
        <v>96.600000000000009</v>
      </c>
      <c r="F911" t="str">
        <f t="shared" si="14"/>
        <v>Low</v>
      </c>
    </row>
    <row r="912" spans="1:6" ht="16" x14ac:dyDescent="0.4">
      <c r="A912" s="2" t="s">
        <v>3227</v>
      </c>
      <c r="B912" t="str">
        <f>_xlfn.XLOOKUP(A912,'Grocery and sales Data'!$A$1:$A$991,'Grocery and sales Data'!$B$1:$B$991)</f>
        <v>Powdered Sugar</v>
      </c>
      <c r="C912" t="str">
        <f>_xlfn.XLOOKUP(A912,'Grocery and sales Data'!$A$1:$A$991,'Grocery and sales Data'!$C$1:$C$991)</f>
        <v>Grains &amp; Pulses</v>
      </c>
      <c r="D912" s="9">
        <f>_xlfn.XLOOKUP(A912,'Grocery and sales Data'!$A$1:$A$991,'Grocery and sales Data'!$I$1:$I$991)</f>
        <v>2.4</v>
      </c>
      <c r="E912">
        <f>_xlfn.XLOOKUP(A912,'Grocery and sales Data'!$A$1:$A$991,'Grocery and sales Data'!$R$1:$R$991)</f>
        <v>72</v>
      </c>
      <c r="F912" t="str">
        <f t="shared" si="14"/>
        <v>Low</v>
      </c>
    </row>
    <row r="913" spans="1:6" ht="16" x14ac:dyDescent="0.4">
      <c r="A913" s="2" t="s">
        <v>3230</v>
      </c>
      <c r="B913" t="str">
        <f>_xlfn.XLOOKUP(A913,'Grocery and sales Data'!$A$1:$A$991,'Grocery and sales Data'!$B$1:$B$991)</f>
        <v>Pomegranate</v>
      </c>
      <c r="C913" t="str">
        <f>_xlfn.XLOOKUP(A913,'Grocery and sales Data'!$A$1:$A$991,'Grocery and sales Data'!$C$1:$C$991)</f>
        <v>Fruits &amp; Vegetables</v>
      </c>
      <c r="D913" s="9">
        <f>_xlfn.XLOOKUP(A913,'Grocery and sales Data'!$A$1:$A$991,'Grocery and sales Data'!$I$1:$I$991)</f>
        <v>6</v>
      </c>
      <c r="E913">
        <f>_xlfn.XLOOKUP(A913,'Grocery and sales Data'!$A$1:$A$991,'Grocery and sales Data'!$R$1:$R$991)</f>
        <v>510</v>
      </c>
      <c r="F913" t="str">
        <f t="shared" si="14"/>
        <v>Medium</v>
      </c>
    </row>
    <row r="914" spans="1:6" ht="16" x14ac:dyDescent="0.4">
      <c r="A914" s="2" t="s">
        <v>3233</v>
      </c>
      <c r="B914" t="str">
        <f>_xlfn.XLOOKUP(A914,'Grocery and sales Data'!$A$1:$A$991,'Grocery and sales Data'!$B$1:$B$991)</f>
        <v>Bread Flour</v>
      </c>
      <c r="C914" t="str">
        <f>_xlfn.XLOOKUP(A914,'Grocery and sales Data'!$A$1:$A$991,'Grocery and sales Data'!$C$1:$C$991)</f>
        <v>Grains &amp; Pulses</v>
      </c>
      <c r="D914" s="9">
        <f>_xlfn.XLOOKUP(A914,'Grocery and sales Data'!$A$1:$A$991,'Grocery and sales Data'!$I$1:$I$991)</f>
        <v>1.5</v>
      </c>
      <c r="E914">
        <f>_xlfn.XLOOKUP(A914,'Grocery and sales Data'!$A$1:$A$991,'Grocery and sales Data'!$R$1:$R$991)</f>
        <v>49.5</v>
      </c>
      <c r="F914" t="str">
        <f t="shared" si="14"/>
        <v>Low</v>
      </c>
    </row>
    <row r="915" spans="1:6" ht="16" x14ac:dyDescent="0.4">
      <c r="A915" s="2" t="s">
        <v>3236</v>
      </c>
      <c r="B915" t="str">
        <f>_xlfn.XLOOKUP(A915,'Grocery and sales Data'!$A$1:$A$991,'Grocery and sales Data'!$B$1:$B$991)</f>
        <v>Black Rice</v>
      </c>
      <c r="C915" t="str">
        <f>_xlfn.XLOOKUP(A915,'Grocery and sales Data'!$A$1:$A$991,'Grocery and sales Data'!$C$1:$C$991)</f>
        <v>Grains &amp; Pulses</v>
      </c>
      <c r="D915" s="9">
        <f>_xlfn.XLOOKUP(A915,'Grocery and sales Data'!$A$1:$A$991,'Grocery and sales Data'!$I$1:$I$991)</f>
        <v>6</v>
      </c>
      <c r="E915">
        <f>_xlfn.XLOOKUP(A915,'Grocery and sales Data'!$A$1:$A$991,'Grocery and sales Data'!$R$1:$R$991)</f>
        <v>510</v>
      </c>
      <c r="F915" t="str">
        <f t="shared" si="14"/>
        <v>Medium</v>
      </c>
    </row>
    <row r="916" spans="1:6" ht="16" x14ac:dyDescent="0.4">
      <c r="A916" s="2" t="s">
        <v>3239</v>
      </c>
      <c r="B916" t="str">
        <f>_xlfn.XLOOKUP(A916,'Grocery and sales Data'!$A$1:$A$991,'Grocery and sales Data'!$B$1:$B$991)</f>
        <v>Whole Wheat Flour</v>
      </c>
      <c r="C916" t="str">
        <f>_xlfn.XLOOKUP(A916,'Grocery and sales Data'!$A$1:$A$991,'Grocery and sales Data'!$C$1:$C$991)</f>
        <v>Grains &amp; Pulses</v>
      </c>
      <c r="D916" s="9">
        <f>_xlfn.XLOOKUP(A916,'Grocery and sales Data'!$A$1:$A$991,'Grocery and sales Data'!$I$1:$I$991)</f>
        <v>2.75</v>
      </c>
      <c r="E916">
        <f>_xlfn.XLOOKUP(A916,'Grocery and sales Data'!$A$1:$A$991,'Grocery and sales Data'!$R$1:$R$991)</f>
        <v>143</v>
      </c>
      <c r="F916" t="str">
        <f t="shared" si="14"/>
        <v>Medium</v>
      </c>
    </row>
    <row r="917" spans="1:6" ht="16" x14ac:dyDescent="0.4">
      <c r="A917" s="2" t="s">
        <v>3242</v>
      </c>
      <c r="B917" t="str">
        <f>_xlfn.XLOOKUP(A917,'Grocery and sales Data'!$A$1:$A$991,'Grocery and sales Data'!$B$1:$B$991)</f>
        <v>Black Tea</v>
      </c>
      <c r="C917" t="str">
        <f>_xlfn.XLOOKUP(A917,'Grocery and sales Data'!$A$1:$A$991,'Grocery and sales Data'!$C$1:$C$991)</f>
        <v>Beverages</v>
      </c>
      <c r="D917" s="9">
        <f>_xlfn.XLOOKUP(A917,'Grocery and sales Data'!$A$1:$A$991,'Grocery and sales Data'!$I$1:$I$991)</f>
        <v>4.7</v>
      </c>
      <c r="E917">
        <f>_xlfn.XLOOKUP(A917,'Grocery and sales Data'!$A$1:$A$991,'Grocery and sales Data'!$R$1:$R$991)</f>
        <v>183.3</v>
      </c>
      <c r="F917" t="str">
        <f t="shared" si="14"/>
        <v>Medium</v>
      </c>
    </row>
    <row r="918" spans="1:6" ht="16" x14ac:dyDescent="0.4">
      <c r="A918" s="2" t="s">
        <v>3245</v>
      </c>
      <c r="B918" t="str">
        <f>_xlfn.XLOOKUP(A918,'Grocery and sales Data'!$A$1:$A$991,'Grocery and sales Data'!$B$1:$B$991)</f>
        <v>Green Beans</v>
      </c>
      <c r="C918" t="str">
        <f>_xlfn.XLOOKUP(A918,'Grocery and sales Data'!$A$1:$A$991,'Grocery and sales Data'!$C$1:$C$991)</f>
        <v>Fruits &amp; Vegetables</v>
      </c>
      <c r="D918" s="9">
        <f>_xlfn.XLOOKUP(A918,'Grocery and sales Data'!$A$1:$A$991,'Grocery and sales Data'!$I$1:$I$991)</f>
        <v>2</v>
      </c>
      <c r="E918">
        <f>_xlfn.XLOOKUP(A918,'Grocery and sales Data'!$A$1:$A$991,'Grocery and sales Data'!$R$1:$R$991)</f>
        <v>72</v>
      </c>
      <c r="F918" t="str">
        <f t="shared" si="14"/>
        <v>Low</v>
      </c>
    </row>
    <row r="919" spans="1:6" ht="16" x14ac:dyDescent="0.4">
      <c r="A919" s="2" t="s">
        <v>3248</v>
      </c>
      <c r="B919" t="str">
        <f>_xlfn.XLOOKUP(A919,'Grocery and sales Data'!$A$1:$A$991,'Grocery and sales Data'!$B$1:$B$991)</f>
        <v>Parmesan Cheese</v>
      </c>
      <c r="C919" t="str">
        <f>_xlfn.XLOOKUP(A919,'Grocery and sales Data'!$A$1:$A$991,'Grocery and sales Data'!$C$1:$C$991)</f>
        <v>Dairy</v>
      </c>
      <c r="D919" s="9">
        <f>_xlfn.XLOOKUP(A919,'Grocery and sales Data'!$A$1:$A$991,'Grocery and sales Data'!$I$1:$I$991)</f>
        <v>12</v>
      </c>
      <c r="E919">
        <f>_xlfn.XLOOKUP(A919,'Grocery and sales Data'!$A$1:$A$991,'Grocery and sales Data'!$R$1:$R$991)</f>
        <v>1200</v>
      </c>
      <c r="F919" t="str">
        <f t="shared" si="14"/>
        <v>High</v>
      </c>
    </row>
    <row r="920" spans="1:6" ht="16" x14ac:dyDescent="0.4">
      <c r="A920" s="2" t="s">
        <v>3251</v>
      </c>
      <c r="B920" t="str">
        <f>_xlfn.XLOOKUP(A920,'Grocery and sales Data'!$A$1:$A$991,'Grocery and sales Data'!$B$1:$B$991)</f>
        <v>Zucchini</v>
      </c>
      <c r="C920" t="str">
        <f>_xlfn.XLOOKUP(A920,'Grocery and sales Data'!$A$1:$A$991,'Grocery and sales Data'!$C$1:$C$991)</f>
        <v>Fruits &amp; Vegetables</v>
      </c>
      <c r="D920" s="9">
        <f>_xlfn.XLOOKUP(A920,'Grocery and sales Data'!$A$1:$A$991,'Grocery and sales Data'!$I$1:$I$991)</f>
        <v>2.5</v>
      </c>
      <c r="E920">
        <f>_xlfn.XLOOKUP(A920,'Grocery and sales Data'!$A$1:$A$991,'Grocery and sales Data'!$R$1:$R$991)</f>
        <v>87.5</v>
      </c>
      <c r="F920" t="str">
        <f t="shared" si="14"/>
        <v>Low</v>
      </c>
    </row>
    <row r="921" spans="1:6" ht="16" x14ac:dyDescent="0.4">
      <c r="A921" s="2" t="s">
        <v>3254</v>
      </c>
      <c r="B921" t="str">
        <f>_xlfn.XLOOKUP(A921,'Grocery and sales Data'!$A$1:$A$991,'Grocery and sales Data'!$B$1:$B$991)</f>
        <v>Vanilla Biscuit</v>
      </c>
      <c r="C921" t="str">
        <f>_xlfn.XLOOKUP(A921,'Grocery and sales Data'!$A$1:$A$991,'Grocery and sales Data'!$C$1:$C$991)</f>
        <v>Bakery</v>
      </c>
      <c r="D921" s="9">
        <f>_xlfn.XLOOKUP(A921,'Grocery and sales Data'!$A$1:$A$991,'Grocery and sales Data'!$I$1:$I$991)</f>
        <v>5.5</v>
      </c>
      <c r="E921">
        <f>_xlfn.XLOOKUP(A921,'Grocery and sales Data'!$A$1:$A$991,'Grocery and sales Data'!$R$1:$R$991)</f>
        <v>456.5</v>
      </c>
      <c r="F921" t="str">
        <f t="shared" si="14"/>
        <v>Medium</v>
      </c>
    </row>
    <row r="922" spans="1:6" ht="16" x14ac:dyDescent="0.4">
      <c r="A922" s="2" t="s">
        <v>3257</v>
      </c>
      <c r="B922" t="str">
        <f>_xlfn.XLOOKUP(A922,'Grocery and sales Data'!$A$1:$A$991,'Grocery and sales Data'!$B$1:$B$991)</f>
        <v>Sweet Potato</v>
      </c>
      <c r="C922" t="str">
        <f>_xlfn.XLOOKUP(A922,'Grocery and sales Data'!$A$1:$A$991,'Grocery and sales Data'!$C$1:$C$991)</f>
        <v>Fruits &amp; Vegetables</v>
      </c>
      <c r="D922" s="9">
        <f>_xlfn.XLOOKUP(A922,'Grocery and sales Data'!$A$1:$A$991,'Grocery and sales Data'!$I$1:$I$991)</f>
        <v>2</v>
      </c>
      <c r="E922">
        <f>_xlfn.XLOOKUP(A922,'Grocery and sales Data'!$A$1:$A$991,'Grocery and sales Data'!$R$1:$R$991)</f>
        <v>196</v>
      </c>
      <c r="F922" t="str">
        <f t="shared" si="14"/>
        <v>Medium</v>
      </c>
    </row>
    <row r="923" spans="1:6" ht="16" x14ac:dyDescent="0.4">
      <c r="A923" s="2" t="s">
        <v>3260</v>
      </c>
      <c r="B923" t="str">
        <f>_xlfn.XLOOKUP(A923,'Grocery and sales Data'!$A$1:$A$991,'Grocery and sales Data'!$B$1:$B$991)</f>
        <v>Vegetable Oil</v>
      </c>
      <c r="C923" t="str">
        <f>_xlfn.XLOOKUP(A923,'Grocery and sales Data'!$A$1:$A$991,'Grocery and sales Data'!$C$1:$C$991)</f>
        <v>Oils &amp; Fats</v>
      </c>
      <c r="D923" s="9">
        <f>_xlfn.XLOOKUP(A923,'Grocery and sales Data'!$A$1:$A$991,'Grocery and sales Data'!$I$1:$I$991)</f>
        <v>2</v>
      </c>
      <c r="E923">
        <f>_xlfn.XLOOKUP(A923,'Grocery and sales Data'!$A$1:$A$991,'Grocery and sales Data'!$R$1:$R$991)</f>
        <v>110</v>
      </c>
      <c r="F923" t="str">
        <f t="shared" si="14"/>
        <v>Medium</v>
      </c>
    </row>
    <row r="924" spans="1:6" ht="16" x14ac:dyDescent="0.4">
      <c r="A924" s="2" t="s">
        <v>3263</v>
      </c>
      <c r="B924" t="str">
        <f>_xlfn.XLOOKUP(A924,'Grocery and sales Data'!$A$1:$A$991,'Grocery and sales Data'!$B$1:$B$991)</f>
        <v>Chocolate Biscuit</v>
      </c>
      <c r="C924" t="str">
        <f>_xlfn.XLOOKUP(A924,'Grocery and sales Data'!$A$1:$A$991,'Grocery and sales Data'!$C$1:$C$991)</f>
        <v>Bakery</v>
      </c>
      <c r="D924" s="9">
        <f>_xlfn.XLOOKUP(A924,'Grocery and sales Data'!$A$1:$A$991,'Grocery and sales Data'!$I$1:$I$991)</f>
        <v>5</v>
      </c>
      <c r="E924">
        <f>_xlfn.XLOOKUP(A924,'Grocery and sales Data'!$A$1:$A$991,'Grocery and sales Data'!$R$1:$R$991)</f>
        <v>410</v>
      </c>
      <c r="F924" t="str">
        <f t="shared" si="14"/>
        <v>Medium</v>
      </c>
    </row>
    <row r="925" spans="1:6" ht="16" x14ac:dyDescent="0.4">
      <c r="A925" s="2" t="s">
        <v>3267</v>
      </c>
      <c r="B925" t="str">
        <f>_xlfn.XLOOKUP(A925,'Grocery and sales Data'!$A$1:$A$991,'Grocery and sales Data'!$B$1:$B$991)</f>
        <v>Haddock</v>
      </c>
      <c r="C925" t="str">
        <f>_xlfn.XLOOKUP(A925,'Grocery and sales Data'!$A$1:$A$991,'Grocery and sales Data'!$C$1:$C$991)</f>
        <v>Seafood</v>
      </c>
      <c r="D925" s="9">
        <f>_xlfn.XLOOKUP(A925,'Grocery and sales Data'!$A$1:$A$991,'Grocery and sales Data'!$I$1:$I$991)</f>
        <v>9</v>
      </c>
      <c r="E925">
        <f>_xlfn.XLOOKUP(A925,'Grocery and sales Data'!$A$1:$A$991,'Grocery and sales Data'!$R$1:$R$991)</f>
        <v>306</v>
      </c>
      <c r="F925" t="str">
        <f t="shared" si="14"/>
        <v>Medium</v>
      </c>
    </row>
    <row r="926" spans="1:6" ht="16" x14ac:dyDescent="0.4">
      <c r="A926" s="2" t="s">
        <v>3270</v>
      </c>
      <c r="B926" t="str">
        <f>_xlfn.XLOOKUP(A926,'Grocery and sales Data'!$A$1:$A$991,'Grocery and sales Data'!$B$1:$B$991)</f>
        <v>Egg (Duck)</v>
      </c>
      <c r="C926" t="str">
        <f>_xlfn.XLOOKUP(A926,'Grocery and sales Data'!$A$1:$A$991,'Grocery and sales Data'!$C$1:$C$991)</f>
        <v>Dairy</v>
      </c>
      <c r="D926" s="9">
        <f>_xlfn.XLOOKUP(A926,'Grocery and sales Data'!$A$1:$A$991,'Grocery and sales Data'!$I$1:$I$991)</f>
        <v>1</v>
      </c>
      <c r="E926">
        <f>_xlfn.XLOOKUP(A926,'Grocery and sales Data'!$A$1:$A$991,'Grocery and sales Data'!$R$1:$R$991)</f>
        <v>95</v>
      </c>
      <c r="F926" t="str">
        <f t="shared" si="14"/>
        <v>Low</v>
      </c>
    </row>
    <row r="927" spans="1:6" ht="16" x14ac:dyDescent="0.4">
      <c r="A927" s="2" t="s">
        <v>3273</v>
      </c>
      <c r="B927" t="str">
        <f>_xlfn.XLOOKUP(A927,'Grocery and sales Data'!$A$1:$A$991,'Grocery and sales Data'!$B$1:$B$991)</f>
        <v>Mango</v>
      </c>
      <c r="C927" t="str">
        <f>_xlfn.XLOOKUP(A927,'Grocery and sales Data'!$A$1:$A$991,'Grocery and sales Data'!$C$1:$C$991)</f>
        <v>Fruits &amp; Vegetables</v>
      </c>
      <c r="D927" s="9">
        <f>_xlfn.XLOOKUP(A927,'Grocery and sales Data'!$A$1:$A$991,'Grocery and sales Data'!$I$1:$I$991)</f>
        <v>5</v>
      </c>
      <c r="E927">
        <f>_xlfn.XLOOKUP(A927,'Grocery and sales Data'!$A$1:$A$991,'Grocery and sales Data'!$R$1:$R$991)</f>
        <v>250</v>
      </c>
      <c r="F927" t="str">
        <f t="shared" si="14"/>
        <v>Medium</v>
      </c>
    </row>
    <row r="928" spans="1:6" ht="16" x14ac:dyDescent="0.4">
      <c r="A928" s="2" t="s">
        <v>3276</v>
      </c>
      <c r="B928" t="str">
        <f>_xlfn.XLOOKUP(A928,'Grocery and sales Data'!$A$1:$A$991,'Grocery and sales Data'!$B$1:$B$991)</f>
        <v>Kale</v>
      </c>
      <c r="C928" t="str">
        <f>_xlfn.XLOOKUP(A928,'Grocery and sales Data'!$A$1:$A$991,'Grocery and sales Data'!$C$1:$C$991)</f>
        <v>Fruits &amp; Vegetables</v>
      </c>
      <c r="D928" s="9">
        <f>_xlfn.XLOOKUP(A928,'Grocery and sales Data'!$A$1:$A$991,'Grocery and sales Data'!$I$1:$I$991)</f>
        <v>4</v>
      </c>
      <c r="E928">
        <f>_xlfn.XLOOKUP(A928,'Grocery and sales Data'!$A$1:$A$991,'Grocery and sales Data'!$R$1:$R$991)</f>
        <v>84</v>
      </c>
      <c r="F928" t="str">
        <f t="shared" si="14"/>
        <v>Low</v>
      </c>
    </row>
    <row r="929" spans="1:6" ht="16" x14ac:dyDescent="0.4">
      <c r="A929" s="2" t="s">
        <v>3279</v>
      </c>
      <c r="B929" t="str">
        <f>_xlfn.XLOOKUP(A929,'Grocery and sales Data'!$A$1:$A$991,'Grocery and sales Data'!$B$1:$B$991)</f>
        <v>Pomegranate</v>
      </c>
      <c r="C929" t="str">
        <f>_xlfn.XLOOKUP(A929,'Grocery and sales Data'!$A$1:$A$991,'Grocery and sales Data'!$C$1:$C$991)</f>
        <v>Fruits &amp; Vegetables</v>
      </c>
      <c r="D929" s="9">
        <f>_xlfn.XLOOKUP(A929,'Grocery and sales Data'!$A$1:$A$991,'Grocery and sales Data'!$I$1:$I$991)</f>
        <v>6</v>
      </c>
      <c r="E929">
        <f>_xlfn.XLOOKUP(A929,'Grocery and sales Data'!$A$1:$A$991,'Grocery and sales Data'!$R$1:$R$991)</f>
        <v>432</v>
      </c>
      <c r="F929" t="str">
        <f t="shared" si="14"/>
        <v>Medium</v>
      </c>
    </row>
    <row r="930" spans="1:6" ht="16" x14ac:dyDescent="0.4">
      <c r="A930" s="2" t="s">
        <v>3282</v>
      </c>
      <c r="B930" t="str">
        <f>_xlfn.XLOOKUP(A930,'Grocery and sales Data'!$A$1:$A$991,'Grocery and sales Data'!$B$1:$B$991)</f>
        <v>Cauliflower</v>
      </c>
      <c r="C930" t="str">
        <f>_xlfn.XLOOKUP(A930,'Grocery and sales Data'!$A$1:$A$991,'Grocery and sales Data'!$C$1:$C$991)</f>
        <v>Fruits &amp; Vegetables</v>
      </c>
      <c r="D930" s="9">
        <f>_xlfn.XLOOKUP(A930,'Grocery and sales Data'!$A$1:$A$991,'Grocery and sales Data'!$I$1:$I$991)</f>
        <v>2.5</v>
      </c>
      <c r="E930">
        <f>_xlfn.XLOOKUP(A930,'Grocery and sales Data'!$A$1:$A$991,'Grocery and sales Data'!$R$1:$R$991)</f>
        <v>122.5</v>
      </c>
      <c r="F930" t="str">
        <f t="shared" si="14"/>
        <v>Medium</v>
      </c>
    </row>
    <row r="931" spans="1:6" ht="16" x14ac:dyDescent="0.4">
      <c r="A931" s="2" t="s">
        <v>3285</v>
      </c>
      <c r="B931" t="str">
        <f>_xlfn.XLOOKUP(A931,'Grocery and sales Data'!$A$1:$A$991,'Grocery and sales Data'!$B$1:$B$991)</f>
        <v>Powdered Sugar</v>
      </c>
      <c r="C931" t="str">
        <f>_xlfn.XLOOKUP(A931,'Grocery and sales Data'!$A$1:$A$991,'Grocery and sales Data'!$C$1:$C$991)</f>
        <v>Grains &amp; Pulses</v>
      </c>
      <c r="D931" s="9">
        <f>_xlfn.XLOOKUP(A931,'Grocery and sales Data'!$A$1:$A$991,'Grocery and sales Data'!$I$1:$I$991)</f>
        <v>2.5</v>
      </c>
      <c r="E931">
        <f>_xlfn.XLOOKUP(A931,'Grocery and sales Data'!$A$1:$A$991,'Grocery and sales Data'!$R$1:$R$991)</f>
        <v>55</v>
      </c>
      <c r="F931" t="str">
        <f t="shared" si="14"/>
        <v>Low</v>
      </c>
    </row>
    <row r="932" spans="1:6" ht="16" x14ac:dyDescent="0.4">
      <c r="A932" s="2" t="s">
        <v>3288</v>
      </c>
      <c r="B932" t="str">
        <f>_xlfn.XLOOKUP(A932,'Grocery and sales Data'!$A$1:$A$991,'Grocery and sales Data'!$B$1:$B$991)</f>
        <v>Mozzarella Cheese</v>
      </c>
      <c r="C932" t="str">
        <f>_xlfn.XLOOKUP(A932,'Grocery and sales Data'!$A$1:$A$991,'Grocery and sales Data'!$C$1:$C$991)</f>
        <v>Dairy</v>
      </c>
      <c r="D932" s="9">
        <f>_xlfn.XLOOKUP(A932,'Grocery and sales Data'!$A$1:$A$991,'Grocery and sales Data'!$I$1:$I$991)</f>
        <v>7</v>
      </c>
      <c r="E932">
        <f>_xlfn.XLOOKUP(A932,'Grocery and sales Data'!$A$1:$A$991,'Grocery and sales Data'!$R$1:$R$991)</f>
        <v>406</v>
      </c>
      <c r="F932" t="str">
        <f t="shared" si="14"/>
        <v>Medium</v>
      </c>
    </row>
    <row r="933" spans="1:6" ht="16" x14ac:dyDescent="0.4">
      <c r="A933" s="2" t="s">
        <v>3291</v>
      </c>
      <c r="B933" t="str">
        <f>_xlfn.XLOOKUP(A933,'Grocery and sales Data'!$A$1:$A$991,'Grocery and sales Data'!$B$1:$B$991)</f>
        <v>Anchovies</v>
      </c>
      <c r="C933" t="str">
        <f>_xlfn.XLOOKUP(A933,'Grocery and sales Data'!$A$1:$A$991,'Grocery and sales Data'!$C$1:$C$991)</f>
        <v>Seafood</v>
      </c>
      <c r="D933" s="9">
        <f>_xlfn.XLOOKUP(A933,'Grocery and sales Data'!$A$1:$A$991,'Grocery and sales Data'!$I$1:$I$991)</f>
        <v>10</v>
      </c>
      <c r="E933">
        <f>_xlfn.XLOOKUP(A933,'Grocery and sales Data'!$A$1:$A$991,'Grocery and sales Data'!$R$1:$R$991)</f>
        <v>810</v>
      </c>
      <c r="F933" t="str">
        <f t="shared" si="14"/>
        <v>Medium</v>
      </c>
    </row>
    <row r="934" spans="1:6" ht="16" x14ac:dyDescent="0.4">
      <c r="A934" s="2" t="s">
        <v>3294</v>
      </c>
      <c r="B934" t="str">
        <f>_xlfn.XLOOKUP(A934,'Grocery and sales Data'!$A$1:$A$991,'Grocery and sales Data'!$B$1:$B$991)</f>
        <v>Sunflower Oil</v>
      </c>
      <c r="C934" t="str">
        <f>_xlfn.XLOOKUP(A934,'Grocery and sales Data'!$A$1:$A$991,'Grocery and sales Data'!$C$1:$C$991)</f>
        <v>Oils &amp; Fats</v>
      </c>
      <c r="D934" s="9">
        <f>_xlfn.XLOOKUP(A934,'Grocery and sales Data'!$A$1:$A$991,'Grocery and sales Data'!$I$1:$I$991)</f>
        <v>2.5</v>
      </c>
      <c r="E934">
        <f>_xlfn.XLOOKUP(A934,'Grocery and sales Data'!$A$1:$A$991,'Grocery and sales Data'!$R$1:$R$991)</f>
        <v>245</v>
      </c>
      <c r="F934" t="str">
        <f t="shared" si="14"/>
        <v>Medium</v>
      </c>
    </row>
    <row r="935" spans="1:6" ht="16" x14ac:dyDescent="0.4">
      <c r="A935" s="2" t="s">
        <v>3297</v>
      </c>
      <c r="B935" t="str">
        <f>_xlfn.XLOOKUP(A935,'Grocery and sales Data'!$A$1:$A$991,'Grocery and sales Data'!$B$1:$B$991)</f>
        <v>Apple</v>
      </c>
      <c r="C935" t="str">
        <f>_xlfn.XLOOKUP(A935,'Grocery and sales Data'!$A$1:$A$991,'Grocery and sales Data'!$C$1:$C$991)</f>
        <v>Fruits &amp; Vegetables</v>
      </c>
      <c r="D935" s="9">
        <f>_xlfn.XLOOKUP(A935,'Grocery and sales Data'!$A$1:$A$991,'Grocery and sales Data'!$I$1:$I$991)</f>
        <v>3.5</v>
      </c>
      <c r="E935">
        <f>_xlfn.XLOOKUP(A935,'Grocery and sales Data'!$A$1:$A$991,'Grocery and sales Data'!$R$1:$R$991)</f>
        <v>220.5</v>
      </c>
      <c r="F935" t="str">
        <f t="shared" si="14"/>
        <v>Medium</v>
      </c>
    </row>
    <row r="936" spans="1:6" ht="16" x14ac:dyDescent="0.4">
      <c r="A936" s="2" t="s">
        <v>3300</v>
      </c>
      <c r="B936" t="str">
        <f>_xlfn.XLOOKUP(A936,'Grocery and sales Data'!$A$1:$A$991,'Grocery and sales Data'!$B$1:$B$991)</f>
        <v>Green Beans</v>
      </c>
      <c r="C936" t="str">
        <f>_xlfn.XLOOKUP(A936,'Grocery and sales Data'!$A$1:$A$991,'Grocery and sales Data'!$C$1:$C$991)</f>
        <v>Fruits &amp; Vegetables</v>
      </c>
      <c r="D936" s="9">
        <f>_xlfn.XLOOKUP(A936,'Grocery and sales Data'!$A$1:$A$991,'Grocery and sales Data'!$I$1:$I$991)</f>
        <v>2</v>
      </c>
      <c r="E936">
        <f>_xlfn.XLOOKUP(A936,'Grocery and sales Data'!$A$1:$A$991,'Grocery and sales Data'!$R$1:$R$991)</f>
        <v>78</v>
      </c>
      <c r="F936" t="str">
        <f t="shared" si="14"/>
        <v>Low</v>
      </c>
    </row>
    <row r="937" spans="1:6" ht="16" x14ac:dyDescent="0.4">
      <c r="A937" s="2" t="s">
        <v>3303</v>
      </c>
      <c r="B937" t="str">
        <f>_xlfn.XLOOKUP(A937,'Grocery and sales Data'!$A$1:$A$991,'Grocery and sales Data'!$B$1:$B$991)</f>
        <v>Egg (Turkey)</v>
      </c>
      <c r="C937" t="str">
        <f>_xlfn.XLOOKUP(A937,'Grocery and sales Data'!$A$1:$A$991,'Grocery and sales Data'!$C$1:$C$991)</f>
        <v>Dairy</v>
      </c>
      <c r="D937" s="9">
        <f>_xlfn.XLOOKUP(A937,'Grocery and sales Data'!$A$1:$A$991,'Grocery and sales Data'!$I$1:$I$991)</f>
        <v>2.5</v>
      </c>
      <c r="E937">
        <f>_xlfn.XLOOKUP(A937,'Grocery and sales Data'!$A$1:$A$991,'Grocery and sales Data'!$R$1:$R$991)</f>
        <v>195</v>
      </c>
      <c r="F937" t="str">
        <f t="shared" si="14"/>
        <v>Medium</v>
      </c>
    </row>
    <row r="938" spans="1:6" ht="16" x14ac:dyDescent="0.4">
      <c r="A938" s="2" t="s">
        <v>3306</v>
      </c>
      <c r="B938" t="str">
        <f>_xlfn.XLOOKUP(A938,'Grocery and sales Data'!$A$1:$A$991,'Grocery and sales Data'!$B$1:$B$991)</f>
        <v>Mushrooms</v>
      </c>
      <c r="C938" t="str">
        <f>_xlfn.XLOOKUP(A938,'Grocery and sales Data'!$A$1:$A$991,'Grocery and sales Data'!$C$1:$C$991)</f>
        <v>Fruits &amp; Vegetables</v>
      </c>
      <c r="D938" s="9">
        <f>_xlfn.XLOOKUP(A938,'Grocery and sales Data'!$A$1:$A$991,'Grocery and sales Data'!$I$1:$I$991)</f>
        <v>6.25</v>
      </c>
      <c r="E938">
        <f>_xlfn.XLOOKUP(A938,'Grocery and sales Data'!$A$1:$A$991,'Grocery and sales Data'!$R$1:$R$991)</f>
        <v>575</v>
      </c>
      <c r="F938" t="str">
        <f t="shared" si="14"/>
        <v>Medium</v>
      </c>
    </row>
    <row r="939" spans="1:6" ht="16" x14ac:dyDescent="0.4">
      <c r="A939" s="2" t="s">
        <v>3309</v>
      </c>
      <c r="B939" t="str">
        <f>_xlfn.XLOOKUP(A939,'Grocery and sales Data'!$A$1:$A$991,'Grocery and sales Data'!$B$1:$B$991)</f>
        <v>Jasmine Rice</v>
      </c>
      <c r="C939" t="str">
        <f>_xlfn.XLOOKUP(A939,'Grocery and sales Data'!$A$1:$A$991,'Grocery and sales Data'!$C$1:$C$991)</f>
        <v>Grains &amp; Pulses</v>
      </c>
      <c r="D939" s="9">
        <f>_xlfn.XLOOKUP(A939,'Grocery and sales Data'!$A$1:$A$991,'Grocery and sales Data'!$I$1:$I$991)</f>
        <v>4.75</v>
      </c>
      <c r="E939">
        <f>_xlfn.XLOOKUP(A939,'Grocery and sales Data'!$A$1:$A$991,'Grocery and sales Data'!$R$1:$R$991)</f>
        <v>171</v>
      </c>
      <c r="F939" t="str">
        <f t="shared" si="14"/>
        <v>Medium</v>
      </c>
    </row>
    <row r="940" spans="1:6" ht="16" x14ac:dyDescent="0.4">
      <c r="A940" s="2" t="s">
        <v>3313</v>
      </c>
      <c r="B940" t="str">
        <f>_xlfn.XLOOKUP(A940,'Grocery and sales Data'!$A$1:$A$991,'Grocery and sales Data'!$B$1:$B$991)</f>
        <v>Brown Rice</v>
      </c>
      <c r="C940" t="str">
        <f>_xlfn.XLOOKUP(A940,'Grocery and sales Data'!$A$1:$A$991,'Grocery and sales Data'!$C$1:$C$991)</f>
        <v>Grains &amp; Pulses</v>
      </c>
      <c r="D940" s="9">
        <f>_xlfn.XLOOKUP(A940,'Grocery and sales Data'!$A$1:$A$991,'Grocery and sales Data'!$I$1:$I$991)</f>
        <v>2.5</v>
      </c>
      <c r="E940">
        <f>_xlfn.XLOOKUP(A940,'Grocery and sales Data'!$A$1:$A$991,'Grocery and sales Data'!$R$1:$R$991)</f>
        <v>110</v>
      </c>
      <c r="F940" t="str">
        <f t="shared" si="14"/>
        <v>Medium</v>
      </c>
    </row>
    <row r="941" spans="1:6" ht="16" x14ac:dyDescent="0.4">
      <c r="A941" s="2" t="s">
        <v>3316</v>
      </c>
      <c r="B941" t="str">
        <f>_xlfn.XLOOKUP(A941,'Grocery and sales Data'!$A$1:$A$991,'Grocery and sales Data'!$B$1:$B$991)</f>
        <v>Multigrain Bread</v>
      </c>
      <c r="C941" t="str">
        <f>_xlfn.XLOOKUP(A941,'Grocery and sales Data'!$A$1:$A$991,'Grocery and sales Data'!$C$1:$C$991)</f>
        <v>Bakery</v>
      </c>
      <c r="D941" s="9">
        <f>_xlfn.XLOOKUP(A941,'Grocery and sales Data'!$A$1:$A$991,'Grocery and sales Data'!$I$1:$I$991)</f>
        <v>3.5</v>
      </c>
      <c r="E941">
        <f>_xlfn.XLOOKUP(A941,'Grocery and sales Data'!$A$1:$A$991,'Grocery and sales Data'!$R$1:$R$991)</f>
        <v>157.5</v>
      </c>
      <c r="F941" t="str">
        <f t="shared" si="14"/>
        <v>Medium</v>
      </c>
    </row>
    <row r="942" spans="1:6" ht="16" x14ac:dyDescent="0.4">
      <c r="A942" s="2" t="s">
        <v>3319</v>
      </c>
      <c r="B942" t="str">
        <f>_xlfn.XLOOKUP(A942,'Grocery and sales Data'!$A$1:$A$991,'Grocery and sales Data'!$B$1:$B$991)</f>
        <v>Evaporated Milk</v>
      </c>
      <c r="C942" t="str">
        <f>_xlfn.XLOOKUP(A942,'Grocery and sales Data'!$A$1:$A$991,'Grocery and sales Data'!$C$1:$C$991)</f>
        <v>Dairy</v>
      </c>
      <c r="D942" s="9">
        <f>_xlfn.XLOOKUP(A942,'Grocery and sales Data'!$A$1:$A$991,'Grocery and sales Data'!$I$1:$I$991)</f>
        <v>2</v>
      </c>
      <c r="E942">
        <f>_xlfn.XLOOKUP(A942,'Grocery and sales Data'!$A$1:$A$991,'Grocery and sales Data'!$R$1:$R$991)</f>
        <v>148</v>
      </c>
      <c r="F942" t="str">
        <f t="shared" si="14"/>
        <v>Medium</v>
      </c>
    </row>
    <row r="943" spans="1:6" ht="16" x14ac:dyDescent="0.4">
      <c r="A943" s="2" t="s">
        <v>3322</v>
      </c>
      <c r="B943" t="str">
        <f>_xlfn.XLOOKUP(A943,'Grocery and sales Data'!$A$1:$A$991,'Grocery and sales Data'!$B$1:$B$991)</f>
        <v>Long Grain Rice</v>
      </c>
      <c r="C943" t="str">
        <f>_xlfn.XLOOKUP(A943,'Grocery and sales Data'!$A$1:$A$991,'Grocery and sales Data'!$C$1:$C$991)</f>
        <v>Grains &amp; Pulses</v>
      </c>
      <c r="D943" s="9">
        <f>_xlfn.XLOOKUP(A943,'Grocery and sales Data'!$A$1:$A$991,'Grocery and sales Data'!$I$1:$I$991)</f>
        <v>1.45</v>
      </c>
      <c r="E943">
        <f>_xlfn.XLOOKUP(A943,'Grocery and sales Data'!$A$1:$A$991,'Grocery and sales Data'!$R$1:$R$991)</f>
        <v>29</v>
      </c>
      <c r="F943" t="str">
        <f t="shared" si="14"/>
        <v>Low</v>
      </c>
    </row>
    <row r="944" spans="1:6" ht="16" x14ac:dyDescent="0.4">
      <c r="A944" s="2" t="s">
        <v>3325</v>
      </c>
      <c r="B944" t="str">
        <f>_xlfn.XLOOKUP(A944,'Grocery and sales Data'!$A$1:$A$991,'Grocery and sales Data'!$B$1:$B$991)</f>
        <v>White Bread</v>
      </c>
      <c r="C944" t="str">
        <f>_xlfn.XLOOKUP(A944,'Grocery and sales Data'!$A$1:$A$991,'Grocery and sales Data'!$C$1:$C$991)</f>
        <v>Bakery</v>
      </c>
      <c r="D944" s="9">
        <f>_xlfn.XLOOKUP(A944,'Grocery and sales Data'!$A$1:$A$991,'Grocery and sales Data'!$I$1:$I$991)</f>
        <v>2.5</v>
      </c>
      <c r="E944">
        <f>_xlfn.XLOOKUP(A944,'Grocery and sales Data'!$A$1:$A$991,'Grocery and sales Data'!$R$1:$R$991)</f>
        <v>167.5</v>
      </c>
      <c r="F944" t="str">
        <f t="shared" si="14"/>
        <v>Medium</v>
      </c>
    </row>
    <row r="945" spans="1:6" ht="16" x14ac:dyDescent="0.4">
      <c r="A945" s="2" t="s">
        <v>3328</v>
      </c>
      <c r="B945" t="str">
        <f>_xlfn.XLOOKUP(A945,'Grocery and sales Data'!$A$1:$A$991,'Grocery and sales Data'!$B$1:$B$991)</f>
        <v>White Sugar</v>
      </c>
      <c r="C945" t="str">
        <f>_xlfn.XLOOKUP(A945,'Grocery and sales Data'!$A$1:$A$991,'Grocery and sales Data'!$C$1:$C$991)</f>
        <v>Grains &amp; Pulses</v>
      </c>
      <c r="D945" s="9">
        <f>_xlfn.XLOOKUP(A945,'Grocery and sales Data'!$A$1:$A$991,'Grocery and sales Data'!$I$1:$I$991)</f>
        <v>2</v>
      </c>
      <c r="E945">
        <f>_xlfn.XLOOKUP(A945,'Grocery and sales Data'!$A$1:$A$991,'Grocery and sales Data'!$R$1:$R$991)</f>
        <v>116</v>
      </c>
      <c r="F945" t="str">
        <f t="shared" si="14"/>
        <v>Medium</v>
      </c>
    </row>
    <row r="946" spans="1:6" ht="16" x14ac:dyDescent="0.4">
      <c r="A946" s="2" t="s">
        <v>3331</v>
      </c>
      <c r="B946" t="str">
        <f>_xlfn.XLOOKUP(A946,'Grocery and sales Data'!$A$1:$A$991,'Grocery and sales Data'!$B$1:$B$991)</f>
        <v>Cucumber</v>
      </c>
      <c r="C946" t="str">
        <f>_xlfn.XLOOKUP(A946,'Grocery and sales Data'!$A$1:$A$991,'Grocery and sales Data'!$C$1:$C$991)</f>
        <v>Fruits &amp; Vegetables</v>
      </c>
      <c r="D946" s="9">
        <f>_xlfn.XLOOKUP(A946,'Grocery and sales Data'!$A$1:$A$991,'Grocery and sales Data'!$I$1:$I$991)</f>
        <v>1.8</v>
      </c>
      <c r="E946">
        <f>_xlfn.XLOOKUP(A946,'Grocery and sales Data'!$A$1:$A$991,'Grocery and sales Data'!$R$1:$R$991)</f>
        <v>133.20000000000002</v>
      </c>
      <c r="F946" t="str">
        <f t="shared" si="14"/>
        <v>Medium</v>
      </c>
    </row>
    <row r="947" spans="1:6" ht="16" x14ac:dyDescent="0.4">
      <c r="A947" s="2" t="s">
        <v>3334</v>
      </c>
      <c r="B947" t="str">
        <f>_xlfn.XLOOKUP(A947,'Grocery and sales Data'!$A$1:$A$991,'Grocery and sales Data'!$B$1:$B$991)</f>
        <v>Parmesan Cheese</v>
      </c>
      <c r="C947" t="str">
        <f>_xlfn.XLOOKUP(A947,'Grocery and sales Data'!$A$1:$A$991,'Grocery and sales Data'!$C$1:$C$991)</f>
        <v>Dairy</v>
      </c>
      <c r="D947" s="9">
        <f>_xlfn.XLOOKUP(A947,'Grocery and sales Data'!$A$1:$A$991,'Grocery and sales Data'!$I$1:$I$991)</f>
        <v>12</v>
      </c>
      <c r="E947">
        <f>_xlfn.XLOOKUP(A947,'Grocery and sales Data'!$A$1:$A$991,'Grocery and sales Data'!$R$1:$R$991)</f>
        <v>828</v>
      </c>
      <c r="F947" t="str">
        <f t="shared" si="14"/>
        <v>Medium</v>
      </c>
    </row>
    <row r="948" spans="1:6" ht="16" x14ac:dyDescent="0.4">
      <c r="A948" s="2" t="s">
        <v>3337</v>
      </c>
      <c r="B948" t="str">
        <f>_xlfn.XLOOKUP(A948,'Grocery and sales Data'!$A$1:$A$991,'Grocery and sales Data'!$B$1:$B$991)</f>
        <v>Bell Pepper</v>
      </c>
      <c r="C948" t="str">
        <f>_xlfn.XLOOKUP(A948,'Grocery and sales Data'!$A$1:$A$991,'Grocery and sales Data'!$C$1:$C$991)</f>
        <v>Fruits &amp; Vegetables</v>
      </c>
      <c r="D948" s="9">
        <f>_xlfn.XLOOKUP(A948,'Grocery and sales Data'!$A$1:$A$991,'Grocery and sales Data'!$I$1:$I$991)</f>
        <v>4.5</v>
      </c>
      <c r="E948">
        <f>_xlfn.XLOOKUP(A948,'Grocery and sales Data'!$A$1:$A$991,'Grocery and sales Data'!$R$1:$R$991)</f>
        <v>171</v>
      </c>
      <c r="F948" t="str">
        <f t="shared" si="14"/>
        <v>Medium</v>
      </c>
    </row>
    <row r="949" spans="1:6" ht="16" x14ac:dyDescent="0.4">
      <c r="A949" s="2" t="s">
        <v>3341</v>
      </c>
      <c r="B949" t="str">
        <f>_xlfn.XLOOKUP(A949,'Grocery and sales Data'!$A$1:$A$991,'Grocery and sales Data'!$B$1:$B$991)</f>
        <v>Corn Oil</v>
      </c>
      <c r="C949" t="str">
        <f>_xlfn.XLOOKUP(A949,'Grocery and sales Data'!$A$1:$A$991,'Grocery and sales Data'!$C$1:$C$991)</f>
        <v>Oils &amp; Fats</v>
      </c>
      <c r="D949" s="9">
        <f>_xlfn.XLOOKUP(A949,'Grocery and sales Data'!$A$1:$A$991,'Grocery and sales Data'!$I$1:$I$991)</f>
        <v>2.5</v>
      </c>
      <c r="E949">
        <f>_xlfn.XLOOKUP(A949,'Grocery and sales Data'!$A$1:$A$991,'Grocery and sales Data'!$R$1:$R$991)</f>
        <v>70</v>
      </c>
      <c r="F949" t="str">
        <f t="shared" si="14"/>
        <v>Low</v>
      </c>
    </row>
    <row r="950" spans="1:6" ht="16" x14ac:dyDescent="0.4">
      <c r="A950" s="2" t="s">
        <v>3344</v>
      </c>
      <c r="B950" t="str">
        <f>_xlfn.XLOOKUP(A950,'Grocery and sales Data'!$A$1:$A$991,'Grocery and sales Data'!$B$1:$B$991)</f>
        <v>Bell Pepper</v>
      </c>
      <c r="C950" t="str">
        <f>_xlfn.XLOOKUP(A950,'Grocery and sales Data'!$A$1:$A$991,'Grocery and sales Data'!$C$1:$C$991)</f>
        <v>Fruits &amp; Vegetables</v>
      </c>
      <c r="D950" s="9">
        <f>_xlfn.XLOOKUP(A950,'Grocery and sales Data'!$A$1:$A$991,'Grocery and sales Data'!$I$1:$I$991)</f>
        <v>4.5</v>
      </c>
      <c r="E950">
        <f>_xlfn.XLOOKUP(A950,'Grocery and sales Data'!$A$1:$A$991,'Grocery and sales Data'!$R$1:$R$991)</f>
        <v>198</v>
      </c>
      <c r="F950" t="str">
        <f t="shared" si="14"/>
        <v>Medium</v>
      </c>
    </row>
    <row r="951" spans="1:6" ht="16" x14ac:dyDescent="0.4">
      <c r="A951" s="2" t="s">
        <v>3347</v>
      </c>
      <c r="B951" t="str">
        <f>_xlfn.XLOOKUP(A951,'Grocery and sales Data'!$A$1:$A$991,'Grocery and sales Data'!$B$1:$B$991)</f>
        <v>Canola Oil</v>
      </c>
      <c r="C951" t="str">
        <f>_xlfn.XLOOKUP(A951,'Grocery and sales Data'!$A$1:$A$991,'Grocery and sales Data'!$C$1:$C$991)</f>
        <v>Oils &amp; Fats</v>
      </c>
      <c r="D951" s="9">
        <f>_xlfn.XLOOKUP(A951,'Grocery and sales Data'!$A$1:$A$991,'Grocery and sales Data'!$I$1:$I$991)</f>
        <v>2.2999999999999998</v>
      </c>
      <c r="E951">
        <f>_xlfn.XLOOKUP(A951,'Grocery and sales Data'!$A$1:$A$991,'Grocery and sales Data'!$R$1:$R$991)</f>
        <v>188.6</v>
      </c>
      <c r="F951" t="str">
        <f t="shared" si="14"/>
        <v>Medium</v>
      </c>
    </row>
    <row r="952" spans="1:6" ht="16" x14ac:dyDescent="0.4">
      <c r="A952" s="2" t="s">
        <v>3350</v>
      </c>
      <c r="B952" t="str">
        <f>_xlfn.XLOOKUP(A952,'Grocery and sales Data'!$A$1:$A$991,'Grocery and sales Data'!$B$1:$B$991)</f>
        <v>Digestive Biscuit</v>
      </c>
      <c r="C952" t="str">
        <f>_xlfn.XLOOKUP(A952,'Grocery and sales Data'!$A$1:$A$991,'Grocery and sales Data'!$C$1:$C$991)</f>
        <v>Bakery</v>
      </c>
      <c r="D952" s="9">
        <f>_xlfn.XLOOKUP(A952,'Grocery and sales Data'!$A$1:$A$991,'Grocery and sales Data'!$I$1:$I$991)</f>
        <v>4</v>
      </c>
      <c r="E952">
        <f>_xlfn.XLOOKUP(A952,'Grocery and sales Data'!$A$1:$A$991,'Grocery and sales Data'!$R$1:$R$991)</f>
        <v>340</v>
      </c>
      <c r="F952" t="str">
        <f t="shared" si="14"/>
        <v>Medium</v>
      </c>
    </row>
    <row r="953" spans="1:6" ht="16" x14ac:dyDescent="0.4">
      <c r="A953" s="2" t="s">
        <v>3353</v>
      </c>
      <c r="B953" t="str">
        <f>_xlfn.XLOOKUP(A953,'Grocery and sales Data'!$A$1:$A$991,'Grocery and sales Data'!$B$1:$B$991)</f>
        <v>Cream</v>
      </c>
      <c r="C953" t="str">
        <f>_xlfn.XLOOKUP(A953,'Grocery and sales Data'!$A$1:$A$991,'Grocery and sales Data'!$C$1:$C$991)</f>
        <v>Dairy</v>
      </c>
      <c r="D953" s="9">
        <f>_xlfn.XLOOKUP(A953,'Grocery and sales Data'!$A$1:$A$991,'Grocery and sales Data'!$I$1:$I$991)</f>
        <v>2.5</v>
      </c>
      <c r="E953">
        <f>_xlfn.XLOOKUP(A953,'Grocery and sales Data'!$A$1:$A$991,'Grocery and sales Data'!$R$1:$R$991)</f>
        <v>102.5</v>
      </c>
      <c r="F953" t="str">
        <f t="shared" si="14"/>
        <v>Medium</v>
      </c>
    </row>
    <row r="954" spans="1:6" ht="16" x14ac:dyDescent="0.4">
      <c r="A954" s="2" t="s">
        <v>3357</v>
      </c>
      <c r="B954" t="str">
        <f>_xlfn.XLOOKUP(A954,'Grocery and sales Data'!$A$1:$A$991,'Grocery and sales Data'!$B$1:$B$991)</f>
        <v>Apple</v>
      </c>
      <c r="C954" t="str">
        <f>_xlfn.XLOOKUP(A954,'Grocery and sales Data'!$A$1:$A$991,'Grocery and sales Data'!$C$1:$C$991)</f>
        <v>Fruits &amp; Vegetables</v>
      </c>
      <c r="D954" s="9">
        <f>_xlfn.XLOOKUP(A954,'Grocery and sales Data'!$A$1:$A$991,'Grocery and sales Data'!$I$1:$I$991)</f>
        <v>3.5</v>
      </c>
      <c r="E954">
        <f>_xlfn.XLOOKUP(A954,'Grocery and sales Data'!$A$1:$A$991,'Grocery and sales Data'!$R$1:$R$991)</f>
        <v>143.5</v>
      </c>
      <c r="F954" t="str">
        <f t="shared" si="14"/>
        <v>Medium</v>
      </c>
    </row>
    <row r="955" spans="1:6" ht="16" x14ac:dyDescent="0.4">
      <c r="A955" s="2" t="s">
        <v>3360</v>
      </c>
      <c r="B955" t="str">
        <f>_xlfn.XLOOKUP(A955,'Grocery and sales Data'!$A$1:$A$991,'Grocery and sales Data'!$B$1:$B$991)</f>
        <v>Peanut Oil</v>
      </c>
      <c r="C955" t="str">
        <f>_xlfn.XLOOKUP(A955,'Grocery and sales Data'!$A$1:$A$991,'Grocery and sales Data'!$C$1:$C$991)</f>
        <v>Oils &amp; Fats</v>
      </c>
      <c r="D955" s="9">
        <f>_xlfn.XLOOKUP(A955,'Grocery and sales Data'!$A$1:$A$991,'Grocery and sales Data'!$I$1:$I$991)</f>
        <v>4</v>
      </c>
      <c r="E955">
        <f>_xlfn.XLOOKUP(A955,'Grocery and sales Data'!$A$1:$A$991,'Grocery and sales Data'!$R$1:$R$991)</f>
        <v>316</v>
      </c>
      <c r="F955" t="str">
        <f t="shared" si="14"/>
        <v>Medium</v>
      </c>
    </row>
    <row r="956" spans="1:6" ht="16" x14ac:dyDescent="0.4">
      <c r="A956" s="2" t="s">
        <v>3363</v>
      </c>
      <c r="B956" t="str">
        <f>_xlfn.XLOOKUP(A956,'Grocery and sales Data'!$A$1:$A$991,'Grocery and sales Data'!$B$1:$B$991)</f>
        <v>Coconut Sugar</v>
      </c>
      <c r="C956" t="str">
        <f>_xlfn.XLOOKUP(A956,'Grocery and sales Data'!$A$1:$A$991,'Grocery and sales Data'!$C$1:$C$991)</f>
        <v>Grains &amp; Pulses</v>
      </c>
      <c r="D956" s="9">
        <f>_xlfn.XLOOKUP(A956,'Grocery and sales Data'!$A$1:$A$991,'Grocery and sales Data'!$I$1:$I$991)</f>
        <v>5</v>
      </c>
      <c r="E956">
        <f>_xlfn.XLOOKUP(A956,'Grocery and sales Data'!$A$1:$A$991,'Grocery and sales Data'!$R$1:$R$991)</f>
        <v>240</v>
      </c>
      <c r="F956" t="str">
        <f t="shared" si="14"/>
        <v>Medium</v>
      </c>
    </row>
    <row r="957" spans="1:6" ht="16" x14ac:dyDescent="0.4">
      <c r="A957" s="2" t="s">
        <v>3366</v>
      </c>
      <c r="B957" t="str">
        <f>_xlfn.XLOOKUP(A957,'Grocery and sales Data'!$A$1:$A$991,'Grocery and sales Data'!$B$1:$B$991)</f>
        <v>Tuna</v>
      </c>
      <c r="C957" t="str">
        <f>_xlfn.XLOOKUP(A957,'Grocery and sales Data'!$A$1:$A$991,'Grocery and sales Data'!$C$1:$C$991)</f>
        <v>Seafood</v>
      </c>
      <c r="D957" s="9">
        <f>_xlfn.XLOOKUP(A957,'Grocery and sales Data'!$A$1:$A$991,'Grocery and sales Data'!$I$1:$I$991)</f>
        <v>18</v>
      </c>
      <c r="E957">
        <f>_xlfn.XLOOKUP(A957,'Grocery and sales Data'!$A$1:$A$991,'Grocery and sales Data'!$R$1:$R$991)</f>
        <v>396</v>
      </c>
      <c r="F957" t="str">
        <f t="shared" si="14"/>
        <v>Medium</v>
      </c>
    </row>
    <row r="958" spans="1:6" ht="16" x14ac:dyDescent="0.4">
      <c r="A958" s="2" t="s">
        <v>3369</v>
      </c>
      <c r="B958" t="str">
        <f>_xlfn.XLOOKUP(A958,'Grocery and sales Data'!$A$1:$A$991,'Grocery and sales Data'!$B$1:$B$991)</f>
        <v>Spinach</v>
      </c>
      <c r="C958" t="str">
        <f>_xlfn.XLOOKUP(A958,'Grocery and sales Data'!$A$1:$A$991,'Grocery and sales Data'!$C$1:$C$991)</f>
        <v>Fruits &amp; Vegetables</v>
      </c>
      <c r="D958" s="9">
        <f>_xlfn.XLOOKUP(A958,'Grocery and sales Data'!$A$1:$A$991,'Grocery and sales Data'!$I$1:$I$991)</f>
        <v>2.52</v>
      </c>
      <c r="E958">
        <f>_xlfn.XLOOKUP(A958,'Grocery and sales Data'!$A$1:$A$991,'Grocery and sales Data'!$R$1:$R$991)</f>
        <v>78.12</v>
      </c>
      <c r="F958" t="str">
        <f t="shared" si="14"/>
        <v>Low</v>
      </c>
    </row>
    <row r="959" spans="1:6" ht="16" x14ac:dyDescent="0.4">
      <c r="A959" s="2" t="s">
        <v>3372</v>
      </c>
      <c r="B959" t="str">
        <f>_xlfn.XLOOKUP(A959,'Grocery and sales Data'!$A$1:$A$991,'Grocery and sales Data'!$B$1:$B$991)</f>
        <v>Carrot</v>
      </c>
      <c r="C959" t="str">
        <f>_xlfn.XLOOKUP(A959,'Grocery and sales Data'!$A$1:$A$991,'Grocery and sales Data'!$C$1:$C$991)</f>
        <v>Fruits &amp; Vegetables</v>
      </c>
      <c r="D959" s="9">
        <f>_xlfn.XLOOKUP(A959,'Grocery and sales Data'!$A$1:$A$991,'Grocery and sales Data'!$I$1:$I$991)</f>
        <v>1.5</v>
      </c>
      <c r="E959">
        <f>_xlfn.XLOOKUP(A959,'Grocery and sales Data'!$A$1:$A$991,'Grocery and sales Data'!$R$1:$R$991)</f>
        <v>39</v>
      </c>
      <c r="F959" t="str">
        <f t="shared" si="14"/>
        <v>Low</v>
      </c>
    </row>
    <row r="960" spans="1:6" ht="16" x14ac:dyDescent="0.4">
      <c r="A960" s="2" t="s">
        <v>3375</v>
      </c>
      <c r="B960" t="str">
        <f>_xlfn.XLOOKUP(A960,'Grocery and sales Data'!$A$1:$A$991,'Grocery and sales Data'!$B$1:$B$991)</f>
        <v>Sweet Potato</v>
      </c>
      <c r="C960" t="str">
        <f>_xlfn.XLOOKUP(A960,'Grocery and sales Data'!$A$1:$A$991,'Grocery and sales Data'!$C$1:$C$991)</f>
        <v>Fruits &amp; Vegetables</v>
      </c>
      <c r="D960" s="9">
        <f>_xlfn.XLOOKUP(A960,'Grocery and sales Data'!$A$1:$A$991,'Grocery and sales Data'!$I$1:$I$991)</f>
        <v>2</v>
      </c>
      <c r="E960">
        <f>_xlfn.XLOOKUP(A960,'Grocery and sales Data'!$A$1:$A$991,'Grocery and sales Data'!$R$1:$R$991)</f>
        <v>194</v>
      </c>
      <c r="F960" t="str">
        <f t="shared" si="14"/>
        <v>Medium</v>
      </c>
    </row>
    <row r="961" spans="1:6" ht="16" x14ac:dyDescent="0.4">
      <c r="A961" s="2" t="s">
        <v>3378</v>
      </c>
      <c r="B961" t="str">
        <f>_xlfn.XLOOKUP(A961,'Grocery and sales Data'!$A$1:$A$991,'Grocery and sales Data'!$B$1:$B$991)</f>
        <v>Lemon</v>
      </c>
      <c r="C961" t="str">
        <f>_xlfn.XLOOKUP(A961,'Grocery and sales Data'!$A$1:$A$991,'Grocery and sales Data'!$C$1:$C$991)</f>
        <v>Fruits &amp; Vegetables</v>
      </c>
      <c r="D961" s="9">
        <f>_xlfn.XLOOKUP(A961,'Grocery and sales Data'!$A$1:$A$991,'Grocery and sales Data'!$I$1:$I$991)</f>
        <v>2.5</v>
      </c>
      <c r="E961">
        <f>_xlfn.XLOOKUP(A961,'Grocery and sales Data'!$A$1:$A$991,'Grocery and sales Data'!$R$1:$R$991)</f>
        <v>152.5</v>
      </c>
      <c r="F961" t="str">
        <f t="shared" si="14"/>
        <v>Medium</v>
      </c>
    </row>
    <row r="962" spans="1:6" ht="16" x14ac:dyDescent="0.4">
      <c r="A962" s="2" t="s">
        <v>3381</v>
      </c>
      <c r="B962" t="str">
        <f>_xlfn.XLOOKUP(A962,'Grocery and sales Data'!$A$1:$A$991,'Grocery and sales Data'!$B$1:$B$991)</f>
        <v>Multigrain Bread</v>
      </c>
      <c r="C962" t="str">
        <f>_xlfn.XLOOKUP(A962,'Grocery and sales Data'!$A$1:$A$991,'Grocery and sales Data'!$C$1:$C$991)</f>
        <v>Bakery</v>
      </c>
      <c r="D962" s="9">
        <f>_xlfn.XLOOKUP(A962,'Grocery and sales Data'!$A$1:$A$991,'Grocery and sales Data'!$I$1:$I$991)</f>
        <v>3.25</v>
      </c>
      <c r="E962">
        <f>_xlfn.XLOOKUP(A962,'Grocery and sales Data'!$A$1:$A$991,'Grocery and sales Data'!$R$1:$R$991)</f>
        <v>182</v>
      </c>
      <c r="F962" t="str">
        <f t="shared" si="14"/>
        <v>Medium</v>
      </c>
    </row>
    <row r="963" spans="1:6" ht="16" x14ac:dyDescent="0.4">
      <c r="A963" s="2" t="s">
        <v>3384</v>
      </c>
      <c r="B963" t="str">
        <f>_xlfn.XLOOKUP(A963,'Grocery and sales Data'!$A$1:$A$991,'Grocery and sales Data'!$B$1:$B$991)</f>
        <v>Basmati Rice</v>
      </c>
      <c r="C963" t="str">
        <f>_xlfn.XLOOKUP(A963,'Grocery and sales Data'!$A$1:$A$991,'Grocery and sales Data'!$C$1:$C$991)</f>
        <v>Grains &amp; Pulses</v>
      </c>
      <c r="D963" s="9">
        <f>_xlfn.XLOOKUP(A963,'Grocery and sales Data'!$A$1:$A$991,'Grocery and sales Data'!$I$1:$I$991)</f>
        <v>4.45</v>
      </c>
      <c r="E963">
        <f>_xlfn.XLOOKUP(A963,'Grocery and sales Data'!$A$1:$A$991,'Grocery and sales Data'!$R$1:$R$991)</f>
        <v>164.65</v>
      </c>
      <c r="F963" t="str">
        <f t="shared" ref="F963:F991" si="15">IF(E963&gt;=1000,"High",IF(E963&gt;=100,"Medium","Low"))</f>
        <v>Medium</v>
      </c>
    </row>
    <row r="964" spans="1:6" ht="16" x14ac:dyDescent="0.4">
      <c r="A964" s="2" t="s">
        <v>3387</v>
      </c>
      <c r="B964" t="str">
        <f>_xlfn.XLOOKUP(A964,'Grocery and sales Data'!$A$1:$A$991,'Grocery and sales Data'!$B$1:$B$991)</f>
        <v>Sour Cream</v>
      </c>
      <c r="C964" t="str">
        <f>_xlfn.XLOOKUP(A964,'Grocery and sales Data'!$A$1:$A$991,'Grocery and sales Data'!$C$1:$C$991)</f>
        <v>Dairy</v>
      </c>
      <c r="D964" s="9">
        <f>_xlfn.XLOOKUP(A964,'Grocery and sales Data'!$A$1:$A$991,'Grocery and sales Data'!$I$1:$I$991)</f>
        <v>4</v>
      </c>
      <c r="E964">
        <f>_xlfn.XLOOKUP(A964,'Grocery and sales Data'!$A$1:$A$991,'Grocery and sales Data'!$R$1:$R$991)</f>
        <v>92</v>
      </c>
      <c r="F964" t="str">
        <f t="shared" si="15"/>
        <v>Low</v>
      </c>
    </row>
    <row r="965" spans="1:6" ht="16" x14ac:dyDescent="0.4">
      <c r="A965" s="2" t="s">
        <v>3390</v>
      </c>
      <c r="B965" t="str">
        <f>_xlfn.XLOOKUP(A965,'Grocery and sales Data'!$A$1:$A$991,'Grocery and sales Data'!$B$1:$B$991)</f>
        <v>Egg (Chicken)</v>
      </c>
      <c r="C965" t="str">
        <f>_xlfn.XLOOKUP(A965,'Grocery and sales Data'!$A$1:$A$991,'Grocery and sales Data'!$C$1:$C$991)</f>
        <v>Dairy</v>
      </c>
      <c r="D965" s="9">
        <f>_xlfn.XLOOKUP(A965,'Grocery and sales Data'!$A$1:$A$991,'Grocery and sales Data'!$I$1:$I$991)</f>
        <v>0.2</v>
      </c>
      <c r="E965">
        <f>_xlfn.XLOOKUP(A965,'Grocery and sales Data'!$A$1:$A$991,'Grocery and sales Data'!$R$1:$R$991)</f>
        <v>13.4</v>
      </c>
      <c r="F965" t="str">
        <f t="shared" si="15"/>
        <v>Low</v>
      </c>
    </row>
    <row r="966" spans="1:6" ht="16" x14ac:dyDescent="0.4">
      <c r="A966" s="2" t="s">
        <v>3393</v>
      </c>
      <c r="B966" t="str">
        <f>_xlfn.XLOOKUP(A966,'Grocery and sales Data'!$A$1:$A$991,'Grocery and sales Data'!$B$1:$B$991)</f>
        <v>Potato</v>
      </c>
      <c r="C966" t="str">
        <f>_xlfn.XLOOKUP(A966,'Grocery and sales Data'!$A$1:$A$991,'Grocery and sales Data'!$C$1:$C$991)</f>
        <v>Fruits &amp; Vegetables</v>
      </c>
      <c r="D966" s="9">
        <f>_xlfn.XLOOKUP(A966,'Grocery and sales Data'!$A$1:$A$991,'Grocery and sales Data'!$I$1:$I$991)</f>
        <v>1.2</v>
      </c>
      <c r="E966">
        <f>_xlfn.XLOOKUP(A966,'Grocery and sales Data'!$A$1:$A$991,'Grocery and sales Data'!$R$1:$R$991)</f>
        <v>51.6</v>
      </c>
      <c r="F966" t="str">
        <f t="shared" si="15"/>
        <v>Low</v>
      </c>
    </row>
    <row r="967" spans="1:6" ht="16" x14ac:dyDescent="0.4">
      <c r="A967" s="2" t="s">
        <v>3396</v>
      </c>
      <c r="B967" t="str">
        <f>_xlfn.XLOOKUP(A967,'Grocery and sales Data'!$A$1:$A$991,'Grocery and sales Data'!$B$1:$B$991)</f>
        <v>Onion</v>
      </c>
      <c r="C967" t="str">
        <f>_xlfn.XLOOKUP(A967,'Grocery and sales Data'!$A$1:$A$991,'Grocery and sales Data'!$C$1:$C$991)</f>
        <v>Fruits &amp; Vegetables</v>
      </c>
      <c r="D967" s="9">
        <f>_xlfn.XLOOKUP(A967,'Grocery and sales Data'!$A$1:$A$991,'Grocery and sales Data'!$I$1:$I$991)</f>
        <v>2</v>
      </c>
      <c r="E967">
        <f>_xlfn.XLOOKUP(A967,'Grocery and sales Data'!$A$1:$A$991,'Grocery and sales Data'!$R$1:$R$991)</f>
        <v>194</v>
      </c>
      <c r="F967" t="str">
        <f t="shared" si="15"/>
        <v>Medium</v>
      </c>
    </row>
    <row r="968" spans="1:6" ht="16" x14ac:dyDescent="0.4">
      <c r="A968" s="2" t="s">
        <v>3399</v>
      </c>
      <c r="B968" t="str">
        <f>_xlfn.XLOOKUP(A968,'Grocery and sales Data'!$A$1:$A$991,'Grocery and sales Data'!$B$1:$B$991)</f>
        <v>Short Grain Rice</v>
      </c>
      <c r="C968" t="str">
        <f>_xlfn.XLOOKUP(A968,'Grocery and sales Data'!$A$1:$A$991,'Grocery and sales Data'!$C$1:$C$991)</f>
        <v>Grains &amp; Pulses</v>
      </c>
      <c r="D968" s="9">
        <f>_xlfn.XLOOKUP(A968,'Grocery and sales Data'!$A$1:$A$991,'Grocery and sales Data'!$I$1:$I$991)</f>
        <v>3</v>
      </c>
      <c r="E968">
        <f>_xlfn.XLOOKUP(A968,'Grocery and sales Data'!$A$1:$A$991,'Grocery and sales Data'!$R$1:$R$991)</f>
        <v>204</v>
      </c>
      <c r="F968" t="str">
        <f t="shared" si="15"/>
        <v>Medium</v>
      </c>
    </row>
    <row r="969" spans="1:6" ht="16" x14ac:dyDescent="0.4">
      <c r="A969" s="2" t="s">
        <v>3402</v>
      </c>
      <c r="B969" t="str">
        <f>_xlfn.XLOOKUP(A969,'Grocery and sales Data'!$A$1:$A$991,'Grocery and sales Data'!$B$1:$B$991)</f>
        <v>Egg (Chicken)</v>
      </c>
      <c r="C969" t="str">
        <f>_xlfn.XLOOKUP(A969,'Grocery and sales Data'!$A$1:$A$991,'Grocery and sales Data'!$C$1:$C$991)</f>
        <v>Dairy</v>
      </c>
      <c r="D969" s="9">
        <f>_xlfn.XLOOKUP(A969,'Grocery and sales Data'!$A$1:$A$991,'Grocery and sales Data'!$I$1:$I$991)</f>
        <v>0.2</v>
      </c>
      <c r="E969">
        <f>_xlfn.XLOOKUP(A969,'Grocery and sales Data'!$A$1:$A$991,'Grocery and sales Data'!$R$1:$R$991)</f>
        <v>18.8</v>
      </c>
      <c r="F969" t="str">
        <f t="shared" si="15"/>
        <v>Low</v>
      </c>
    </row>
    <row r="970" spans="1:6" ht="16" x14ac:dyDescent="0.4">
      <c r="A970" s="2" t="s">
        <v>3405</v>
      </c>
      <c r="B970" t="str">
        <f>_xlfn.XLOOKUP(A970,'Grocery and sales Data'!$A$1:$A$991,'Grocery and sales Data'!$B$1:$B$991)</f>
        <v>Wild Rice</v>
      </c>
      <c r="C970" t="str">
        <f>_xlfn.XLOOKUP(A970,'Grocery and sales Data'!$A$1:$A$991,'Grocery and sales Data'!$C$1:$C$991)</f>
        <v>Grains &amp; Pulses</v>
      </c>
      <c r="D970" s="9">
        <f>_xlfn.XLOOKUP(A970,'Grocery and sales Data'!$A$1:$A$991,'Grocery and sales Data'!$I$1:$I$991)</f>
        <v>10</v>
      </c>
      <c r="E970">
        <f>_xlfn.XLOOKUP(A970,'Grocery and sales Data'!$A$1:$A$991,'Grocery and sales Data'!$R$1:$R$991)</f>
        <v>690</v>
      </c>
      <c r="F970" t="str">
        <f t="shared" si="15"/>
        <v>Medium</v>
      </c>
    </row>
    <row r="971" spans="1:6" ht="16" x14ac:dyDescent="0.4">
      <c r="A971" s="2" t="s">
        <v>3408</v>
      </c>
      <c r="B971" t="str">
        <f>_xlfn.XLOOKUP(A971,'Grocery and sales Data'!$A$1:$A$991,'Grocery and sales Data'!$B$1:$B$991)</f>
        <v>Apple</v>
      </c>
      <c r="C971" t="str">
        <f>_xlfn.XLOOKUP(A971,'Grocery and sales Data'!$A$1:$A$991,'Grocery and sales Data'!$C$1:$C$991)</f>
        <v>Fruits &amp; Vegetables</v>
      </c>
      <c r="D971" s="9">
        <f>_xlfn.XLOOKUP(A971,'Grocery and sales Data'!$A$1:$A$991,'Grocery and sales Data'!$I$1:$I$991)</f>
        <v>3.5</v>
      </c>
      <c r="E971">
        <f>_xlfn.XLOOKUP(A971,'Grocery and sales Data'!$A$1:$A$991,'Grocery and sales Data'!$R$1:$R$991)</f>
        <v>231</v>
      </c>
      <c r="F971" t="str">
        <f t="shared" si="15"/>
        <v>Medium</v>
      </c>
    </row>
    <row r="972" spans="1:6" ht="16" x14ac:dyDescent="0.4">
      <c r="A972" s="2" t="s">
        <v>3411</v>
      </c>
      <c r="B972" t="str">
        <f>_xlfn.XLOOKUP(A972,'Grocery and sales Data'!$A$1:$A$991,'Grocery and sales Data'!$B$1:$B$991)</f>
        <v>Plum</v>
      </c>
      <c r="C972" t="str">
        <f>_xlfn.XLOOKUP(A972,'Grocery and sales Data'!$A$1:$A$991,'Grocery and sales Data'!$C$1:$C$991)</f>
        <v>Fruits &amp; Vegetables</v>
      </c>
      <c r="D972" s="9">
        <f>_xlfn.XLOOKUP(A972,'Grocery and sales Data'!$A$1:$A$991,'Grocery and sales Data'!$I$1:$I$991)</f>
        <v>4</v>
      </c>
      <c r="E972">
        <f>_xlfn.XLOOKUP(A972,'Grocery and sales Data'!$A$1:$A$991,'Grocery and sales Data'!$R$1:$R$991)</f>
        <v>280</v>
      </c>
      <c r="F972" t="str">
        <f t="shared" si="15"/>
        <v>Medium</v>
      </c>
    </row>
    <row r="973" spans="1:6" ht="16" x14ac:dyDescent="0.4">
      <c r="A973" s="2" t="s">
        <v>3414</v>
      </c>
      <c r="B973" t="str">
        <f>_xlfn.XLOOKUP(A973,'Grocery and sales Data'!$A$1:$A$991,'Grocery and sales Data'!$B$1:$B$991)</f>
        <v>Peas</v>
      </c>
      <c r="C973" t="str">
        <f>_xlfn.XLOOKUP(A973,'Grocery and sales Data'!$A$1:$A$991,'Grocery and sales Data'!$C$1:$C$991)</f>
        <v>Fruits &amp; Vegetables</v>
      </c>
      <c r="D973" s="9">
        <f>_xlfn.XLOOKUP(A973,'Grocery and sales Data'!$A$1:$A$991,'Grocery and sales Data'!$I$1:$I$991)</f>
        <v>3</v>
      </c>
      <c r="E973">
        <f>_xlfn.XLOOKUP(A973,'Grocery and sales Data'!$A$1:$A$991,'Grocery and sales Data'!$R$1:$R$991)</f>
        <v>258</v>
      </c>
      <c r="F973" t="str">
        <f t="shared" si="15"/>
        <v>Medium</v>
      </c>
    </row>
    <row r="974" spans="1:6" ht="16" x14ac:dyDescent="0.4">
      <c r="A974" s="2" t="s">
        <v>3417</v>
      </c>
      <c r="B974" t="str">
        <f>_xlfn.XLOOKUP(A974,'Grocery and sales Data'!$A$1:$A$991,'Grocery and sales Data'!$B$1:$B$991)</f>
        <v>Cheddar Cheese</v>
      </c>
      <c r="C974" t="str">
        <f>_xlfn.XLOOKUP(A974,'Grocery and sales Data'!$A$1:$A$991,'Grocery and sales Data'!$C$1:$C$991)</f>
        <v>Dairy</v>
      </c>
      <c r="D974" s="9">
        <f>_xlfn.XLOOKUP(A974,'Grocery and sales Data'!$A$1:$A$991,'Grocery and sales Data'!$I$1:$I$991)</f>
        <v>9</v>
      </c>
      <c r="E974">
        <f>_xlfn.XLOOKUP(A974,'Grocery and sales Data'!$A$1:$A$991,'Grocery and sales Data'!$R$1:$R$991)</f>
        <v>270</v>
      </c>
      <c r="F974" t="str">
        <f t="shared" si="15"/>
        <v>Medium</v>
      </c>
    </row>
    <row r="975" spans="1:6" ht="16" x14ac:dyDescent="0.4">
      <c r="A975" s="2" t="s">
        <v>3420</v>
      </c>
      <c r="B975" t="str">
        <f>_xlfn.XLOOKUP(A975,'Grocery and sales Data'!$A$1:$A$991,'Grocery and sales Data'!$B$1:$B$991)</f>
        <v>Halibut</v>
      </c>
      <c r="C975" t="str">
        <f>_xlfn.XLOOKUP(A975,'Grocery and sales Data'!$A$1:$A$991,'Grocery and sales Data'!$C$1:$C$991)</f>
        <v>Seafood</v>
      </c>
      <c r="D975" s="9">
        <f>_xlfn.XLOOKUP(A975,'Grocery and sales Data'!$A$1:$A$991,'Grocery and sales Data'!$I$1:$I$991)</f>
        <v>20</v>
      </c>
      <c r="E975">
        <f>_xlfn.XLOOKUP(A975,'Grocery and sales Data'!$A$1:$A$991,'Grocery and sales Data'!$R$1:$R$991)</f>
        <v>1420</v>
      </c>
      <c r="F975" t="str">
        <f t="shared" si="15"/>
        <v>High</v>
      </c>
    </row>
    <row r="976" spans="1:6" ht="16" x14ac:dyDescent="0.4">
      <c r="A976" s="2" t="s">
        <v>3423</v>
      </c>
      <c r="B976" t="str">
        <f>_xlfn.XLOOKUP(A976,'Grocery and sales Data'!$A$1:$A$991,'Grocery and sales Data'!$B$1:$B$991)</f>
        <v>White Sugar</v>
      </c>
      <c r="C976" t="str">
        <f>_xlfn.XLOOKUP(A976,'Grocery and sales Data'!$A$1:$A$991,'Grocery and sales Data'!$C$1:$C$991)</f>
        <v>Grains &amp; Pulses</v>
      </c>
      <c r="D976" s="9">
        <f>_xlfn.XLOOKUP(A976,'Grocery and sales Data'!$A$1:$A$991,'Grocery and sales Data'!$I$1:$I$991)</f>
        <v>2</v>
      </c>
      <c r="E976">
        <f>_xlfn.XLOOKUP(A976,'Grocery and sales Data'!$A$1:$A$991,'Grocery and sales Data'!$R$1:$R$991)</f>
        <v>104</v>
      </c>
      <c r="F976" t="str">
        <f t="shared" si="15"/>
        <v>Medium</v>
      </c>
    </row>
    <row r="977" spans="1:6" ht="16" x14ac:dyDescent="0.4">
      <c r="A977" s="2" t="s">
        <v>3426</v>
      </c>
      <c r="B977" t="str">
        <f>_xlfn.XLOOKUP(A977,'Grocery and sales Data'!$A$1:$A$991,'Grocery and sales Data'!$B$1:$B$991)</f>
        <v>Eggplant</v>
      </c>
      <c r="C977" t="str">
        <f>_xlfn.XLOOKUP(A977,'Grocery and sales Data'!$A$1:$A$991,'Grocery and sales Data'!$C$1:$C$991)</f>
        <v>Fruits &amp; Vegetables</v>
      </c>
      <c r="D977" s="9">
        <f>_xlfn.XLOOKUP(A977,'Grocery and sales Data'!$A$1:$A$991,'Grocery and sales Data'!$I$1:$I$991)</f>
        <v>3</v>
      </c>
      <c r="E977">
        <f>_xlfn.XLOOKUP(A977,'Grocery and sales Data'!$A$1:$A$991,'Grocery and sales Data'!$R$1:$R$991)</f>
        <v>66</v>
      </c>
      <c r="F977" t="str">
        <f t="shared" si="15"/>
        <v>Low</v>
      </c>
    </row>
    <row r="978" spans="1:6" ht="16" x14ac:dyDescent="0.4">
      <c r="A978" s="2" t="s">
        <v>3429</v>
      </c>
      <c r="B978" t="str">
        <f>_xlfn.XLOOKUP(A978,'Grocery and sales Data'!$A$1:$A$991,'Grocery and sales Data'!$B$1:$B$991)</f>
        <v>Green Tea</v>
      </c>
      <c r="C978" t="str">
        <f>_xlfn.XLOOKUP(A978,'Grocery and sales Data'!$A$1:$A$991,'Grocery and sales Data'!$C$1:$C$991)</f>
        <v>Beverages</v>
      </c>
      <c r="D978" s="9">
        <f>_xlfn.XLOOKUP(A978,'Grocery and sales Data'!$A$1:$A$991,'Grocery and sales Data'!$I$1:$I$991)</f>
        <v>8</v>
      </c>
      <c r="E978">
        <f>_xlfn.XLOOKUP(A978,'Grocery and sales Data'!$A$1:$A$991,'Grocery and sales Data'!$R$1:$R$991)</f>
        <v>200</v>
      </c>
      <c r="F978" t="str">
        <f t="shared" si="15"/>
        <v>Medium</v>
      </c>
    </row>
    <row r="979" spans="1:6" ht="16" x14ac:dyDescent="0.4">
      <c r="A979" s="2" t="s">
        <v>3432</v>
      </c>
      <c r="B979" t="str">
        <f>_xlfn.XLOOKUP(A979,'Grocery and sales Data'!$A$1:$A$991,'Grocery and sales Data'!$B$1:$B$991)</f>
        <v>Lime</v>
      </c>
      <c r="C979" t="str">
        <f>_xlfn.XLOOKUP(A979,'Grocery and sales Data'!$A$1:$A$991,'Grocery and sales Data'!$C$1:$C$991)</f>
        <v>Fruits &amp; Vegetables</v>
      </c>
      <c r="D979" s="9">
        <f>_xlfn.XLOOKUP(A979,'Grocery and sales Data'!$A$1:$A$991,'Grocery and sales Data'!$I$1:$I$991)</f>
        <v>1.9</v>
      </c>
      <c r="E979">
        <f>_xlfn.XLOOKUP(A979,'Grocery and sales Data'!$A$1:$A$991,'Grocery and sales Data'!$R$1:$R$991)</f>
        <v>190</v>
      </c>
      <c r="F979" t="str">
        <f t="shared" si="15"/>
        <v>Medium</v>
      </c>
    </row>
    <row r="980" spans="1:6" ht="16" x14ac:dyDescent="0.4">
      <c r="A980" s="2" t="s">
        <v>3435</v>
      </c>
      <c r="B980" t="str">
        <f>_xlfn.XLOOKUP(A980,'Grocery and sales Data'!$A$1:$A$991,'Grocery and sales Data'!$B$1:$B$991)</f>
        <v>Avocado Oil</v>
      </c>
      <c r="C980" t="str">
        <f>_xlfn.XLOOKUP(A980,'Grocery and sales Data'!$A$1:$A$991,'Grocery and sales Data'!$C$1:$C$991)</f>
        <v>Oils &amp; Fats</v>
      </c>
      <c r="D980" s="9">
        <f>_xlfn.XLOOKUP(A980,'Grocery and sales Data'!$A$1:$A$991,'Grocery and sales Data'!$I$1:$I$991)</f>
        <v>10</v>
      </c>
      <c r="E980">
        <f>_xlfn.XLOOKUP(A980,'Grocery and sales Data'!$A$1:$A$991,'Grocery and sales Data'!$R$1:$R$991)</f>
        <v>990</v>
      </c>
      <c r="F980" t="str">
        <f t="shared" si="15"/>
        <v>Medium</v>
      </c>
    </row>
    <row r="981" spans="1:6" ht="16" x14ac:dyDescent="0.4">
      <c r="A981" s="2" t="s">
        <v>3438</v>
      </c>
      <c r="B981" t="str">
        <f>_xlfn.XLOOKUP(A981,'Grocery and sales Data'!$A$1:$A$991,'Grocery and sales Data'!$B$1:$B$991)</f>
        <v>Tilapia</v>
      </c>
      <c r="C981" t="str">
        <f>_xlfn.XLOOKUP(A981,'Grocery and sales Data'!$A$1:$A$991,'Grocery and sales Data'!$C$1:$C$991)</f>
        <v>Seafood</v>
      </c>
      <c r="D981" s="9">
        <f>_xlfn.XLOOKUP(A981,'Grocery and sales Data'!$A$1:$A$991,'Grocery and sales Data'!$I$1:$I$991)</f>
        <v>7</v>
      </c>
      <c r="E981">
        <f>_xlfn.XLOOKUP(A981,'Grocery and sales Data'!$A$1:$A$991,'Grocery and sales Data'!$R$1:$R$991)</f>
        <v>595</v>
      </c>
      <c r="F981" t="str">
        <f t="shared" si="15"/>
        <v>Medium</v>
      </c>
    </row>
    <row r="982" spans="1:6" ht="16" x14ac:dyDescent="0.4">
      <c r="A982" s="2" t="s">
        <v>3441</v>
      </c>
      <c r="B982" t="str">
        <f>_xlfn.XLOOKUP(A982,'Grocery and sales Data'!$A$1:$A$991,'Grocery and sales Data'!$B$1:$B$991)</f>
        <v>Jasmine Rice</v>
      </c>
      <c r="C982" t="str">
        <f>_xlfn.XLOOKUP(A982,'Grocery and sales Data'!$A$1:$A$991,'Grocery and sales Data'!$C$1:$C$991)</f>
        <v>Grains &amp; Pulses</v>
      </c>
      <c r="D982" s="9">
        <f>_xlfn.XLOOKUP(A982,'Grocery and sales Data'!$A$1:$A$991,'Grocery and sales Data'!$I$1:$I$991)</f>
        <v>4.75</v>
      </c>
      <c r="E982">
        <f>_xlfn.XLOOKUP(A982,'Grocery and sales Data'!$A$1:$A$991,'Grocery and sales Data'!$R$1:$R$991)</f>
        <v>147.25</v>
      </c>
      <c r="F982" t="str">
        <f t="shared" si="15"/>
        <v>Medium</v>
      </c>
    </row>
    <row r="983" spans="1:6" ht="16" x14ac:dyDescent="0.4">
      <c r="A983" s="2" t="s">
        <v>3444</v>
      </c>
      <c r="B983" t="str">
        <f>_xlfn.XLOOKUP(A983,'Grocery and sales Data'!$A$1:$A$991,'Grocery and sales Data'!$B$1:$B$991)</f>
        <v>Basmati Rice</v>
      </c>
      <c r="C983" t="str">
        <f>_xlfn.XLOOKUP(A983,'Grocery and sales Data'!$A$1:$A$991,'Grocery and sales Data'!$C$1:$C$991)</f>
        <v>Grains &amp; Pulses</v>
      </c>
      <c r="D983" s="9">
        <f>_xlfn.XLOOKUP(A983,'Grocery and sales Data'!$A$1:$A$991,'Grocery and sales Data'!$I$1:$I$991)</f>
        <v>4.5</v>
      </c>
      <c r="E983">
        <f>_xlfn.XLOOKUP(A983,'Grocery and sales Data'!$A$1:$A$991,'Grocery and sales Data'!$R$1:$R$991)</f>
        <v>270</v>
      </c>
      <c r="F983" t="str">
        <f t="shared" si="15"/>
        <v>Medium</v>
      </c>
    </row>
    <row r="984" spans="1:6" ht="16" x14ac:dyDescent="0.4">
      <c r="A984" s="2" t="s">
        <v>3447</v>
      </c>
      <c r="B984" t="str">
        <f>_xlfn.XLOOKUP(A984,'Grocery and sales Data'!$A$1:$A$991,'Grocery and sales Data'!$B$1:$B$991)</f>
        <v>Parmesan Cheese</v>
      </c>
      <c r="C984" t="str">
        <f>_xlfn.XLOOKUP(A984,'Grocery and sales Data'!$A$1:$A$991,'Grocery and sales Data'!$C$1:$C$991)</f>
        <v>Dairy</v>
      </c>
      <c r="D984" s="9">
        <f>_xlfn.XLOOKUP(A984,'Grocery and sales Data'!$A$1:$A$991,'Grocery and sales Data'!$I$1:$I$991)</f>
        <v>12</v>
      </c>
      <c r="E984">
        <f>_xlfn.XLOOKUP(A984,'Grocery and sales Data'!$A$1:$A$991,'Grocery and sales Data'!$R$1:$R$991)</f>
        <v>420</v>
      </c>
      <c r="F984" t="str">
        <f t="shared" si="15"/>
        <v>Medium</v>
      </c>
    </row>
    <row r="985" spans="1:6" ht="16" x14ac:dyDescent="0.4">
      <c r="A985" s="2" t="s">
        <v>3450</v>
      </c>
      <c r="B985" t="str">
        <f>_xlfn.XLOOKUP(A985,'Grocery and sales Data'!$A$1:$A$991,'Grocery and sales Data'!$B$1:$B$991)</f>
        <v>Powdered Sugar</v>
      </c>
      <c r="C985" t="str">
        <f>_xlfn.XLOOKUP(A985,'Grocery and sales Data'!$A$1:$A$991,'Grocery and sales Data'!$C$1:$C$991)</f>
        <v>Grains &amp; Pulses</v>
      </c>
      <c r="D985" s="9">
        <f>_xlfn.XLOOKUP(A985,'Grocery and sales Data'!$A$1:$A$991,'Grocery and sales Data'!$I$1:$I$991)</f>
        <v>2.4</v>
      </c>
      <c r="E985">
        <f>_xlfn.XLOOKUP(A985,'Grocery and sales Data'!$A$1:$A$991,'Grocery and sales Data'!$R$1:$R$991)</f>
        <v>228</v>
      </c>
      <c r="F985" t="str">
        <f t="shared" si="15"/>
        <v>Medium</v>
      </c>
    </row>
    <row r="986" spans="1:6" ht="16" x14ac:dyDescent="0.4">
      <c r="A986" s="2" t="s">
        <v>3453</v>
      </c>
      <c r="B986" t="str">
        <f>_xlfn.XLOOKUP(A986,'Grocery and sales Data'!$A$1:$A$991,'Grocery and sales Data'!$B$1:$B$991)</f>
        <v>Sourdough Bread</v>
      </c>
      <c r="C986" t="str">
        <f>_xlfn.XLOOKUP(A986,'Grocery and sales Data'!$A$1:$A$991,'Grocery and sales Data'!$C$1:$C$991)</f>
        <v>Bakery</v>
      </c>
      <c r="D986" s="9">
        <f>_xlfn.XLOOKUP(A986,'Grocery and sales Data'!$A$1:$A$991,'Grocery and sales Data'!$I$1:$I$991)</f>
        <v>4.5</v>
      </c>
      <c r="E986">
        <f>_xlfn.XLOOKUP(A986,'Grocery and sales Data'!$A$1:$A$991,'Grocery and sales Data'!$R$1:$R$991)</f>
        <v>243</v>
      </c>
      <c r="F986" t="str">
        <f t="shared" si="15"/>
        <v>Medium</v>
      </c>
    </row>
    <row r="987" spans="1:6" ht="16" x14ac:dyDescent="0.4">
      <c r="A987" s="2" t="s">
        <v>3456</v>
      </c>
      <c r="B987" t="str">
        <f>_xlfn.XLOOKUP(A987,'Grocery and sales Data'!$A$1:$A$991,'Grocery and sales Data'!$B$1:$B$991)</f>
        <v>Spinach</v>
      </c>
      <c r="C987" t="str">
        <f>_xlfn.XLOOKUP(A987,'Grocery and sales Data'!$A$1:$A$991,'Grocery and sales Data'!$C$1:$C$991)</f>
        <v>Fruits &amp; Vegetables</v>
      </c>
      <c r="D987" s="9">
        <f>_xlfn.XLOOKUP(A987,'Grocery and sales Data'!$A$1:$A$991,'Grocery and sales Data'!$I$1:$I$991)</f>
        <v>2.5</v>
      </c>
      <c r="E987">
        <f>_xlfn.XLOOKUP(A987,'Grocery and sales Data'!$A$1:$A$991,'Grocery and sales Data'!$R$1:$R$991)</f>
        <v>145</v>
      </c>
      <c r="F987" t="str">
        <f t="shared" si="15"/>
        <v>Medium</v>
      </c>
    </row>
    <row r="988" spans="1:6" ht="16" x14ac:dyDescent="0.4">
      <c r="A988" s="2" t="s">
        <v>3459</v>
      </c>
      <c r="B988" t="str">
        <f>_xlfn.XLOOKUP(A988,'Grocery and sales Data'!$A$1:$A$991,'Grocery and sales Data'!$B$1:$B$991)</f>
        <v>Cheddar Cheese</v>
      </c>
      <c r="C988" t="str">
        <f>_xlfn.XLOOKUP(A988,'Grocery and sales Data'!$A$1:$A$991,'Grocery and sales Data'!$C$1:$C$991)</f>
        <v>Dairy</v>
      </c>
      <c r="D988" s="9">
        <f>_xlfn.XLOOKUP(A988,'Grocery and sales Data'!$A$1:$A$991,'Grocery and sales Data'!$I$1:$I$991)</f>
        <v>9</v>
      </c>
      <c r="E988">
        <f>_xlfn.XLOOKUP(A988,'Grocery and sales Data'!$A$1:$A$991,'Grocery and sales Data'!$R$1:$R$991)</f>
        <v>855</v>
      </c>
      <c r="F988" t="str">
        <f t="shared" si="15"/>
        <v>Medium</v>
      </c>
    </row>
    <row r="989" spans="1:6" ht="16" x14ac:dyDescent="0.4">
      <c r="A989" s="2" t="s">
        <v>3463</v>
      </c>
      <c r="B989" t="str">
        <f>_xlfn.XLOOKUP(A989,'Grocery and sales Data'!$A$1:$A$991,'Grocery and sales Data'!$B$1:$B$991)</f>
        <v>Cabbage</v>
      </c>
      <c r="C989" t="str">
        <f>_xlfn.XLOOKUP(A989,'Grocery and sales Data'!$A$1:$A$991,'Grocery and sales Data'!$C$1:$C$991)</f>
        <v>Fruits &amp; Vegetables</v>
      </c>
      <c r="D989" s="9">
        <f>_xlfn.XLOOKUP(A989,'Grocery and sales Data'!$A$1:$A$991,'Grocery and sales Data'!$I$1:$I$991)</f>
        <v>0.9</v>
      </c>
      <c r="E989">
        <f>_xlfn.XLOOKUP(A989,'Grocery and sales Data'!$A$1:$A$991,'Grocery and sales Data'!$R$1:$R$991)</f>
        <v>88.2</v>
      </c>
      <c r="F989" t="str">
        <f t="shared" si="15"/>
        <v>Low</v>
      </c>
    </row>
    <row r="990" spans="1:6" ht="16" x14ac:dyDescent="0.4">
      <c r="A990" s="2" t="s">
        <v>3466</v>
      </c>
      <c r="B990" t="str">
        <f>_xlfn.XLOOKUP(A990,'Grocery and sales Data'!$A$1:$A$991,'Grocery and sales Data'!$B$1:$B$991)</f>
        <v>Avocado Oil</v>
      </c>
      <c r="C990" t="str">
        <f>_xlfn.XLOOKUP(A990,'Grocery and sales Data'!$A$1:$A$991,'Grocery and sales Data'!$C$1:$C$991)</f>
        <v>Oils &amp; Fats</v>
      </c>
      <c r="D990" s="9">
        <f>_xlfn.XLOOKUP(A990,'Grocery and sales Data'!$A$1:$A$991,'Grocery and sales Data'!$I$1:$I$991)</f>
        <v>10</v>
      </c>
      <c r="E990">
        <f>_xlfn.XLOOKUP(A990,'Grocery and sales Data'!$A$1:$A$991,'Grocery and sales Data'!$R$1:$R$991)</f>
        <v>220</v>
      </c>
      <c r="F990" t="str">
        <f t="shared" si="15"/>
        <v>Medium</v>
      </c>
    </row>
    <row r="991" spans="1:6" ht="16" x14ac:dyDescent="0.4">
      <c r="A991" s="2" t="s">
        <v>3469</v>
      </c>
      <c r="B991" t="str">
        <f>_xlfn.XLOOKUP(A991,'Grocery and sales Data'!$A$1:$A$991,'Grocery and sales Data'!$B$1:$B$991)</f>
        <v>Papaya</v>
      </c>
      <c r="C991" t="str">
        <f>_xlfn.XLOOKUP(A991,'Grocery and sales Data'!$A$1:$A$991,'Grocery and sales Data'!$C$1:$C$991)</f>
        <v>Fruits &amp; Vegetables</v>
      </c>
      <c r="D991" s="9">
        <f>_xlfn.XLOOKUP(A991,'Grocery and sales Data'!$A$1:$A$991,'Grocery and sales Data'!$I$1:$I$991)</f>
        <v>4.5</v>
      </c>
      <c r="E991">
        <f>_xlfn.XLOOKUP(A991,'Grocery and sales Data'!$A$1:$A$991,'Grocery and sales Data'!$R$1:$R$991)</f>
        <v>409.5</v>
      </c>
      <c r="F991" t="str">
        <f t="shared" si="15"/>
        <v>Medium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1A93-AE49-4F9B-B743-D4CF0F69F8E3}">
  <dimension ref="A1:P991"/>
  <sheetViews>
    <sheetView workbookViewId="0">
      <selection activeCell="I3" sqref="I3"/>
    </sheetView>
  </sheetViews>
  <sheetFormatPr defaultRowHeight="14.5" x14ac:dyDescent="0.35"/>
  <cols>
    <col min="1" max="1" width="11.453125" bestFit="1" customWidth="1"/>
    <col min="2" max="2" width="17" bestFit="1" customWidth="1"/>
    <col min="3" max="3" width="11.08984375" bestFit="1" customWidth="1"/>
    <col min="4" max="4" width="7.81640625" bestFit="1" customWidth="1"/>
    <col min="5" max="5" width="11" bestFit="1" customWidth="1"/>
    <col min="7" max="7" width="16.1796875" bestFit="1" customWidth="1"/>
    <col min="8" max="8" width="11.81640625" bestFit="1" customWidth="1"/>
    <col min="9" max="9" width="16.1796875" bestFit="1" customWidth="1"/>
    <col min="10" max="10" width="11.81640625" bestFit="1" customWidth="1"/>
    <col min="11" max="11" width="16.1796875" bestFit="1" customWidth="1"/>
    <col min="12" max="12" width="11.81640625" bestFit="1" customWidth="1"/>
    <col min="13" max="13" width="16.1796875" bestFit="1" customWidth="1"/>
    <col min="14" max="14" width="11.81640625" bestFit="1" customWidth="1"/>
    <col min="15" max="15" width="16.1796875" bestFit="1" customWidth="1"/>
    <col min="16" max="16" width="12.453125" bestFit="1" customWidth="1"/>
  </cols>
  <sheetData>
    <row r="1" spans="1:16" x14ac:dyDescent="0.35">
      <c r="A1" s="22" t="s">
        <v>8</v>
      </c>
      <c r="B1" s="22" t="s">
        <v>9</v>
      </c>
      <c r="C1" s="22" t="s">
        <v>11</v>
      </c>
      <c r="D1" s="22" t="s">
        <v>17</v>
      </c>
      <c r="E1" s="22" t="s">
        <v>20</v>
      </c>
    </row>
    <row r="2" spans="1:16" x14ac:dyDescent="0.35">
      <c r="A2">
        <v>4.5</v>
      </c>
      <c r="B2">
        <v>99</v>
      </c>
      <c r="C2">
        <v>315</v>
      </c>
      <c r="D2">
        <v>144</v>
      </c>
      <c r="E2">
        <v>45</v>
      </c>
    </row>
    <row r="3" spans="1:16" x14ac:dyDescent="0.35">
      <c r="A3">
        <v>20</v>
      </c>
      <c r="B3">
        <v>900</v>
      </c>
      <c r="C3">
        <v>40</v>
      </c>
      <c r="D3">
        <v>1700</v>
      </c>
      <c r="E3">
        <v>800</v>
      </c>
    </row>
    <row r="4" spans="1:16" x14ac:dyDescent="0.35">
      <c r="A4">
        <v>6</v>
      </c>
      <c r="B4">
        <v>180</v>
      </c>
      <c r="C4">
        <v>498</v>
      </c>
      <c r="D4">
        <v>186</v>
      </c>
      <c r="E4">
        <v>6</v>
      </c>
      <c r="G4" s="20" t="s">
        <v>8</v>
      </c>
      <c r="H4" s="21"/>
      <c r="I4" s="20" t="s">
        <v>9</v>
      </c>
      <c r="J4" s="21"/>
      <c r="K4" s="20" t="s">
        <v>11</v>
      </c>
      <c r="L4" s="21"/>
      <c r="M4" s="20" t="s">
        <v>17</v>
      </c>
      <c r="N4" s="21"/>
      <c r="O4" s="20" t="s">
        <v>20</v>
      </c>
      <c r="P4" s="21"/>
    </row>
    <row r="5" spans="1:16" x14ac:dyDescent="0.35">
      <c r="A5">
        <v>1.5</v>
      </c>
      <c r="B5">
        <v>18</v>
      </c>
      <c r="C5">
        <v>93</v>
      </c>
      <c r="D5">
        <v>142.5</v>
      </c>
      <c r="E5">
        <v>124.5</v>
      </c>
      <c r="G5" s="15"/>
      <c r="H5" s="16"/>
      <c r="I5" s="15"/>
      <c r="J5" s="16"/>
      <c r="K5" s="15"/>
      <c r="L5" s="16"/>
      <c r="M5" s="15"/>
      <c r="N5" s="16"/>
      <c r="O5" s="14"/>
      <c r="P5" s="16"/>
    </row>
    <row r="6" spans="1:16" x14ac:dyDescent="0.35">
      <c r="A6">
        <v>4</v>
      </c>
      <c r="B6">
        <v>148</v>
      </c>
      <c r="C6">
        <v>296</v>
      </c>
      <c r="D6">
        <v>248</v>
      </c>
      <c r="E6">
        <v>100</v>
      </c>
      <c r="G6" s="15" t="s">
        <v>3589</v>
      </c>
      <c r="H6" s="16">
        <v>5.9241919191919186</v>
      </c>
      <c r="I6" s="15" t="s">
        <v>3589</v>
      </c>
      <c r="J6" s="16">
        <v>336.01485858585863</v>
      </c>
      <c r="K6" s="15" t="s">
        <v>3589</v>
      </c>
      <c r="L6" s="16">
        <v>308.57074747474729</v>
      </c>
      <c r="M6" s="15" t="s">
        <v>3589</v>
      </c>
      <c r="N6" s="16">
        <v>347.74680808080797</v>
      </c>
      <c r="O6" s="14" t="s">
        <v>3589</v>
      </c>
      <c r="P6" s="16">
        <v>11.731949494949504</v>
      </c>
    </row>
    <row r="7" spans="1:16" x14ac:dyDescent="0.35">
      <c r="A7">
        <v>1.75</v>
      </c>
      <c r="B7">
        <v>96.25</v>
      </c>
      <c r="C7">
        <v>24.5</v>
      </c>
      <c r="D7">
        <v>59.5</v>
      </c>
      <c r="E7">
        <v>-36.75</v>
      </c>
      <c r="G7" s="15" t="s">
        <v>3590</v>
      </c>
      <c r="H7" s="16">
        <v>0.20630643492755632</v>
      </c>
      <c r="I7" s="15" t="s">
        <v>3590</v>
      </c>
      <c r="J7" s="16">
        <v>13.838639182707064</v>
      </c>
      <c r="K7" s="15" t="s">
        <v>3590</v>
      </c>
      <c r="L7" s="16">
        <v>13.803152860553137</v>
      </c>
      <c r="M7" s="15" t="s">
        <v>3590</v>
      </c>
      <c r="N7" s="16">
        <v>13.025277383698207</v>
      </c>
      <c r="O7" s="14" t="s">
        <v>3590</v>
      </c>
      <c r="P7" s="16">
        <v>8.4917042970640608</v>
      </c>
    </row>
    <row r="8" spans="1:16" x14ac:dyDescent="0.35">
      <c r="A8">
        <v>2.5</v>
      </c>
      <c r="B8">
        <v>240</v>
      </c>
      <c r="C8">
        <v>40</v>
      </c>
      <c r="D8">
        <v>167.5</v>
      </c>
      <c r="E8">
        <v>-72.5</v>
      </c>
      <c r="G8" s="15" t="s">
        <v>3591</v>
      </c>
      <c r="H8" s="16">
        <v>4.2249999999999996</v>
      </c>
      <c r="I8" s="15" t="s">
        <v>3591</v>
      </c>
      <c r="J8" s="16">
        <v>209</v>
      </c>
      <c r="K8" s="15" t="s">
        <v>3591</v>
      </c>
      <c r="L8" s="16">
        <v>182.45</v>
      </c>
      <c r="M8" s="15" t="s">
        <v>3591</v>
      </c>
      <c r="N8" s="16">
        <v>231</v>
      </c>
      <c r="O8" s="14" t="s">
        <v>3591</v>
      </c>
      <c r="P8" s="16">
        <v>9</v>
      </c>
    </row>
    <row r="9" spans="1:16" x14ac:dyDescent="0.35">
      <c r="A9">
        <v>2.5</v>
      </c>
      <c r="B9">
        <v>110</v>
      </c>
      <c r="C9">
        <v>42.5</v>
      </c>
      <c r="D9">
        <v>52.5</v>
      </c>
      <c r="E9">
        <v>-57.5</v>
      </c>
      <c r="G9" s="15" t="s">
        <v>3592</v>
      </c>
      <c r="H9" s="16">
        <v>2.5</v>
      </c>
      <c r="I9" s="15" t="s">
        <v>3592</v>
      </c>
      <c r="J9" s="16">
        <v>160</v>
      </c>
      <c r="K9" s="15" t="s">
        <v>3592</v>
      </c>
      <c r="L9" s="16">
        <v>90</v>
      </c>
      <c r="M9" s="15" t="s">
        <v>3592</v>
      </c>
      <c r="N9" s="16">
        <v>120</v>
      </c>
      <c r="O9" s="14" t="s">
        <v>3592</v>
      </c>
      <c r="P9" s="16">
        <v>0</v>
      </c>
    </row>
    <row r="10" spans="1:16" x14ac:dyDescent="0.35">
      <c r="A10">
        <v>3</v>
      </c>
      <c r="B10">
        <v>273</v>
      </c>
      <c r="C10">
        <v>33</v>
      </c>
      <c r="D10">
        <v>168</v>
      </c>
      <c r="E10">
        <v>-105</v>
      </c>
      <c r="G10" s="15" t="s">
        <v>3593</v>
      </c>
      <c r="H10" s="16">
        <v>6.49128043159382</v>
      </c>
      <c r="I10" s="15" t="s">
        <v>3593</v>
      </c>
      <c r="J10" s="16">
        <v>435.42261664371972</v>
      </c>
      <c r="K10" s="15" t="s">
        <v>3593</v>
      </c>
      <c r="L10" s="16">
        <v>434.30606558379804</v>
      </c>
      <c r="M10" s="15" t="s">
        <v>3593</v>
      </c>
      <c r="N10" s="16">
        <v>409.83078509679723</v>
      </c>
      <c r="O10" s="14" t="s">
        <v>3593</v>
      </c>
      <c r="P10" s="16">
        <v>267.18523808415853</v>
      </c>
    </row>
    <row r="11" spans="1:16" x14ac:dyDescent="0.35">
      <c r="A11">
        <v>1</v>
      </c>
      <c r="B11">
        <v>43</v>
      </c>
      <c r="C11">
        <v>15</v>
      </c>
      <c r="D11">
        <v>27</v>
      </c>
      <c r="E11">
        <v>-16</v>
      </c>
      <c r="G11" s="15" t="s">
        <v>3594</v>
      </c>
      <c r="H11" s="16">
        <v>42.13672164159285</v>
      </c>
      <c r="I11" s="15" t="s">
        <v>3594</v>
      </c>
      <c r="J11" s="16">
        <v>189592.85508486372</v>
      </c>
      <c r="K11" s="15" t="s">
        <v>3594</v>
      </c>
      <c r="L11" s="16">
        <v>188621.75860287831</v>
      </c>
      <c r="M11" s="15" t="s">
        <v>3594</v>
      </c>
      <c r="N11" s="16">
        <v>167961.27241305719</v>
      </c>
      <c r="O11" s="14" t="s">
        <v>3594</v>
      </c>
      <c r="P11" s="16">
        <v>71387.951450088483</v>
      </c>
    </row>
    <row r="12" spans="1:16" x14ac:dyDescent="0.35">
      <c r="A12">
        <v>1.6</v>
      </c>
      <c r="B12">
        <v>99.2</v>
      </c>
      <c r="C12">
        <v>145.6</v>
      </c>
      <c r="D12">
        <v>160</v>
      </c>
      <c r="E12">
        <v>60.8</v>
      </c>
      <c r="G12" s="15" t="s">
        <v>3595</v>
      </c>
      <c r="H12" s="16">
        <v>55.967576625998433</v>
      </c>
      <c r="I12" s="15" t="s">
        <v>3595</v>
      </c>
      <c r="J12" s="16">
        <v>46.970161962574458</v>
      </c>
      <c r="K12" s="15" t="s">
        <v>3595</v>
      </c>
      <c r="L12" s="16">
        <v>50.307415901348804</v>
      </c>
      <c r="M12" s="15" t="s">
        <v>3595</v>
      </c>
      <c r="N12" s="16">
        <v>32.727838158449885</v>
      </c>
      <c r="O12" s="14" t="s">
        <v>3595</v>
      </c>
      <c r="P12" s="16">
        <v>13.684948286301536</v>
      </c>
    </row>
    <row r="13" spans="1:16" x14ac:dyDescent="0.35">
      <c r="A13">
        <v>2</v>
      </c>
      <c r="B13">
        <v>182</v>
      </c>
      <c r="C13">
        <v>12</v>
      </c>
      <c r="D13">
        <v>200</v>
      </c>
      <c r="E13">
        <v>18</v>
      </c>
      <c r="G13" s="15" t="s">
        <v>3596</v>
      </c>
      <c r="H13" s="16">
        <v>5.5982512019228503</v>
      </c>
      <c r="I13" s="15" t="s">
        <v>3596</v>
      </c>
      <c r="J13" s="16">
        <v>5.3524518206031306</v>
      </c>
      <c r="K13" s="15" t="s">
        <v>3596</v>
      </c>
      <c r="L13" s="16">
        <v>5.5501779259594057</v>
      </c>
      <c r="M13" s="15" t="s">
        <v>3596</v>
      </c>
      <c r="N13" s="16">
        <v>4.5062672558035022</v>
      </c>
      <c r="O13" s="14" t="s">
        <v>3596</v>
      </c>
      <c r="P13" s="16">
        <v>-0.75196740830864617</v>
      </c>
    </row>
    <row r="14" spans="1:16" x14ac:dyDescent="0.35">
      <c r="A14">
        <v>3</v>
      </c>
      <c r="B14">
        <v>78</v>
      </c>
      <c r="C14">
        <v>93</v>
      </c>
      <c r="D14">
        <v>141</v>
      </c>
      <c r="E14">
        <v>63</v>
      </c>
      <c r="G14" s="15" t="s">
        <v>3597</v>
      </c>
      <c r="H14" s="16">
        <v>98.23</v>
      </c>
      <c r="I14" s="15" t="s">
        <v>3597</v>
      </c>
      <c r="J14" s="16">
        <v>5510.08</v>
      </c>
      <c r="K14" s="15" t="s">
        <v>3597</v>
      </c>
      <c r="L14" s="16">
        <v>5806.9700000000012</v>
      </c>
      <c r="M14" s="15" t="s">
        <v>3597</v>
      </c>
      <c r="N14" s="16">
        <v>4701.04</v>
      </c>
      <c r="O14" s="14" t="s">
        <v>3597</v>
      </c>
      <c r="P14" s="16">
        <v>3731.2500000000005</v>
      </c>
    </row>
    <row r="15" spans="1:16" x14ac:dyDescent="0.35">
      <c r="A15">
        <v>4</v>
      </c>
      <c r="B15">
        <v>380</v>
      </c>
      <c r="C15">
        <v>304</v>
      </c>
      <c r="D15">
        <v>276</v>
      </c>
      <c r="E15">
        <v>-104</v>
      </c>
      <c r="G15" s="15" t="s">
        <v>3598</v>
      </c>
      <c r="H15" s="16">
        <v>0.2</v>
      </c>
      <c r="I15" s="15" t="s">
        <v>3598</v>
      </c>
      <c r="J15" s="16">
        <v>2</v>
      </c>
      <c r="K15" s="15" t="s">
        <v>3598</v>
      </c>
      <c r="L15" s="16">
        <v>0.4</v>
      </c>
      <c r="M15" s="15" t="s">
        <v>3598</v>
      </c>
      <c r="N15" s="16">
        <v>6.6000000000000005</v>
      </c>
      <c r="O15" s="14" t="s">
        <v>3598</v>
      </c>
      <c r="P15" s="16">
        <v>-2196.15</v>
      </c>
    </row>
    <row r="16" spans="1:16" x14ac:dyDescent="0.35">
      <c r="A16">
        <v>6</v>
      </c>
      <c r="B16">
        <v>324</v>
      </c>
      <c r="C16">
        <v>96</v>
      </c>
      <c r="D16">
        <v>378</v>
      </c>
      <c r="E16">
        <v>54</v>
      </c>
      <c r="G16" s="15" t="s">
        <v>3599</v>
      </c>
      <c r="H16" s="16">
        <v>98.43</v>
      </c>
      <c r="I16" s="15" t="s">
        <v>3599</v>
      </c>
      <c r="J16" s="16">
        <v>5512.08</v>
      </c>
      <c r="K16" s="15" t="s">
        <v>3599</v>
      </c>
      <c r="L16" s="16">
        <v>5807.3700000000008</v>
      </c>
      <c r="M16" s="15" t="s">
        <v>3599</v>
      </c>
      <c r="N16" s="16">
        <v>4707.6400000000003</v>
      </c>
      <c r="O16" s="14" t="s">
        <v>3599</v>
      </c>
      <c r="P16" s="16">
        <v>1535.1000000000004</v>
      </c>
    </row>
    <row r="17" spans="1:16" x14ac:dyDescent="0.35">
      <c r="A17">
        <v>7</v>
      </c>
      <c r="B17">
        <v>658</v>
      </c>
      <c r="C17">
        <v>105</v>
      </c>
      <c r="D17">
        <v>140</v>
      </c>
      <c r="E17">
        <v>-518</v>
      </c>
      <c r="G17" s="15" t="s">
        <v>3600</v>
      </c>
      <c r="H17" s="16">
        <v>5864.95</v>
      </c>
      <c r="I17" s="15" t="s">
        <v>3600</v>
      </c>
      <c r="J17" s="16">
        <v>332654.71000000002</v>
      </c>
      <c r="K17" s="15" t="s">
        <v>3600</v>
      </c>
      <c r="L17" s="16">
        <v>305485.0399999998</v>
      </c>
      <c r="M17" s="15" t="s">
        <v>3600</v>
      </c>
      <c r="N17" s="16">
        <v>344269.33999999991</v>
      </c>
      <c r="O17" s="14" t="s">
        <v>3600</v>
      </c>
      <c r="P17" s="16">
        <v>11614.630000000008</v>
      </c>
    </row>
    <row r="18" spans="1:16" x14ac:dyDescent="0.35">
      <c r="A18">
        <v>1.5</v>
      </c>
      <c r="B18">
        <v>40.5</v>
      </c>
      <c r="C18">
        <v>132</v>
      </c>
      <c r="D18">
        <v>99</v>
      </c>
      <c r="E18">
        <v>58.5</v>
      </c>
      <c r="G18" s="17" t="s">
        <v>3601</v>
      </c>
      <c r="H18" s="19">
        <v>990</v>
      </c>
      <c r="I18" s="17" t="s">
        <v>3601</v>
      </c>
      <c r="J18" s="19">
        <v>990</v>
      </c>
      <c r="K18" s="17" t="s">
        <v>3601</v>
      </c>
      <c r="L18" s="19">
        <v>990</v>
      </c>
      <c r="M18" s="17" t="s">
        <v>3601</v>
      </c>
      <c r="N18" s="19">
        <v>990</v>
      </c>
      <c r="O18" s="18" t="s">
        <v>3601</v>
      </c>
      <c r="P18" s="19">
        <v>990</v>
      </c>
    </row>
    <row r="19" spans="1:16" x14ac:dyDescent="0.35">
      <c r="A19">
        <v>8</v>
      </c>
      <c r="B19">
        <v>392</v>
      </c>
      <c r="C19">
        <v>208</v>
      </c>
      <c r="D19">
        <v>624</v>
      </c>
      <c r="E19">
        <v>232</v>
      </c>
    </row>
    <row r="20" spans="1:16" x14ac:dyDescent="0.35">
      <c r="A20">
        <v>20</v>
      </c>
      <c r="B20">
        <v>1100</v>
      </c>
      <c r="C20">
        <v>1680</v>
      </c>
      <c r="D20">
        <v>920</v>
      </c>
      <c r="E20">
        <v>-180</v>
      </c>
    </row>
    <row r="21" spans="1:16" x14ac:dyDescent="0.35">
      <c r="A21">
        <v>2</v>
      </c>
      <c r="B21">
        <v>130</v>
      </c>
      <c r="C21">
        <v>164</v>
      </c>
      <c r="D21">
        <v>58</v>
      </c>
      <c r="E21">
        <v>-72</v>
      </c>
    </row>
    <row r="22" spans="1:16" x14ac:dyDescent="0.35">
      <c r="A22">
        <v>2.5</v>
      </c>
      <c r="B22">
        <v>180</v>
      </c>
      <c r="C22">
        <v>247.5</v>
      </c>
      <c r="D22">
        <v>205</v>
      </c>
      <c r="E22">
        <v>25</v>
      </c>
    </row>
    <row r="23" spans="1:16" x14ac:dyDescent="0.35">
      <c r="A23">
        <v>12</v>
      </c>
      <c r="B23">
        <v>588</v>
      </c>
      <c r="C23">
        <v>576</v>
      </c>
      <c r="D23">
        <v>624</v>
      </c>
      <c r="E23">
        <v>36</v>
      </c>
    </row>
    <row r="24" spans="1:16" x14ac:dyDescent="0.35">
      <c r="A24">
        <v>2</v>
      </c>
      <c r="B24">
        <v>162</v>
      </c>
      <c r="C24">
        <v>56</v>
      </c>
      <c r="D24">
        <v>40</v>
      </c>
      <c r="E24">
        <v>-122</v>
      </c>
    </row>
    <row r="25" spans="1:16" x14ac:dyDescent="0.35">
      <c r="A25">
        <v>1</v>
      </c>
      <c r="B25">
        <v>88</v>
      </c>
      <c r="C25">
        <v>55</v>
      </c>
      <c r="D25">
        <v>73</v>
      </c>
      <c r="E25">
        <v>-15</v>
      </c>
    </row>
    <row r="26" spans="1:16" x14ac:dyDescent="0.35">
      <c r="A26">
        <v>12</v>
      </c>
      <c r="B26">
        <v>756</v>
      </c>
      <c r="C26">
        <v>1020</v>
      </c>
      <c r="D26">
        <v>708</v>
      </c>
      <c r="E26">
        <v>-48</v>
      </c>
    </row>
    <row r="27" spans="1:16" x14ac:dyDescent="0.35">
      <c r="A27">
        <v>1.5</v>
      </c>
      <c r="B27">
        <v>46.5</v>
      </c>
      <c r="C27">
        <v>120</v>
      </c>
      <c r="D27">
        <v>69</v>
      </c>
      <c r="E27">
        <v>22.5</v>
      </c>
    </row>
    <row r="28" spans="1:16" x14ac:dyDescent="0.35">
      <c r="A28">
        <v>0.8</v>
      </c>
      <c r="B28">
        <v>77.600000000000009</v>
      </c>
      <c r="C28">
        <v>64.8</v>
      </c>
      <c r="D28">
        <v>77.600000000000009</v>
      </c>
      <c r="E28">
        <v>0</v>
      </c>
    </row>
    <row r="29" spans="1:16" x14ac:dyDescent="0.35">
      <c r="A29">
        <v>6</v>
      </c>
      <c r="B29">
        <v>432</v>
      </c>
      <c r="C29">
        <v>234</v>
      </c>
      <c r="D29">
        <v>564</v>
      </c>
      <c r="E29">
        <v>132</v>
      </c>
    </row>
    <row r="30" spans="1:16" x14ac:dyDescent="0.35">
      <c r="A30">
        <v>5</v>
      </c>
      <c r="B30">
        <v>80</v>
      </c>
      <c r="C30">
        <v>160</v>
      </c>
      <c r="D30">
        <v>250</v>
      </c>
      <c r="E30">
        <v>170</v>
      </c>
    </row>
    <row r="31" spans="1:16" x14ac:dyDescent="0.35">
      <c r="A31">
        <v>4.5</v>
      </c>
      <c r="B31">
        <v>346.5</v>
      </c>
      <c r="C31">
        <v>22.5</v>
      </c>
      <c r="D31">
        <v>274.5</v>
      </c>
      <c r="E31">
        <v>-72</v>
      </c>
    </row>
    <row r="32" spans="1:16" x14ac:dyDescent="0.35">
      <c r="A32">
        <v>1.75</v>
      </c>
      <c r="B32">
        <v>33.25</v>
      </c>
      <c r="C32">
        <v>126</v>
      </c>
      <c r="D32">
        <v>54.25</v>
      </c>
      <c r="E32">
        <v>21</v>
      </c>
    </row>
    <row r="33" spans="1:5" x14ac:dyDescent="0.35">
      <c r="A33">
        <v>3.5</v>
      </c>
      <c r="B33">
        <v>63</v>
      </c>
      <c r="C33">
        <v>77</v>
      </c>
      <c r="D33">
        <v>147</v>
      </c>
      <c r="E33">
        <v>84</v>
      </c>
    </row>
    <row r="34" spans="1:5" x14ac:dyDescent="0.35">
      <c r="A34">
        <v>6</v>
      </c>
      <c r="B34">
        <v>282</v>
      </c>
      <c r="C34">
        <v>438</v>
      </c>
      <c r="D34">
        <v>252</v>
      </c>
      <c r="E34">
        <v>-30</v>
      </c>
    </row>
    <row r="35" spans="1:5" x14ac:dyDescent="0.35">
      <c r="A35">
        <v>30</v>
      </c>
      <c r="B35">
        <v>2310</v>
      </c>
      <c r="C35">
        <v>2250</v>
      </c>
      <c r="D35">
        <v>750</v>
      </c>
      <c r="E35">
        <v>-1560</v>
      </c>
    </row>
    <row r="36" spans="1:5" x14ac:dyDescent="0.35">
      <c r="A36">
        <v>9</v>
      </c>
      <c r="B36">
        <v>414</v>
      </c>
      <c r="C36">
        <v>657</v>
      </c>
      <c r="D36">
        <v>585</v>
      </c>
      <c r="E36">
        <v>171</v>
      </c>
    </row>
    <row r="37" spans="1:5" x14ac:dyDescent="0.35">
      <c r="A37">
        <v>2</v>
      </c>
      <c r="B37">
        <v>78</v>
      </c>
      <c r="C37">
        <v>146</v>
      </c>
      <c r="D37">
        <v>120</v>
      </c>
      <c r="E37">
        <v>42</v>
      </c>
    </row>
    <row r="38" spans="1:5" x14ac:dyDescent="0.35">
      <c r="A38">
        <v>4.5</v>
      </c>
      <c r="B38">
        <v>337.5</v>
      </c>
      <c r="C38">
        <v>450</v>
      </c>
      <c r="D38">
        <v>193.5</v>
      </c>
      <c r="E38">
        <v>-144</v>
      </c>
    </row>
    <row r="39" spans="1:5" x14ac:dyDescent="0.35">
      <c r="A39">
        <v>3.45</v>
      </c>
      <c r="B39">
        <v>165.60000000000002</v>
      </c>
      <c r="C39">
        <v>134.55000000000001</v>
      </c>
      <c r="D39">
        <v>175.95000000000002</v>
      </c>
      <c r="E39">
        <v>10.349999999999994</v>
      </c>
    </row>
    <row r="40" spans="1:5" x14ac:dyDescent="0.35">
      <c r="A40">
        <v>2.5</v>
      </c>
      <c r="B40">
        <v>152.5</v>
      </c>
      <c r="C40">
        <v>65</v>
      </c>
      <c r="D40">
        <v>197.5</v>
      </c>
      <c r="E40">
        <v>45</v>
      </c>
    </row>
    <row r="41" spans="1:5" x14ac:dyDescent="0.35">
      <c r="A41">
        <v>3</v>
      </c>
      <c r="B41">
        <v>180</v>
      </c>
      <c r="C41">
        <v>255</v>
      </c>
      <c r="D41">
        <v>141</v>
      </c>
      <c r="E41">
        <v>-39</v>
      </c>
    </row>
    <row r="42" spans="1:5" x14ac:dyDescent="0.35">
      <c r="A42">
        <v>5</v>
      </c>
      <c r="B42">
        <v>120</v>
      </c>
      <c r="C42">
        <v>255</v>
      </c>
      <c r="D42">
        <v>195</v>
      </c>
      <c r="E42">
        <v>75</v>
      </c>
    </row>
    <row r="43" spans="1:5" x14ac:dyDescent="0.35">
      <c r="A43">
        <v>2.2999999999999998</v>
      </c>
      <c r="B43">
        <v>27.599999999999998</v>
      </c>
      <c r="C43">
        <v>110.39999999999999</v>
      </c>
      <c r="D43">
        <v>151.79999999999998</v>
      </c>
      <c r="E43">
        <v>124.19999999999999</v>
      </c>
    </row>
    <row r="44" spans="1:5" x14ac:dyDescent="0.35">
      <c r="A44">
        <v>15</v>
      </c>
      <c r="B44">
        <v>1260</v>
      </c>
      <c r="C44">
        <v>1320</v>
      </c>
      <c r="D44">
        <v>375</v>
      </c>
      <c r="E44">
        <v>-885</v>
      </c>
    </row>
    <row r="45" spans="1:5" x14ac:dyDescent="0.35">
      <c r="A45">
        <v>3</v>
      </c>
      <c r="B45">
        <v>153</v>
      </c>
      <c r="C45">
        <v>210</v>
      </c>
      <c r="D45">
        <v>120</v>
      </c>
      <c r="E45">
        <v>-33</v>
      </c>
    </row>
    <row r="46" spans="1:5" x14ac:dyDescent="0.35">
      <c r="A46">
        <v>3.5</v>
      </c>
      <c r="B46">
        <v>227.5</v>
      </c>
      <c r="C46">
        <v>129.5</v>
      </c>
      <c r="D46">
        <v>112</v>
      </c>
      <c r="E46">
        <v>-115.5</v>
      </c>
    </row>
    <row r="47" spans="1:5" x14ac:dyDescent="0.35">
      <c r="A47">
        <v>1.5</v>
      </c>
      <c r="B47">
        <v>100.5</v>
      </c>
      <c r="C47">
        <v>48</v>
      </c>
      <c r="D47">
        <v>99</v>
      </c>
      <c r="E47">
        <v>-1.5</v>
      </c>
    </row>
    <row r="48" spans="1:5" x14ac:dyDescent="0.35">
      <c r="A48">
        <v>1.5</v>
      </c>
      <c r="B48">
        <v>21</v>
      </c>
      <c r="C48">
        <v>106.5</v>
      </c>
      <c r="D48">
        <v>55.5</v>
      </c>
      <c r="E48">
        <v>34.5</v>
      </c>
    </row>
    <row r="49" spans="1:5" x14ac:dyDescent="0.35">
      <c r="A49">
        <v>6</v>
      </c>
      <c r="B49">
        <v>270</v>
      </c>
      <c r="C49">
        <v>366</v>
      </c>
      <c r="D49">
        <v>264</v>
      </c>
      <c r="E49">
        <v>-6</v>
      </c>
    </row>
    <row r="50" spans="1:5" x14ac:dyDescent="0.35">
      <c r="A50">
        <v>5</v>
      </c>
      <c r="B50">
        <v>460</v>
      </c>
      <c r="C50">
        <v>65</v>
      </c>
      <c r="D50">
        <v>120</v>
      </c>
      <c r="E50">
        <v>-340</v>
      </c>
    </row>
    <row r="51" spans="1:5" x14ac:dyDescent="0.35">
      <c r="A51">
        <v>4</v>
      </c>
      <c r="B51">
        <v>164</v>
      </c>
      <c r="C51">
        <v>360</v>
      </c>
      <c r="D51">
        <v>168</v>
      </c>
      <c r="E51">
        <v>4</v>
      </c>
    </row>
    <row r="52" spans="1:5" x14ac:dyDescent="0.35">
      <c r="A52">
        <v>4.5</v>
      </c>
      <c r="B52">
        <v>184.5</v>
      </c>
      <c r="C52">
        <v>351</v>
      </c>
      <c r="D52">
        <v>171</v>
      </c>
      <c r="E52">
        <v>-13.5</v>
      </c>
    </row>
    <row r="53" spans="1:5" x14ac:dyDescent="0.35">
      <c r="A53">
        <v>3</v>
      </c>
      <c r="B53">
        <v>255</v>
      </c>
      <c r="C53">
        <v>213</v>
      </c>
      <c r="D53">
        <v>285</v>
      </c>
      <c r="E53">
        <v>30</v>
      </c>
    </row>
    <row r="54" spans="1:5" x14ac:dyDescent="0.35">
      <c r="A54">
        <v>3.4</v>
      </c>
      <c r="B54">
        <v>149.6</v>
      </c>
      <c r="C54">
        <v>285.59999999999997</v>
      </c>
      <c r="D54">
        <v>326.39999999999998</v>
      </c>
      <c r="E54">
        <v>176.79999999999998</v>
      </c>
    </row>
    <row r="55" spans="1:5" x14ac:dyDescent="0.35">
      <c r="A55">
        <v>2.5</v>
      </c>
      <c r="B55">
        <v>230</v>
      </c>
      <c r="C55">
        <v>210</v>
      </c>
      <c r="D55">
        <v>152.5</v>
      </c>
      <c r="E55">
        <v>-77.5</v>
      </c>
    </row>
    <row r="56" spans="1:5" x14ac:dyDescent="0.35">
      <c r="A56">
        <v>12</v>
      </c>
      <c r="B56">
        <v>744</v>
      </c>
      <c r="C56">
        <v>216</v>
      </c>
      <c r="D56">
        <v>420</v>
      </c>
      <c r="E56">
        <v>-324</v>
      </c>
    </row>
    <row r="57" spans="1:5" x14ac:dyDescent="0.35">
      <c r="A57">
        <v>2.5</v>
      </c>
      <c r="B57">
        <v>65</v>
      </c>
      <c r="C57">
        <v>155</v>
      </c>
      <c r="D57">
        <v>142.5</v>
      </c>
      <c r="E57">
        <v>77.5</v>
      </c>
    </row>
    <row r="58" spans="1:5" x14ac:dyDescent="0.35">
      <c r="A58">
        <v>4.5</v>
      </c>
      <c r="B58">
        <v>265.5</v>
      </c>
      <c r="C58">
        <v>27</v>
      </c>
      <c r="D58">
        <v>144</v>
      </c>
      <c r="E58">
        <v>-121.5</v>
      </c>
    </row>
    <row r="59" spans="1:5" x14ac:dyDescent="0.35">
      <c r="A59">
        <v>2.9</v>
      </c>
      <c r="B59">
        <v>255.2</v>
      </c>
      <c r="C59">
        <v>176.9</v>
      </c>
      <c r="D59">
        <v>182.7</v>
      </c>
      <c r="E59">
        <v>-72.5</v>
      </c>
    </row>
    <row r="60" spans="1:5" x14ac:dyDescent="0.35">
      <c r="A60">
        <v>6</v>
      </c>
      <c r="B60">
        <v>546</v>
      </c>
      <c r="C60">
        <v>294</v>
      </c>
      <c r="D60">
        <v>180</v>
      </c>
      <c r="E60">
        <v>-366</v>
      </c>
    </row>
    <row r="61" spans="1:5" x14ac:dyDescent="0.35">
      <c r="A61">
        <v>6</v>
      </c>
      <c r="B61">
        <v>168</v>
      </c>
      <c r="C61">
        <v>168</v>
      </c>
      <c r="D61">
        <v>228</v>
      </c>
      <c r="E61">
        <v>60</v>
      </c>
    </row>
    <row r="62" spans="1:5" x14ac:dyDescent="0.35">
      <c r="A62">
        <v>1.5</v>
      </c>
      <c r="B62">
        <v>76.5</v>
      </c>
      <c r="C62">
        <v>147</v>
      </c>
      <c r="D62">
        <v>66</v>
      </c>
      <c r="E62">
        <v>-10.5</v>
      </c>
    </row>
    <row r="63" spans="1:5" x14ac:dyDescent="0.35">
      <c r="A63">
        <v>5</v>
      </c>
      <c r="B63">
        <v>230</v>
      </c>
      <c r="C63">
        <v>380</v>
      </c>
      <c r="D63">
        <v>320</v>
      </c>
      <c r="E63">
        <v>90</v>
      </c>
    </row>
    <row r="64" spans="1:5" x14ac:dyDescent="0.35">
      <c r="A64">
        <v>4.45</v>
      </c>
      <c r="B64">
        <v>364.90000000000003</v>
      </c>
      <c r="C64">
        <v>307.05</v>
      </c>
      <c r="D64">
        <v>133.5</v>
      </c>
      <c r="E64">
        <v>-231.40000000000003</v>
      </c>
    </row>
    <row r="65" spans="1:5" x14ac:dyDescent="0.35">
      <c r="A65">
        <v>6</v>
      </c>
      <c r="B65">
        <v>600</v>
      </c>
      <c r="C65">
        <v>156</v>
      </c>
      <c r="D65">
        <v>504</v>
      </c>
      <c r="E65">
        <v>-96</v>
      </c>
    </row>
    <row r="66" spans="1:5" x14ac:dyDescent="0.35">
      <c r="A66">
        <v>6</v>
      </c>
      <c r="B66">
        <v>306</v>
      </c>
      <c r="C66">
        <v>528</v>
      </c>
      <c r="D66">
        <v>324</v>
      </c>
      <c r="E66">
        <v>18</v>
      </c>
    </row>
    <row r="67" spans="1:5" x14ac:dyDescent="0.35">
      <c r="A67">
        <v>15</v>
      </c>
      <c r="B67">
        <v>915</v>
      </c>
      <c r="C67">
        <v>435</v>
      </c>
      <c r="D67">
        <v>1005</v>
      </c>
      <c r="E67">
        <v>90</v>
      </c>
    </row>
    <row r="68" spans="1:5" x14ac:dyDescent="0.35">
      <c r="A68">
        <v>25</v>
      </c>
      <c r="B68">
        <v>2475</v>
      </c>
      <c r="C68">
        <v>250</v>
      </c>
      <c r="D68">
        <v>2325</v>
      </c>
      <c r="E68">
        <v>-150</v>
      </c>
    </row>
    <row r="69" spans="1:5" x14ac:dyDescent="0.35">
      <c r="A69">
        <v>1.8</v>
      </c>
      <c r="B69">
        <v>23.400000000000002</v>
      </c>
      <c r="C69">
        <v>180</v>
      </c>
      <c r="D69">
        <v>79.2</v>
      </c>
      <c r="E69">
        <v>55.8</v>
      </c>
    </row>
    <row r="70" spans="1:5" x14ac:dyDescent="0.35">
      <c r="A70">
        <v>7</v>
      </c>
      <c r="B70">
        <v>315</v>
      </c>
      <c r="C70">
        <v>525</v>
      </c>
      <c r="D70">
        <v>581</v>
      </c>
      <c r="E70">
        <v>266</v>
      </c>
    </row>
    <row r="71" spans="1:5" x14ac:dyDescent="0.35">
      <c r="A71">
        <v>4</v>
      </c>
      <c r="B71">
        <v>292</v>
      </c>
      <c r="C71">
        <v>184</v>
      </c>
      <c r="D71">
        <v>188</v>
      </c>
      <c r="E71">
        <v>-104</v>
      </c>
    </row>
    <row r="72" spans="1:5" x14ac:dyDescent="0.35">
      <c r="A72">
        <v>3</v>
      </c>
      <c r="B72">
        <v>117</v>
      </c>
      <c r="C72">
        <v>15</v>
      </c>
      <c r="D72">
        <v>153</v>
      </c>
      <c r="E72">
        <v>36</v>
      </c>
    </row>
    <row r="73" spans="1:5" x14ac:dyDescent="0.35">
      <c r="A73">
        <v>12</v>
      </c>
      <c r="B73">
        <v>348</v>
      </c>
      <c r="C73">
        <v>1152</v>
      </c>
      <c r="D73">
        <v>1020</v>
      </c>
      <c r="E73">
        <v>672</v>
      </c>
    </row>
    <row r="74" spans="1:5" x14ac:dyDescent="0.35">
      <c r="A74">
        <v>4</v>
      </c>
      <c r="B74">
        <v>48</v>
      </c>
      <c r="C74">
        <v>292</v>
      </c>
      <c r="D74">
        <v>80</v>
      </c>
      <c r="E74">
        <v>32</v>
      </c>
    </row>
    <row r="75" spans="1:5" x14ac:dyDescent="0.35">
      <c r="A75">
        <v>4.45</v>
      </c>
      <c r="B75">
        <v>427.20000000000005</v>
      </c>
      <c r="C75">
        <v>320.40000000000003</v>
      </c>
      <c r="D75">
        <v>329.3</v>
      </c>
      <c r="E75">
        <v>-97.900000000000034</v>
      </c>
    </row>
    <row r="76" spans="1:5" x14ac:dyDescent="0.35">
      <c r="A76">
        <v>2</v>
      </c>
      <c r="B76">
        <v>70</v>
      </c>
      <c r="C76">
        <v>148</v>
      </c>
      <c r="D76">
        <v>152</v>
      </c>
      <c r="E76">
        <v>82</v>
      </c>
    </row>
    <row r="77" spans="1:5" x14ac:dyDescent="0.35">
      <c r="A77">
        <v>6</v>
      </c>
      <c r="B77">
        <v>534</v>
      </c>
      <c r="C77">
        <v>90</v>
      </c>
      <c r="D77">
        <v>360</v>
      </c>
      <c r="E77">
        <v>-174</v>
      </c>
    </row>
    <row r="78" spans="1:5" x14ac:dyDescent="0.35">
      <c r="A78">
        <v>4.5</v>
      </c>
      <c r="B78">
        <v>270</v>
      </c>
      <c r="C78">
        <v>126</v>
      </c>
      <c r="D78">
        <v>117</v>
      </c>
      <c r="E78">
        <v>-153</v>
      </c>
    </row>
    <row r="79" spans="1:5" x14ac:dyDescent="0.35">
      <c r="A79">
        <v>4.5</v>
      </c>
      <c r="B79">
        <v>90</v>
      </c>
      <c r="C79">
        <v>333</v>
      </c>
      <c r="D79">
        <v>225</v>
      </c>
      <c r="E79">
        <v>135</v>
      </c>
    </row>
    <row r="80" spans="1:5" x14ac:dyDescent="0.35">
      <c r="A80">
        <v>1.2</v>
      </c>
      <c r="B80">
        <v>33.6</v>
      </c>
      <c r="C80">
        <v>32.4</v>
      </c>
      <c r="D80">
        <v>36</v>
      </c>
      <c r="E80">
        <v>2.3999999999999986</v>
      </c>
    </row>
    <row r="81" spans="1:5" x14ac:dyDescent="0.35">
      <c r="A81">
        <v>2.5</v>
      </c>
      <c r="B81">
        <v>50</v>
      </c>
      <c r="C81">
        <v>37.5</v>
      </c>
      <c r="D81">
        <v>215</v>
      </c>
      <c r="E81">
        <v>165</v>
      </c>
    </row>
    <row r="82" spans="1:5" x14ac:dyDescent="0.35">
      <c r="A82">
        <v>6</v>
      </c>
      <c r="B82">
        <v>228</v>
      </c>
      <c r="C82">
        <v>366</v>
      </c>
      <c r="D82">
        <v>402</v>
      </c>
      <c r="E82">
        <v>174</v>
      </c>
    </row>
    <row r="83" spans="1:5" x14ac:dyDescent="0.35">
      <c r="A83">
        <v>3</v>
      </c>
      <c r="B83">
        <v>297</v>
      </c>
      <c r="C83">
        <v>12</v>
      </c>
      <c r="D83">
        <v>150</v>
      </c>
      <c r="E83">
        <v>-147</v>
      </c>
    </row>
    <row r="84" spans="1:5" x14ac:dyDescent="0.35">
      <c r="A84">
        <v>2.5</v>
      </c>
      <c r="B84">
        <v>230</v>
      </c>
      <c r="C84">
        <v>200</v>
      </c>
      <c r="D84">
        <v>180</v>
      </c>
      <c r="E84">
        <v>-50</v>
      </c>
    </row>
    <row r="85" spans="1:5" x14ac:dyDescent="0.35">
      <c r="A85">
        <v>2.4</v>
      </c>
      <c r="B85">
        <v>98.399999999999991</v>
      </c>
      <c r="C85">
        <v>182.4</v>
      </c>
      <c r="D85">
        <v>141.6</v>
      </c>
      <c r="E85">
        <v>43.2</v>
      </c>
    </row>
    <row r="86" spans="1:5" x14ac:dyDescent="0.35">
      <c r="A86">
        <v>6</v>
      </c>
      <c r="B86">
        <v>264</v>
      </c>
      <c r="C86">
        <v>288</v>
      </c>
      <c r="D86">
        <v>540</v>
      </c>
      <c r="E86">
        <v>276</v>
      </c>
    </row>
    <row r="87" spans="1:5" x14ac:dyDescent="0.35">
      <c r="A87">
        <v>2</v>
      </c>
      <c r="B87">
        <v>94</v>
      </c>
      <c r="C87">
        <v>126</v>
      </c>
      <c r="D87">
        <v>58</v>
      </c>
      <c r="E87">
        <v>-36</v>
      </c>
    </row>
    <row r="88" spans="1:5" x14ac:dyDescent="0.35">
      <c r="A88">
        <v>1.5</v>
      </c>
      <c r="B88">
        <v>31.5</v>
      </c>
      <c r="C88">
        <v>97.5</v>
      </c>
      <c r="D88">
        <v>57</v>
      </c>
      <c r="E88">
        <v>25.5</v>
      </c>
    </row>
    <row r="89" spans="1:5" x14ac:dyDescent="0.35">
      <c r="A89">
        <v>1.8</v>
      </c>
      <c r="B89">
        <v>153</v>
      </c>
      <c r="C89">
        <v>90</v>
      </c>
      <c r="D89">
        <v>115.2</v>
      </c>
      <c r="E89">
        <v>-37.799999999999997</v>
      </c>
    </row>
    <row r="90" spans="1:5" x14ac:dyDescent="0.35">
      <c r="A90">
        <v>8</v>
      </c>
      <c r="B90">
        <v>232</v>
      </c>
      <c r="C90">
        <v>136</v>
      </c>
      <c r="D90">
        <v>472</v>
      </c>
      <c r="E90">
        <v>240</v>
      </c>
    </row>
    <row r="91" spans="1:5" x14ac:dyDescent="0.35">
      <c r="A91">
        <v>4</v>
      </c>
      <c r="B91">
        <v>256</v>
      </c>
      <c r="C91">
        <v>52</v>
      </c>
      <c r="D91">
        <v>204</v>
      </c>
      <c r="E91">
        <v>-52</v>
      </c>
    </row>
    <row r="92" spans="1:5" x14ac:dyDescent="0.35">
      <c r="A92">
        <v>10</v>
      </c>
      <c r="B92">
        <v>660</v>
      </c>
      <c r="C92">
        <v>960</v>
      </c>
      <c r="D92">
        <v>240</v>
      </c>
      <c r="E92">
        <v>-420</v>
      </c>
    </row>
    <row r="93" spans="1:5" x14ac:dyDescent="0.35">
      <c r="A93">
        <v>5</v>
      </c>
      <c r="B93">
        <v>375</v>
      </c>
      <c r="C93">
        <v>85</v>
      </c>
      <c r="D93">
        <v>345</v>
      </c>
      <c r="E93">
        <v>-30</v>
      </c>
    </row>
    <row r="94" spans="1:5" x14ac:dyDescent="0.35">
      <c r="A94">
        <v>9</v>
      </c>
      <c r="B94">
        <v>477</v>
      </c>
      <c r="C94">
        <v>18</v>
      </c>
      <c r="D94">
        <v>504</v>
      </c>
      <c r="E94">
        <v>27</v>
      </c>
    </row>
    <row r="95" spans="1:5" x14ac:dyDescent="0.35">
      <c r="A95">
        <v>1.8</v>
      </c>
      <c r="B95">
        <v>77.400000000000006</v>
      </c>
      <c r="C95">
        <v>144</v>
      </c>
      <c r="D95">
        <v>59.4</v>
      </c>
      <c r="E95">
        <v>-18.000000000000007</v>
      </c>
    </row>
    <row r="96" spans="1:5" x14ac:dyDescent="0.35">
      <c r="A96">
        <v>3</v>
      </c>
      <c r="B96">
        <v>222</v>
      </c>
      <c r="C96">
        <v>72</v>
      </c>
      <c r="D96">
        <v>246</v>
      </c>
      <c r="E96">
        <v>24</v>
      </c>
    </row>
    <row r="97" spans="1:5" x14ac:dyDescent="0.35">
      <c r="A97">
        <v>7</v>
      </c>
      <c r="B97">
        <v>189</v>
      </c>
      <c r="C97">
        <v>623</v>
      </c>
      <c r="D97">
        <v>637</v>
      </c>
      <c r="E97">
        <v>448</v>
      </c>
    </row>
    <row r="98" spans="1:5" x14ac:dyDescent="0.35">
      <c r="A98">
        <v>4.75</v>
      </c>
      <c r="B98">
        <v>432.25</v>
      </c>
      <c r="C98">
        <v>365.75</v>
      </c>
      <c r="D98">
        <v>242.25</v>
      </c>
      <c r="E98">
        <v>-190</v>
      </c>
    </row>
    <row r="99" spans="1:5" x14ac:dyDescent="0.35">
      <c r="A99">
        <v>2</v>
      </c>
      <c r="B99">
        <v>104</v>
      </c>
      <c r="C99">
        <v>106</v>
      </c>
      <c r="D99">
        <v>190</v>
      </c>
      <c r="E99">
        <v>86</v>
      </c>
    </row>
    <row r="100" spans="1:5" x14ac:dyDescent="0.35">
      <c r="A100">
        <v>2.5</v>
      </c>
      <c r="B100">
        <v>107.5</v>
      </c>
      <c r="C100">
        <v>212.5</v>
      </c>
      <c r="D100">
        <v>165</v>
      </c>
      <c r="E100">
        <v>57.5</v>
      </c>
    </row>
    <row r="101" spans="1:5" x14ac:dyDescent="0.35">
      <c r="A101">
        <v>3.2</v>
      </c>
      <c r="B101">
        <v>179.20000000000002</v>
      </c>
      <c r="C101">
        <v>73.600000000000009</v>
      </c>
      <c r="D101">
        <v>214.4</v>
      </c>
      <c r="E101">
        <v>35.199999999999989</v>
      </c>
    </row>
    <row r="102" spans="1:5" x14ac:dyDescent="0.35">
      <c r="A102">
        <v>6</v>
      </c>
      <c r="B102">
        <v>396</v>
      </c>
      <c r="C102">
        <v>48</v>
      </c>
      <c r="D102">
        <v>258</v>
      </c>
      <c r="E102">
        <v>-138</v>
      </c>
    </row>
    <row r="103" spans="1:5" x14ac:dyDescent="0.35">
      <c r="A103">
        <v>1.5</v>
      </c>
      <c r="B103">
        <v>126</v>
      </c>
      <c r="C103">
        <v>27</v>
      </c>
      <c r="D103">
        <v>138</v>
      </c>
      <c r="E103">
        <v>12</v>
      </c>
    </row>
    <row r="104" spans="1:5" x14ac:dyDescent="0.35">
      <c r="A104">
        <v>5</v>
      </c>
      <c r="B104">
        <v>185</v>
      </c>
      <c r="C104">
        <v>5</v>
      </c>
      <c r="D104">
        <v>340</v>
      </c>
      <c r="E104">
        <v>155</v>
      </c>
    </row>
    <row r="105" spans="1:5" x14ac:dyDescent="0.35">
      <c r="A105">
        <v>4</v>
      </c>
      <c r="B105">
        <v>116</v>
      </c>
      <c r="C105">
        <v>160</v>
      </c>
      <c r="D105">
        <v>240</v>
      </c>
      <c r="E105">
        <v>124</v>
      </c>
    </row>
    <row r="106" spans="1:5" x14ac:dyDescent="0.35">
      <c r="A106">
        <v>9.5</v>
      </c>
      <c r="B106">
        <v>123.5</v>
      </c>
      <c r="C106">
        <v>66.5</v>
      </c>
      <c r="D106">
        <v>228</v>
      </c>
      <c r="E106">
        <v>104.5</v>
      </c>
    </row>
    <row r="107" spans="1:5" x14ac:dyDescent="0.35">
      <c r="A107">
        <v>2.5</v>
      </c>
      <c r="B107">
        <v>157.5</v>
      </c>
      <c r="C107">
        <v>235</v>
      </c>
      <c r="D107">
        <v>140</v>
      </c>
      <c r="E107">
        <v>-17.5</v>
      </c>
    </row>
    <row r="108" spans="1:5" x14ac:dyDescent="0.35">
      <c r="A108">
        <v>7</v>
      </c>
      <c r="B108">
        <v>665</v>
      </c>
      <c r="C108">
        <v>511</v>
      </c>
      <c r="D108">
        <v>427</v>
      </c>
      <c r="E108">
        <v>-238</v>
      </c>
    </row>
    <row r="109" spans="1:5" x14ac:dyDescent="0.35">
      <c r="A109">
        <v>2</v>
      </c>
      <c r="B109">
        <v>116</v>
      </c>
      <c r="C109">
        <v>2</v>
      </c>
      <c r="D109">
        <v>106</v>
      </c>
      <c r="E109">
        <v>-10</v>
      </c>
    </row>
    <row r="110" spans="1:5" x14ac:dyDescent="0.35">
      <c r="A110">
        <v>4</v>
      </c>
      <c r="B110">
        <v>228</v>
      </c>
      <c r="C110">
        <v>212</v>
      </c>
      <c r="D110">
        <v>224</v>
      </c>
      <c r="E110">
        <v>-4</v>
      </c>
    </row>
    <row r="111" spans="1:5" x14ac:dyDescent="0.35">
      <c r="A111">
        <v>6</v>
      </c>
      <c r="B111">
        <v>198</v>
      </c>
      <c r="C111">
        <v>552</v>
      </c>
      <c r="D111">
        <v>588</v>
      </c>
      <c r="E111">
        <v>390</v>
      </c>
    </row>
    <row r="112" spans="1:5" x14ac:dyDescent="0.35">
      <c r="A112">
        <v>20</v>
      </c>
      <c r="B112">
        <v>1240</v>
      </c>
      <c r="C112">
        <v>120</v>
      </c>
      <c r="D112">
        <v>460</v>
      </c>
      <c r="E112">
        <v>-780</v>
      </c>
    </row>
    <row r="113" spans="1:5" x14ac:dyDescent="0.35">
      <c r="A113">
        <v>5</v>
      </c>
      <c r="B113">
        <v>445</v>
      </c>
      <c r="C113">
        <v>460</v>
      </c>
      <c r="D113">
        <v>190</v>
      </c>
      <c r="E113">
        <v>-255</v>
      </c>
    </row>
    <row r="114" spans="1:5" x14ac:dyDescent="0.35">
      <c r="A114">
        <v>8</v>
      </c>
      <c r="B114">
        <v>184</v>
      </c>
      <c r="C114">
        <v>696</v>
      </c>
      <c r="D114">
        <v>504</v>
      </c>
      <c r="E114">
        <v>320</v>
      </c>
    </row>
    <row r="115" spans="1:5" x14ac:dyDescent="0.35">
      <c r="A115">
        <v>98.43</v>
      </c>
      <c r="B115">
        <v>5512.08</v>
      </c>
      <c r="C115">
        <v>5807.3700000000008</v>
      </c>
      <c r="D115">
        <v>3445.05</v>
      </c>
      <c r="E115">
        <v>-2067.0299999999997</v>
      </c>
    </row>
    <row r="116" spans="1:5" x14ac:dyDescent="0.35">
      <c r="A116">
        <v>6.1</v>
      </c>
      <c r="B116">
        <v>524.6</v>
      </c>
      <c r="C116">
        <v>451.4</v>
      </c>
      <c r="D116">
        <v>488</v>
      </c>
      <c r="E116">
        <v>-36.600000000000023</v>
      </c>
    </row>
    <row r="117" spans="1:5" x14ac:dyDescent="0.35">
      <c r="A117">
        <v>6</v>
      </c>
      <c r="B117">
        <v>360</v>
      </c>
      <c r="C117">
        <v>12</v>
      </c>
      <c r="D117">
        <v>576</v>
      </c>
      <c r="E117">
        <v>216</v>
      </c>
    </row>
    <row r="118" spans="1:5" x14ac:dyDescent="0.35">
      <c r="A118">
        <v>3.5</v>
      </c>
      <c r="B118">
        <v>245</v>
      </c>
      <c r="C118">
        <v>241.5</v>
      </c>
      <c r="D118">
        <v>154</v>
      </c>
      <c r="E118">
        <v>-91</v>
      </c>
    </row>
    <row r="119" spans="1:5" x14ac:dyDescent="0.35">
      <c r="A119">
        <v>4</v>
      </c>
      <c r="B119">
        <v>188</v>
      </c>
      <c r="C119">
        <v>292</v>
      </c>
      <c r="D119">
        <v>372</v>
      </c>
      <c r="E119">
        <v>184</v>
      </c>
    </row>
    <row r="120" spans="1:5" x14ac:dyDescent="0.35">
      <c r="A120">
        <v>4.5</v>
      </c>
      <c r="B120">
        <v>427.5</v>
      </c>
      <c r="C120">
        <v>72</v>
      </c>
      <c r="D120">
        <v>270</v>
      </c>
      <c r="E120">
        <v>-157.5</v>
      </c>
    </row>
    <row r="121" spans="1:5" x14ac:dyDescent="0.35">
      <c r="A121">
        <v>3.85</v>
      </c>
      <c r="B121">
        <v>77</v>
      </c>
      <c r="C121">
        <v>80.850000000000009</v>
      </c>
      <c r="D121">
        <v>234.85</v>
      </c>
      <c r="E121">
        <v>157.85</v>
      </c>
    </row>
    <row r="122" spans="1:5" x14ac:dyDescent="0.35">
      <c r="A122">
        <v>4.3</v>
      </c>
      <c r="B122">
        <v>81.7</v>
      </c>
      <c r="C122">
        <v>60.199999999999996</v>
      </c>
      <c r="D122">
        <v>249.39999999999998</v>
      </c>
      <c r="E122">
        <v>167.7</v>
      </c>
    </row>
    <row r="123" spans="1:5" x14ac:dyDescent="0.35">
      <c r="A123">
        <v>21</v>
      </c>
      <c r="B123">
        <v>1554</v>
      </c>
      <c r="C123">
        <v>378</v>
      </c>
      <c r="D123">
        <v>1743</v>
      </c>
      <c r="E123">
        <v>189</v>
      </c>
    </row>
    <row r="124" spans="1:5" x14ac:dyDescent="0.35">
      <c r="A124">
        <v>4.5</v>
      </c>
      <c r="B124">
        <v>274.5</v>
      </c>
      <c r="C124">
        <v>40.5</v>
      </c>
      <c r="D124">
        <v>108</v>
      </c>
      <c r="E124">
        <v>-166.5</v>
      </c>
    </row>
    <row r="125" spans="1:5" x14ac:dyDescent="0.35">
      <c r="A125">
        <v>4</v>
      </c>
      <c r="B125">
        <v>136</v>
      </c>
      <c r="C125">
        <v>344</v>
      </c>
      <c r="D125">
        <v>112</v>
      </c>
      <c r="E125">
        <v>-24</v>
      </c>
    </row>
    <row r="126" spans="1:5" x14ac:dyDescent="0.35">
      <c r="A126">
        <v>4.5</v>
      </c>
      <c r="B126">
        <v>130.5</v>
      </c>
      <c r="C126">
        <v>382.5</v>
      </c>
      <c r="D126">
        <v>139.5</v>
      </c>
      <c r="E126">
        <v>9</v>
      </c>
    </row>
    <row r="127" spans="1:5" x14ac:dyDescent="0.35">
      <c r="A127">
        <v>4.2</v>
      </c>
      <c r="B127">
        <v>58.800000000000004</v>
      </c>
      <c r="C127">
        <v>407.40000000000003</v>
      </c>
      <c r="D127">
        <v>117.60000000000001</v>
      </c>
      <c r="E127">
        <v>58.800000000000004</v>
      </c>
    </row>
    <row r="128" spans="1:5" x14ac:dyDescent="0.35">
      <c r="A128">
        <v>1.8</v>
      </c>
      <c r="B128">
        <v>36</v>
      </c>
      <c r="C128">
        <v>100.8</v>
      </c>
      <c r="D128">
        <v>111.60000000000001</v>
      </c>
      <c r="E128">
        <v>75.600000000000009</v>
      </c>
    </row>
    <row r="129" spans="1:5" x14ac:dyDescent="0.35">
      <c r="A129">
        <v>3.2</v>
      </c>
      <c r="B129">
        <v>128</v>
      </c>
      <c r="C129">
        <v>102.4</v>
      </c>
      <c r="D129">
        <v>67.2</v>
      </c>
      <c r="E129">
        <v>-60.8</v>
      </c>
    </row>
    <row r="130" spans="1:5" x14ac:dyDescent="0.35">
      <c r="A130">
        <v>2.2999999999999998</v>
      </c>
      <c r="B130">
        <v>209.29999999999998</v>
      </c>
      <c r="C130">
        <v>133.39999999999998</v>
      </c>
      <c r="D130">
        <v>98.899999999999991</v>
      </c>
      <c r="E130">
        <v>-110.39999999999999</v>
      </c>
    </row>
    <row r="131" spans="1:5" x14ac:dyDescent="0.35">
      <c r="A131">
        <v>10</v>
      </c>
      <c r="B131">
        <v>990</v>
      </c>
      <c r="C131">
        <v>390</v>
      </c>
      <c r="D131">
        <v>940</v>
      </c>
      <c r="E131">
        <v>-50</v>
      </c>
    </row>
    <row r="132" spans="1:5" x14ac:dyDescent="0.35">
      <c r="A132">
        <v>1.5</v>
      </c>
      <c r="B132">
        <v>51</v>
      </c>
      <c r="C132">
        <v>67.5</v>
      </c>
      <c r="D132">
        <v>73.5</v>
      </c>
      <c r="E132">
        <v>22.5</v>
      </c>
    </row>
    <row r="133" spans="1:5" x14ac:dyDescent="0.35">
      <c r="A133">
        <v>7</v>
      </c>
      <c r="B133">
        <v>700</v>
      </c>
      <c r="C133">
        <v>448</v>
      </c>
      <c r="D133">
        <v>140</v>
      </c>
      <c r="E133">
        <v>-560</v>
      </c>
    </row>
    <row r="134" spans="1:5" x14ac:dyDescent="0.35">
      <c r="A134">
        <v>6</v>
      </c>
      <c r="B134">
        <v>474</v>
      </c>
      <c r="C134">
        <v>582</v>
      </c>
      <c r="D134">
        <v>156</v>
      </c>
      <c r="E134">
        <v>-318</v>
      </c>
    </row>
    <row r="135" spans="1:5" x14ac:dyDescent="0.35">
      <c r="A135">
        <v>3</v>
      </c>
      <c r="B135">
        <v>186</v>
      </c>
      <c r="C135">
        <v>294</v>
      </c>
      <c r="D135">
        <v>150</v>
      </c>
      <c r="E135">
        <v>-36</v>
      </c>
    </row>
    <row r="136" spans="1:5" x14ac:dyDescent="0.35">
      <c r="A136">
        <v>18</v>
      </c>
      <c r="B136">
        <v>450</v>
      </c>
      <c r="C136">
        <v>1728</v>
      </c>
      <c r="D136">
        <v>648</v>
      </c>
      <c r="E136">
        <v>198</v>
      </c>
    </row>
    <row r="137" spans="1:5" x14ac:dyDescent="0.35">
      <c r="A137">
        <v>2.5</v>
      </c>
      <c r="B137">
        <v>117.5</v>
      </c>
      <c r="C137">
        <v>190</v>
      </c>
      <c r="D137">
        <v>120</v>
      </c>
      <c r="E137">
        <v>2.5</v>
      </c>
    </row>
    <row r="138" spans="1:5" x14ac:dyDescent="0.35">
      <c r="A138">
        <v>3</v>
      </c>
      <c r="B138">
        <v>45</v>
      </c>
      <c r="C138">
        <v>264</v>
      </c>
      <c r="D138">
        <v>168</v>
      </c>
      <c r="E138">
        <v>123</v>
      </c>
    </row>
    <row r="139" spans="1:5" x14ac:dyDescent="0.35">
      <c r="A139">
        <v>6</v>
      </c>
      <c r="B139">
        <v>114</v>
      </c>
      <c r="C139">
        <v>288</v>
      </c>
      <c r="D139">
        <v>354</v>
      </c>
      <c r="E139">
        <v>240</v>
      </c>
    </row>
    <row r="140" spans="1:5" x14ac:dyDescent="0.35">
      <c r="A140">
        <v>18</v>
      </c>
      <c r="B140">
        <v>1044</v>
      </c>
      <c r="C140">
        <v>1728</v>
      </c>
      <c r="D140">
        <v>450</v>
      </c>
      <c r="E140">
        <v>-594</v>
      </c>
    </row>
    <row r="141" spans="1:5" x14ac:dyDescent="0.35">
      <c r="A141">
        <v>4</v>
      </c>
      <c r="B141">
        <v>44</v>
      </c>
      <c r="C141">
        <v>16</v>
      </c>
      <c r="D141">
        <v>336</v>
      </c>
      <c r="E141">
        <v>292</v>
      </c>
    </row>
    <row r="142" spans="1:5" x14ac:dyDescent="0.35">
      <c r="A142">
        <v>2</v>
      </c>
      <c r="B142">
        <v>198</v>
      </c>
      <c r="C142">
        <v>104</v>
      </c>
      <c r="D142">
        <v>72</v>
      </c>
      <c r="E142">
        <v>-126</v>
      </c>
    </row>
    <row r="143" spans="1:5" x14ac:dyDescent="0.35">
      <c r="A143">
        <v>1.5</v>
      </c>
      <c r="B143">
        <v>39</v>
      </c>
      <c r="C143">
        <v>28.5</v>
      </c>
      <c r="D143">
        <v>114</v>
      </c>
      <c r="E143">
        <v>75</v>
      </c>
    </row>
    <row r="144" spans="1:5" x14ac:dyDescent="0.35">
      <c r="A144">
        <v>4.5</v>
      </c>
      <c r="B144">
        <v>315</v>
      </c>
      <c r="C144">
        <v>247.5</v>
      </c>
      <c r="D144">
        <v>103.5</v>
      </c>
      <c r="E144">
        <v>-211.5</v>
      </c>
    </row>
    <row r="145" spans="1:5" x14ac:dyDescent="0.35">
      <c r="A145">
        <v>4.5</v>
      </c>
      <c r="B145">
        <v>225</v>
      </c>
      <c r="C145">
        <v>396</v>
      </c>
      <c r="D145">
        <v>310.5</v>
      </c>
      <c r="E145">
        <v>85.5</v>
      </c>
    </row>
    <row r="146" spans="1:5" x14ac:dyDescent="0.35">
      <c r="A146">
        <v>3.5</v>
      </c>
      <c r="B146">
        <v>192.5</v>
      </c>
      <c r="C146">
        <v>122.5</v>
      </c>
      <c r="D146">
        <v>283.5</v>
      </c>
      <c r="E146">
        <v>91</v>
      </c>
    </row>
    <row r="147" spans="1:5" x14ac:dyDescent="0.35">
      <c r="A147">
        <v>8</v>
      </c>
      <c r="B147">
        <v>248</v>
      </c>
      <c r="C147">
        <v>152</v>
      </c>
      <c r="D147">
        <v>328</v>
      </c>
      <c r="E147">
        <v>80</v>
      </c>
    </row>
    <row r="148" spans="1:5" x14ac:dyDescent="0.35">
      <c r="A148">
        <v>8</v>
      </c>
      <c r="B148">
        <v>504</v>
      </c>
      <c r="C148">
        <v>208</v>
      </c>
      <c r="D148">
        <v>744</v>
      </c>
      <c r="E148">
        <v>240</v>
      </c>
    </row>
    <row r="149" spans="1:5" x14ac:dyDescent="0.35">
      <c r="A149">
        <v>6</v>
      </c>
      <c r="B149">
        <v>438</v>
      </c>
      <c r="C149">
        <v>294</v>
      </c>
      <c r="D149">
        <v>132</v>
      </c>
      <c r="E149">
        <v>-306</v>
      </c>
    </row>
    <row r="150" spans="1:5" x14ac:dyDescent="0.35">
      <c r="A150">
        <v>4</v>
      </c>
      <c r="B150">
        <v>48</v>
      </c>
      <c r="C150">
        <v>392</v>
      </c>
      <c r="D150">
        <v>300</v>
      </c>
      <c r="E150">
        <v>252</v>
      </c>
    </row>
    <row r="151" spans="1:5" x14ac:dyDescent="0.35">
      <c r="A151">
        <v>3</v>
      </c>
      <c r="B151">
        <v>159</v>
      </c>
      <c r="C151">
        <v>162</v>
      </c>
      <c r="D151">
        <v>132</v>
      </c>
      <c r="E151">
        <v>-27</v>
      </c>
    </row>
    <row r="152" spans="1:5" x14ac:dyDescent="0.35">
      <c r="A152">
        <v>2.5</v>
      </c>
      <c r="B152">
        <v>170</v>
      </c>
      <c r="C152">
        <v>92.5</v>
      </c>
      <c r="D152">
        <v>172.5</v>
      </c>
      <c r="E152">
        <v>2.5</v>
      </c>
    </row>
    <row r="153" spans="1:5" x14ac:dyDescent="0.35">
      <c r="A153">
        <v>8.1</v>
      </c>
      <c r="B153">
        <v>648</v>
      </c>
      <c r="C153">
        <v>234.89999999999998</v>
      </c>
      <c r="D153">
        <v>437.4</v>
      </c>
      <c r="E153">
        <v>-210.60000000000002</v>
      </c>
    </row>
    <row r="154" spans="1:5" x14ac:dyDescent="0.35">
      <c r="A154">
        <v>18</v>
      </c>
      <c r="B154">
        <v>1656</v>
      </c>
      <c r="C154">
        <v>1422</v>
      </c>
      <c r="D154">
        <v>720</v>
      </c>
      <c r="E154">
        <v>-936</v>
      </c>
    </row>
    <row r="155" spans="1:5" x14ac:dyDescent="0.35">
      <c r="A155">
        <v>1.8</v>
      </c>
      <c r="B155">
        <v>55.800000000000004</v>
      </c>
      <c r="C155">
        <v>129.6</v>
      </c>
      <c r="D155">
        <v>163.80000000000001</v>
      </c>
      <c r="E155">
        <v>108</v>
      </c>
    </row>
    <row r="156" spans="1:5" x14ac:dyDescent="0.35">
      <c r="A156">
        <v>3</v>
      </c>
      <c r="B156">
        <v>93</v>
      </c>
      <c r="C156">
        <v>27</v>
      </c>
      <c r="D156">
        <v>138</v>
      </c>
      <c r="E156">
        <v>45</v>
      </c>
    </row>
    <row r="157" spans="1:5" x14ac:dyDescent="0.35">
      <c r="A157">
        <v>7</v>
      </c>
      <c r="B157">
        <v>532</v>
      </c>
      <c r="C157">
        <v>140</v>
      </c>
      <c r="D157">
        <v>364</v>
      </c>
      <c r="E157">
        <v>-168</v>
      </c>
    </row>
    <row r="158" spans="1:5" x14ac:dyDescent="0.35">
      <c r="A158">
        <v>2</v>
      </c>
      <c r="B158">
        <v>114</v>
      </c>
      <c r="C158">
        <v>46</v>
      </c>
      <c r="D158">
        <v>178</v>
      </c>
      <c r="E158">
        <v>64</v>
      </c>
    </row>
    <row r="159" spans="1:5" x14ac:dyDescent="0.35">
      <c r="A159">
        <v>4</v>
      </c>
      <c r="B159">
        <v>368</v>
      </c>
      <c r="C159">
        <v>372</v>
      </c>
      <c r="D159">
        <v>172</v>
      </c>
      <c r="E159">
        <v>-196</v>
      </c>
    </row>
    <row r="160" spans="1:5" x14ac:dyDescent="0.35">
      <c r="A160">
        <v>9</v>
      </c>
      <c r="B160">
        <v>792</v>
      </c>
      <c r="C160">
        <v>873</v>
      </c>
      <c r="D160">
        <v>711</v>
      </c>
      <c r="E160">
        <v>-81</v>
      </c>
    </row>
    <row r="161" spans="1:5" x14ac:dyDescent="0.35">
      <c r="A161">
        <v>5</v>
      </c>
      <c r="B161">
        <v>495</v>
      </c>
      <c r="C161">
        <v>135</v>
      </c>
      <c r="D161">
        <v>205</v>
      </c>
      <c r="E161">
        <v>-290</v>
      </c>
    </row>
    <row r="162" spans="1:5" x14ac:dyDescent="0.35">
      <c r="A162">
        <v>2.5</v>
      </c>
      <c r="B162">
        <v>110</v>
      </c>
      <c r="C162">
        <v>157.5</v>
      </c>
      <c r="D162">
        <v>127.5</v>
      </c>
      <c r="E162">
        <v>17.5</v>
      </c>
    </row>
    <row r="163" spans="1:5" x14ac:dyDescent="0.35">
      <c r="A163">
        <v>31</v>
      </c>
      <c r="B163">
        <v>1488</v>
      </c>
      <c r="C163">
        <v>2511</v>
      </c>
      <c r="D163">
        <v>2170</v>
      </c>
      <c r="E163">
        <v>682</v>
      </c>
    </row>
    <row r="164" spans="1:5" x14ac:dyDescent="0.35">
      <c r="A164">
        <v>6.5</v>
      </c>
      <c r="B164">
        <v>175.5</v>
      </c>
      <c r="C164">
        <v>364</v>
      </c>
      <c r="D164">
        <v>188.5</v>
      </c>
      <c r="E164">
        <v>13</v>
      </c>
    </row>
    <row r="165" spans="1:5" x14ac:dyDescent="0.35">
      <c r="A165">
        <v>6.15</v>
      </c>
      <c r="B165">
        <v>209.10000000000002</v>
      </c>
      <c r="C165">
        <v>467.40000000000003</v>
      </c>
      <c r="D165">
        <v>553.5</v>
      </c>
      <c r="E165">
        <v>344.4</v>
      </c>
    </row>
    <row r="166" spans="1:5" x14ac:dyDescent="0.35">
      <c r="A166">
        <v>3</v>
      </c>
      <c r="B166">
        <v>123</v>
      </c>
      <c r="C166">
        <v>12</v>
      </c>
      <c r="D166">
        <v>264</v>
      </c>
      <c r="E166">
        <v>141</v>
      </c>
    </row>
    <row r="167" spans="1:5" x14ac:dyDescent="0.35">
      <c r="A167">
        <v>5</v>
      </c>
      <c r="B167">
        <v>280</v>
      </c>
      <c r="C167">
        <v>425</v>
      </c>
      <c r="D167">
        <v>260</v>
      </c>
      <c r="E167">
        <v>-20</v>
      </c>
    </row>
    <row r="168" spans="1:5" x14ac:dyDescent="0.35">
      <c r="A168">
        <v>5</v>
      </c>
      <c r="B168">
        <v>110</v>
      </c>
      <c r="C168">
        <v>35</v>
      </c>
      <c r="D168">
        <v>490</v>
      </c>
      <c r="E168">
        <v>380</v>
      </c>
    </row>
    <row r="169" spans="1:5" x14ac:dyDescent="0.35">
      <c r="A169">
        <v>1.8</v>
      </c>
      <c r="B169">
        <v>72</v>
      </c>
      <c r="C169">
        <v>104.4</v>
      </c>
      <c r="D169">
        <v>127.8</v>
      </c>
      <c r="E169">
        <v>55.8</v>
      </c>
    </row>
    <row r="170" spans="1:5" x14ac:dyDescent="0.35">
      <c r="A170">
        <v>8</v>
      </c>
      <c r="B170">
        <v>400</v>
      </c>
      <c r="C170">
        <v>584</v>
      </c>
      <c r="D170">
        <v>336</v>
      </c>
      <c r="E170">
        <v>-64</v>
      </c>
    </row>
    <row r="171" spans="1:5" x14ac:dyDescent="0.35">
      <c r="A171">
        <v>4.8</v>
      </c>
      <c r="B171">
        <v>427.2</v>
      </c>
      <c r="C171">
        <v>297.59999999999997</v>
      </c>
      <c r="D171">
        <v>220.79999999999998</v>
      </c>
      <c r="E171">
        <v>-206.4</v>
      </c>
    </row>
    <row r="172" spans="1:5" x14ac:dyDescent="0.35">
      <c r="A172">
        <v>2.5</v>
      </c>
      <c r="B172">
        <v>190</v>
      </c>
      <c r="C172">
        <v>190</v>
      </c>
      <c r="D172">
        <v>172.5</v>
      </c>
      <c r="E172">
        <v>-17.5</v>
      </c>
    </row>
    <row r="173" spans="1:5" x14ac:dyDescent="0.35">
      <c r="A173">
        <v>2.75</v>
      </c>
      <c r="B173">
        <v>184.25</v>
      </c>
      <c r="C173">
        <v>57.75</v>
      </c>
      <c r="D173">
        <v>82.5</v>
      </c>
      <c r="E173">
        <v>-101.75</v>
      </c>
    </row>
    <row r="174" spans="1:5" x14ac:dyDescent="0.35">
      <c r="A174">
        <v>10</v>
      </c>
      <c r="B174">
        <v>620</v>
      </c>
      <c r="C174">
        <v>970</v>
      </c>
      <c r="D174">
        <v>620</v>
      </c>
      <c r="E174">
        <v>0</v>
      </c>
    </row>
    <row r="175" spans="1:5" x14ac:dyDescent="0.35">
      <c r="A175">
        <v>3</v>
      </c>
      <c r="B175">
        <v>225</v>
      </c>
      <c r="C175">
        <v>204</v>
      </c>
      <c r="D175">
        <v>270</v>
      </c>
      <c r="E175">
        <v>45</v>
      </c>
    </row>
    <row r="176" spans="1:5" x14ac:dyDescent="0.35">
      <c r="A176">
        <v>12.5</v>
      </c>
      <c r="B176">
        <v>937.5</v>
      </c>
      <c r="C176">
        <v>412.5</v>
      </c>
      <c r="D176">
        <v>412.5</v>
      </c>
      <c r="E176">
        <v>-525</v>
      </c>
    </row>
    <row r="177" spans="1:5" x14ac:dyDescent="0.35">
      <c r="A177">
        <v>2.5</v>
      </c>
      <c r="B177">
        <v>72.5</v>
      </c>
      <c r="C177">
        <v>65</v>
      </c>
      <c r="D177">
        <v>160</v>
      </c>
      <c r="E177">
        <v>87.5</v>
      </c>
    </row>
    <row r="178" spans="1:5" x14ac:dyDescent="0.35">
      <c r="A178">
        <v>5</v>
      </c>
      <c r="B178">
        <v>170</v>
      </c>
      <c r="C178">
        <v>110</v>
      </c>
      <c r="D178">
        <v>385</v>
      </c>
      <c r="E178">
        <v>215</v>
      </c>
    </row>
    <row r="179" spans="1:5" x14ac:dyDescent="0.35">
      <c r="A179">
        <v>8</v>
      </c>
      <c r="B179">
        <v>120</v>
      </c>
      <c r="C179">
        <v>680</v>
      </c>
      <c r="D179">
        <v>480</v>
      </c>
      <c r="E179">
        <v>360</v>
      </c>
    </row>
    <row r="180" spans="1:5" x14ac:dyDescent="0.35">
      <c r="A180">
        <v>10</v>
      </c>
      <c r="B180">
        <v>880</v>
      </c>
      <c r="C180">
        <v>810</v>
      </c>
      <c r="D180">
        <v>980</v>
      </c>
      <c r="E180">
        <v>100</v>
      </c>
    </row>
    <row r="181" spans="1:5" x14ac:dyDescent="0.35">
      <c r="A181">
        <v>9</v>
      </c>
      <c r="B181">
        <v>360</v>
      </c>
      <c r="C181">
        <v>360</v>
      </c>
      <c r="D181">
        <v>360</v>
      </c>
      <c r="E181">
        <v>0</v>
      </c>
    </row>
    <row r="182" spans="1:5" x14ac:dyDescent="0.35">
      <c r="A182">
        <v>10</v>
      </c>
      <c r="B182">
        <v>100</v>
      </c>
      <c r="C182">
        <v>230</v>
      </c>
      <c r="D182">
        <v>240</v>
      </c>
      <c r="E182">
        <v>140</v>
      </c>
    </row>
    <row r="183" spans="1:5" x14ac:dyDescent="0.35">
      <c r="A183">
        <v>21</v>
      </c>
      <c r="B183">
        <v>441</v>
      </c>
      <c r="C183">
        <v>252</v>
      </c>
      <c r="D183">
        <v>420</v>
      </c>
      <c r="E183">
        <v>-21</v>
      </c>
    </row>
    <row r="184" spans="1:5" x14ac:dyDescent="0.35">
      <c r="A184">
        <v>12</v>
      </c>
      <c r="B184">
        <v>900</v>
      </c>
      <c r="C184">
        <v>1188</v>
      </c>
      <c r="D184">
        <v>1068</v>
      </c>
      <c r="E184">
        <v>168</v>
      </c>
    </row>
    <row r="185" spans="1:5" x14ac:dyDescent="0.35">
      <c r="A185">
        <v>8</v>
      </c>
      <c r="B185">
        <v>448</v>
      </c>
      <c r="C185">
        <v>640</v>
      </c>
      <c r="D185">
        <v>792</v>
      </c>
      <c r="E185">
        <v>344</v>
      </c>
    </row>
    <row r="186" spans="1:5" x14ac:dyDescent="0.35">
      <c r="A186">
        <v>3</v>
      </c>
      <c r="B186">
        <v>207</v>
      </c>
      <c r="C186">
        <v>273</v>
      </c>
      <c r="D186">
        <v>294</v>
      </c>
      <c r="E186">
        <v>87</v>
      </c>
    </row>
    <row r="187" spans="1:5" x14ac:dyDescent="0.35">
      <c r="A187">
        <v>4.5</v>
      </c>
      <c r="B187">
        <v>252</v>
      </c>
      <c r="C187">
        <v>346.5</v>
      </c>
      <c r="D187">
        <v>310.5</v>
      </c>
      <c r="E187">
        <v>58.5</v>
      </c>
    </row>
    <row r="188" spans="1:5" x14ac:dyDescent="0.35">
      <c r="A188">
        <v>2</v>
      </c>
      <c r="B188">
        <v>48</v>
      </c>
      <c r="C188">
        <v>4</v>
      </c>
      <c r="D188">
        <v>40</v>
      </c>
      <c r="E188">
        <v>-8</v>
      </c>
    </row>
    <row r="189" spans="1:5" x14ac:dyDescent="0.35">
      <c r="A189">
        <v>4.5</v>
      </c>
      <c r="B189">
        <v>135</v>
      </c>
      <c r="C189">
        <v>94.5</v>
      </c>
      <c r="D189">
        <v>144</v>
      </c>
      <c r="E189">
        <v>9</v>
      </c>
    </row>
    <row r="190" spans="1:5" x14ac:dyDescent="0.35">
      <c r="A190">
        <v>25</v>
      </c>
      <c r="B190">
        <v>900</v>
      </c>
      <c r="C190">
        <v>1425</v>
      </c>
      <c r="D190">
        <v>875</v>
      </c>
      <c r="E190">
        <v>-25</v>
      </c>
    </row>
    <row r="191" spans="1:5" x14ac:dyDescent="0.35">
      <c r="A191">
        <v>2.5</v>
      </c>
      <c r="B191">
        <v>232.5</v>
      </c>
      <c r="C191">
        <v>205</v>
      </c>
      <c r="D191">
        <v>190</v>
      </c>
      <c r="E191">
        <v>-42.5</v>
      </c>
    </row>
    <row r="192" spans="1:5" x14ac:dyDescent="0.35">
      <c r="A192">
        <v>7</v>
      </c>
      <c r="B192">
        <v>672</v>
      </c>
      <c r="C192">
        <v>119</v>
      </c>
      <c r="D192">
        <v>504</v>
      </c>
      <c r="E192">
        <v>-168</v>
      </c>
    </row>
    <row r="193" spans="1:5" x14ac:dyDescent="0.35">
      <c r="A193">
        <v>4</v>
      </c>
      <c r="B193">
        <v>240</v>
      </c>
      <c r="C193">
        <v>260</v>
      </c>
      <c r="D193">
        <v>376</v>
      </c>
      <c r="E193">
        <v>136</v>
      </c>
    </row>
    <row r="194" spans="1:5" x14ac:dyDescent="0.35">
      <c r="A194">
        <v>7</v>
      </c>
      <c r="B194">
        <v>679</v>
      </c>
      <c r="C194">
        <v>91</v>
      </c>
      <c r="D194">
        <v>301</v>
      </c>
      <c r="E194">
        <v>-378</v>
      </c>
    </row>
    <row r="195" spans="1:5" x14ac:dyDescent="0.35">
      <c r="A195">
        <v>5</v>
      </c>
      <c r="B195">
        <v>55</v>
      </c>
      <c r="C195">
        <v>500</v>
      </c>
      <c r="D195">
        <v>440</v>
      </c>
      <c r="E195">
        <v>385</v>
      </c>
    </row>
    <row r="196" spans="1:5" x14ac:dyDescent="0.35">
      <c r="A196">
        <v>6</v>
      </c>
      <c r="B196">
        <v>84</v>
      </c>
      <c r="C196">
        <v>6</v>
      </c>
      <c r="D196">
        <v>516</v>
      </c>
      <c r="E196">
        <v>432</v>
      </c>
    </row>
    <row r="197" spans="1:5" x14ac:dyDescent="0.35">
      <c r="A197">
        <v>2.5</v>
      </c>
      <c r="B197">
        <v>220</v>
      </c>
      <c r="C197">
        <v>42.5</v>
      </c>
      <c r="D197">
        <v>62.5</v>
      </c>
      <c r="E197">
        <v>-157.5</v>
      </c>
    </row>
    <row r="198" spans="1:5" x14ac:dyDescent="0.35">
      <c r="A198">
        <v>4.75</v>
      </c>
      <c r="B198">
        <v>114</v>
      </c>
      <c r="C198">
        <v>28.5</v>
      </c>
      <c r="D198">
        <v>166.25</v>
      </c>
      <c r="E198">
        <v>52.25</v>
      </c>
    </row>
    <row r="199" spans="1:5" x14ac:dyDescent="0.35">
      <c r="A199">
        <v>9</v>
      </c>
      <c r="B199">
        <v>837</v>
      </c>
      <c r="C199">
        <v>585</v>
      </c>
      <c r="D199">
        <v>702</v>
      </c>
      <c r="E199">
        <v>-135</v>
      </c>
    </row>
    <row r="200" spans="1:5" x14ac:dyDescent="0.35">
      <c r="A200">
        <v>6</v>
      </c>
      <c r="B200">
        <v>408</v>
      </c>
      <c r="C200">
        <v>582</v>
      </c>
      <c r="D200">
        <v>222</v>
      </c>
      <c r="E200">
        <v>-186</v>
      </c>
    </row>
    <row r="201" spans="1:5" x14ac:dyDescent="0.35">
      <c r="A201">
        <v>2.8</v>
      </c>
      <c r="B201">
        <v>78.399999999999991</v>
      </c>
      <c r="C201">
        <v>224</v>
      </c>
      <c r="D201">
        <v>86.8</v>
      </c>
      <c r="E201">
        <v>8.4000000000000057</v>
      </c>
    </row>
    <row r="202" spans="1:5" x14ac:dyDescent="0.35">
      <c r="A202">
        <v>2</v>
      </c>
      <c r="B202">
        <v>42</v>
      </c>
      <c r="C202">
        <v>64</v>
      </c>
      <c r="D202">
        <v>86</v>
      </c>
      <c r="E202">
        <v>44</v>
      </c>
    </row>
    <row r="203" spans="1:5" x14ac:dyDescent="0.35">
      <c r="A203">
        <v>6</v>
      </c>
      <c r="B203">
        <v>552</v>
      </c>
      <c r="C203">
        <v>336</v>
      </c>
      <c r="D203">
        <v>192</v>
      </c>
      <c r="E203">
        <v>-360</v>
      </c>
    </row>
    <row r="204" spans="1:5" x14ac:dyDescent="0.35">
      <c r="A204">
        <v>10</v>
      </c>
      <c r="B204">
        <v>680</v>
      </c>
      <c r="C204">
        <v>420</v>
      </c>
      <c r="D204">
        <v>390</v>
      </c>
      <c r="E204">
        <v>-290</v>
      </c>
    </row>
    <row r="205" spans="1:5" x14ac:dyDescent="0.35">
      <c r="A205">
        <v>3.5</v>
      </c>
      <c r="B205">
        <v>161</v>
      </c>
      <c r="C205">
        <v>161</v>
      </c>
      <c r="D205">
        <v>238</v>
      </c>
      <c r="E205">
        <v>77</v>
      </c>
    </row>
    <row r="206" spans="1:5" x14ac:dyDescent="0.35">
      <c r="A206">
        <v>1.75</v>
      </c>
      <c r="B206">
        <v>82.25</v>
      </c>
      <c r="C206">
        <v>113.75</v>
      </c>
      <c r="D206">
        <v>85.75</v>
      </c>
      <c r="E206">
        <v>3.5</v>
      </c>
    </row>
    <row r="207" spans="1:5" x14ac:dyDescent="0.35">
      <c r="A207">
        <v>6</v>
      </c>
      <c r="B207">
        <v>312</v>
      </c>
      <c r="C207">
        <v>330</v>
      </c>
      <c r="D207">
        <v>600</v>
      </c>
      <c r="E207">
        <v>288</v>
      </c>
    </row>
    <row r="208" spans="1:5" x14ac:dyDescent="0.35">
      <c r="A208">
        <v>6</v>
      </c>
      <c r="B208">
        <v>306</v>
      </c>
      <c r="C208">
        <v>570</v>
      </c>
      <c r="D208">
        <v>312</v>
      </c>
      <c r="E208">
        <v>6</v>
      </c>
    </row>
    <row r="209" spans="1:5" x14ac:dyDescent="0.35">
      <c r="A209">
        <v>2.5</v>
      </c>
      <c r="B209">
        <v>35</v>
      </c>
      <c r="C209">
        <v>185</v>
      </c>
      <c r="D209">
        <v>147.5</v>
      </c>
      <c r="E209">
        <v>112.5</v>
      </c>
    </row>
    <row r="210" spans="1:5" x14ac:dyDescent="0.35">
      <c r="A210">
        <v>51.17</v>
      </c>
      <c r="B210">
        <v>3172.54</v>
      </c>
      <c r="C210">
        <v>562.87</v>
      </c>
      <c r="D210">
        <v>4707.6400000000003</v>
      </c>
      <c r="E210">
        <v>1535.1000000000004</v>
      </c>
    </row>
    <row r="211" spans="1:5" x14ac:dyDescent="0.35">
      <c r="A211">
        <v>4</v>
      </c>
      <c r="B211">
        <v>160</v>
      </c>
      <c r="C211">
        <v>28</v>
      </c>
      <c r="D211">
        <v>280</v>
      </c>
      <c r="E211">
        <v>120</v>
      </c>
    </row>
    <row r="212" spans="1:5" x14ac:dyDescent="0.35">
      <c r="A212">
        <v>25.5</v>
      </c>
      <c r="B212">
        <v>1275</v>
      </c>
      <c r="C212">
        <v>2320.5</v>
      </c>
      <c r="D212">
        <v>739.5</v>
      </c>
      <c r="E212">
        <v>-535.5</v>
      </c>
    </row>
    <row r="213" spans="1:5" x14ac:dyDescent="0.35">
      <c r="A213">
        <v>4.25</v>
      </c>
      <c r="B213">
        <v>327.25</v>
      </c>
      <c r="C213">
        <v>157.25</v>
      </c>
      <c r="D213">
        <v>178.5</v>
      </c>
      <c r="E213">
        <v>-148.75</v>
      </c>
    </row>
    <row r="214" spans="1:5" x14ac:dyDescent="0.35">
      <c r="A214">
        <v>5.9</v>
      </c>
      <c r="B214">
        <v>182.9</v>
      </c>
      <c r="C214">
        <v>41.300000000000004</v>
      </c>
      <c r="D214">
        <v>271.40000000000003</v>
      </c>
      <c r="E214">
        <v>88.500000000000028</v>
      </c>
    </row>
    <row r="215" spans="1:5" x14ac:dyDescent="0.35">
      <c r="A215">
        <v>6.5</v>
      </c>
      <c r="B215">
        <v>227.5</v>
      </c>
      <c r="C215">
        <v>195</v>
      </c>
      <c r="D215">
        <v>572</v>
      </c>
      <c r="E215">
        <v>344.5</v>
      </c>
    </row>
    <row r="216" spans="1:5" x14ac:dyDescent="0.35">
      <c r="A216">
        <v>4</v>
      </c>
      <c r="B216">
        <v>124</v>
      </c>
      <c r="C216">
        <v>208</v>
      </c>
      <c r="D216">
        <v>276</v>
      </c>
      <c r="E216">
        <v>152</v>
      </c>
    </row>
    <row r="217" spans="1:5" x14ac:dyDescent="0.35">
      <c r="A217">
        <v>2.5</v>
      </c>
      <c r="B217">
        <v>140</v>
      </c>
      <c r="C217">
        <v>160</v>
      </c>
      <c r="D217">
        <v>140</v>
      </c>
      <c r="E217">
        <v>0</v>
      </c>
    </row>
    <row r="218" spans="1:5" x14ac:dyDescent="0.35">
      <c r="A218">
        <v>3</v>
      </c>
      <c r="B218">
        <v>270</v>
      </c>
      <c r="C218">
        <v>162</v>
      </c>
      <c r="D218">
        <v>210</v>
      </c>
      <c r="E218">
        <v>-60</v>
      </c>
    </row>
    <row r="219" spans="1:5" x14ac:dyDescent="0.35">
      <c r="A219">
        <v>2.2999999999999998</v>
      </c>
      <c r="B219">
        <v>181.7</v>
      </c>
      <c r="C219">
        <v>151.79999999999998</v>
      </c>
      <c r="D219">
        <v>211.6</v>
      </c>
      <c r="E219">
        <v>29.900000000000006</v>
      </c>
    </row>
    <row r="220" spans="1:5" x14ac:dyDescent="0.35">
      <c r="A220">
        <v>2</v>
      </c>
      <c r="B220">
        <v>58</v>
      </c>
      <c r="C220">
        <v>182</v>
      </c>
      <c r="D220">
        <v>162</v>
      </c>
      <c r="E220">
        <v>104</v>
      </c>
    </row>
    <row r="221" spans="1:5" x14ac:dyDescent="0.35">
      <c r="A221">
        <v>2.2999999999999998</v>
      </c>
      <c r="B221">
        <v>105.8</v>
      </c>
      <c r="C221">
        <v>211.6</v>
      </c>
      <c r="D221">
        <v>108.1</v>
      </c>
      <c r="E221">
        <v>2.2999999999999972</v>
      </c>
    </row>
    <row r="222" spans="1:5" x14ac:dyDescent="0.35">
      <c r="A222">
        <v>10</v>
      </c>
      <c r="B222">
        <v>420</v>
      </c>
      <c r="C222">
        <v>530</v>
      </c>
      <c r="D222">
        <v>370</v>
      </c>
      <c r="E222">
        <v>-50</v>
      </c>
    </row>
    <row r="223" spans="1:5" x14ac:dyDescent="0.35">
      <c r="A223">
        <v>7.2</v>
      </c>
      <c r="B223">
        <v>115.2</v>
      </c>
      <c r="C223">
        <v>93.600000000000009</v>
      </c>
      <c r="D223">
        <v>403.2</v>
      </c>
      <c r="E223">
        <v>288</v>
      </c>
    </row>
    <row r="224" spans="1:5" x14ac:dyDescent="0.35">
      <c r="A224">
        <v>18</v>
      </c>
      <c r="B224">
        <v>1602</v>
      </c>
      <c r="C224">
        <v>738</v>
      </c>
      <c r="D224">
        <v>1368</v>
      </c>
      <c r="E224">
        <v>-234</v>
      </c>
    </row>
    <row r="225" spans="1:5" x14ac:dyDescent="0.35">
      <c r="A225">
        <v>25</v>
      </c>
      <c r="B225">
        <v>500</v>
      </c>
      <c r="C225">
        <v>1075</v>
      </c>
      <c r="D225">
        <v>1825</v>
      </c>
      <c r="E225">
        <v>1325</v>
      </c>
    </row>
    <row r="226" spans="1:5" x14ac:dyDescent="0.35">
      <c r="A226">
        <v>15</v>
      </c>
      <c r="B226">
        <v>555</v>
      </c>
      <c r="C226">
        <v>1140</v>
      </c>
      <c r="D226">
        <v>1410</v>
      </c>
      <c r="E226">
        <v>855</v>
      </c>
    </row>
    <row r="227" spans="1:5" x14ac:dyDescent="0.35">
      <c r="A227">
        <v>1.5</v>
      </c>
      <c r="B227">
        <v>145.5</v>
      </c>
      <c r="C227">
        <v>102</v>
      </c>
      <c r="D227">
        <v>52.5</v>
      </c>
      <c r="E227">
        <v>-93</v>
      </c>
    </row>
    <row r="228" spans="1:5" x14ac:dyDescent="0.35">
      <c r="A228">
        <v>7</v>
      </c>
      <c r="B228">
        <v>686</v>
      </c>
      <c r="C228">
        <v>49</v>
      </c>
      <c r="D228">
        <v>644</v>
      </c>
      <c r="E228">
        <v>-42</v>
      </c>
    </row>
    <row r="229" spans="1:5" x14ac:dyDescent="0.35">
      <c r="A229">
        <v>6</v>
      </c>
      <c r="B229">
        <v>222</v>
      </c>
      <c r="C229">
        <v>300</v>
      </c>
      <c r="D229">
        <v>282</v>
      </c>
      <c r="E229">
        <v>60</v>
      </c>
    </row>
    <row r="230" spans="1:5" x14ac:dyDescent="0.35">
      <c r="A230">
        <v>4</v>
      </c>
      <c r="B230">
        <v>388</v>
      </c>
      <c r="C230">
        <v>384</v>
      </c>
      <c r="D230">
        <v>228</v>
      </c>
      <c r="E230">
        <v>-160</v>
      </c>
    </row>
    <row r="231" spans="1:5" x14ac:dyDescent="0.35">
      <c r="A231">
        <v>20</v>
      </c>
      <c r="B231">
        <v>1940</v>
      </c>
      <c r="C231">
        <v>1980</v>
      </c>
      <c r="D231">
        <v>1480</v>
      </c>
      <c r="E231">
        <v>-460</v>
      </c>
    </row>
    <row r="232" spans="1:5" x14ac:dyDescent="0.35">
      <c r="A232">
        <v>2.5</v>
      </c>
      <c r="B232">
        <v>225</v>
      </c>
      <c r="C232">
        <v>140</v>
      </c>
      <c r="D232">
        <v>177.5</v>
      </c>
      <c r="E232">
        <v>-47.5</v>
      </c>
    </row>
    <row r="233" spans="1:5" x14ac:dyDescent="0.35">
      <c r="A233">
        <v>20</v>
      </c>
      <c r="B233">
        <v>920</v>
      </c>
      <c r="C233">
        <v>1780</v>
      </c>
      <c r="D233">
        <v>1180</v>
      </c>
      <c r="E233">
        <v>260</v>
      </c>
    </row>
    <row r="234" spans="1:5" x14ac:dyDescent="0.35">
      <c r="A234">
        <v>4</v>
      </c>
      <c r="B234">
        <v>160</v>
      </c>
      <c r="C234">
        <v>392</v>
      </c>
      <c r="D234">
        <v>344</v>
      </c>
      <c r="E234">
        <v>184</v>
      </c>
    </row>
    <row r="235" spans="1:5" x14ac:dyDescent="0.35">
      <c r="A235">
        <v>4</v>
      </c>
      <c r="B235">
        <v>308</v>
      </c>
      <c r="C235">
        <v>112</v>
      </c>
      <c r="D235">
        <v>192</v>
      </c>
      <c r="E235">
        <v>-116</v>
      </c>
    </row>
    <row r="236" spans="1:5" x14ac:dyDescent="0.35">
      <c r="A236">
        <v>1.5</v>
      </c>
      <c r="B236">
        <v>93</v>
      </c>
      <c r="C236">
        <v>34.5</v>
      </c>
      <c r="D236">
        <v>48</v>
      </c>
      <c r="E236">
        <v>-45</v>
      </c>
    </row>
    <row r="237" spans="1:5" x14ac:dyDescent="0.35">
      <c r="A237">
        <v>30</v>
      </c>
      <c r="B237">
        <v>1770</v>
      </c>
      <c r="C237">
        <v>30</v>
      </c>
      <c r="D237">
        <v>2070</v>
      </c>
      <c r="E237">
        <v>300</v>
      </c>
    </row>
    <row r="238" spans="1:5" x14ac:dyDescent="0.35">
      <c r="A238">
        <v>10</v>
      </c>
      <c r="B238">
        <v>230</v>
      </c>
      <c r="C238">
        <v>540</v>
      </c>
      <c r="D238">
        <v>400</v>
      </c>
      <c r="E238">
        <v>170</v>
      </c>
    </row>
    <row r="239" spans="1:5" x14ac:dyDescent="0.35">
      <c r="A239">
        <v>4</v>
      </c>
      <c r="B239">
        <v>156</v>
      </c>
      <c r="C239">
        <v>228</v>
      </c>
      <c r="D239">
        <v>392</v>
      </c>
      <c r="E239">
        <v>236</v>
      </c>
    </row>
    <row r="240" spans="1:5" x14ac:dyDescent="0.35">
      <c r="A240">
        <v>7</v>
      </c>
      <c r="B240">
        <v>476</v>
      </c>
      <c r="C240">
        <v>217</v>
      </c>
      <c r="D240">
        <v>371</v>
      </c>
      <c r="E240">
        <v>-105</v>
      </c>
    </row>
    <row r="241" spans="1:5" x14ac:dyDescent="0.35">
      <c r="A241">
        <v>9.5</v>
      </c>
      <c r="B241">
        <v>712.5</v>
      </c>
      <c r="C241">
        <v>712.5</v>
      </c>
      <c r="D241">
        <v>408.5</v>
      </c>
      <c r="E241">
        <v>-304</v>
      </c>
    </row>
    <row r="242" spans="1:5" x14ac:dyDescent="0.35">
      <c r="A242">
        <v>5</v>
      </c>
      <c r="B242">
        <v>480</v>
      </c>
      <c r="C242">
        <v>240</v>
      </c>
      <c r="D242">
        <v>225</v>
      </c>
      <c r="E242">
        <v>-255</v>
      </c>
    </row>
    <row r="243" spans="1:5" x14ac:dyDescent="0.35">
      <c r="A243">
        <v>9</v>
      </c>
      <c r="B243">
        <v>153</v>
      </c>
      <c r="C243">
        <v>837</v>
      </c>
      <c r="D243">
        <v>900</v>
      </c>
      <c r="E243">
        <v>747</v>
      </c>
    </row>
    <row r="244" spans="1:5" x14ac:dyDescent="0.35">
      <c r="A244">
        <v>1</v>
      </c>
      <c r="B244">
        <v>23</v>
      </c>
      <c r="C244">
        <v>25</v>
      </c>
      <c r="D244">
        <v>84</v>
      </c>
      <c r="E244">
        <v>61</v>
      </c>
    </row>
    <row r="245" spans="1:5" x14ac:dyDescent="0.35">
      <c r="A245">
        <v>4</v>
      </c>
      <c r="B245">
        <v>60</v>
      </c>
      <c r="C245">
        <v>84</v>
      </c>
      <c r="D245">
        <v>148</v>
      </c>
      <c r="E245">
        <v>88</v>
      </c>
    </row>
    <row r="246" spans="1:5" x14ac:dyDescent="0.35">
      <c r="A246">
        <v>7.5</v>
      </c>
      <c r="B246">
        <v>532.5</v>
      </c>
      <c r="C246">
        <v>45</v>
      </c>
      <c r="D246">
        <v>390</v>
      </c>
      <c r="E246">
        <v>-142.5</v>
      </c>
    </row>
    <row r="247" spans="1:5" x14ac:dyDescent="0.35">
      <c r="A247">
        <v>2.5</v>
      </c>
      <c r="B247">
        <v>242.5</v>
      </c>
      <c r="C247">
        <v>37.5</v>
      </c>
      <c r="D247">
        <v>82.5</v>
      </c>
      <c r="E247">
        <v>-160</v>
      </c>
    </row>
    <row r="248" spans="1:5" x14ac:dyDescent="0.35">
      <c r="A248">
        <v>2.5</v>
      </c>
      <c r="B248">
        <v>72.5</v>
      </c>
      <c r="C248">
        <v>215</v>
      </c>
      <c r="D248">
        <v>132.5</v>
      </c>
      <c r="E248">
        <v>60</v>
      </c>
    </row>
    <row r="249" spans="1:5" x14ac:dyDescent="0.35">
      <c r="A249">
        <v>4.5999999999999996</v>
      </c>
      <c r="B249">
        <v>211.6</v>
      </c>
      <c r="C249">
        <v>78.199999999999989</v>
      </c>
      <c r="D249">
        <v>441.59999999999997</v>
      </c>
      <c r="E249">
        <v>229.99999999999997</v>
      </c>
    </row>
    <row r="250" spans="1:5" x14ac:dyDescent="0.35">
      <c r="A250">
        <v>9.5</v>
      </c>
      <c r="B250">
        <v>722</v>
      </c>
      <c r="C250">
        <v>940.5</v>
      </c>
      <c r="D250">
        <v>570</v>
      </c>
      <c r="E250">
        <v>-152</v>
      </c>
    </row>
    <row r="251" spans="1:5" x14ac:dyDescent="0.35">
      <c r="A251">
        <v>2.5</v>
      </c>
      <c r="B251">
        <v>147.5</v>
      </c>
      <c r="C251">
        <v>60</v>
      </c>
      <c r="D251">
        <v>135</v>
      </c>
      <c r="E251">
        <v>-12.5</v>
      </c>
    </row>
    <row r="252" spans="1:5" x14ac:dyDescent="0.35">
      <c r="A252">
        <v>3.1</v>
      </c>
      <c r="B252">
        <v>285.2</v>
      </c>
      <c r="C252">
        <v>226.3</v>
      </c>
      <c r="D252">
        <v>244.9</v>
      </c>
      <c r="E252">
        <v>-40.299999999999983</v>
      </c>
    </row>
    <row r="253" spans="1:5" x14ac:dyDescent="0.35">
      <c r="A253">
        <v>6</v>
      </c>
      <c r="B253">
        <v>168</v>
      </c>
      <c r="C253">
        <v>132</v>
      </c>
      <c r="D253">
        <v>420</v>
      </c>
      <c r="E253">
        <v>252</v>
      </c>
    </row>
    <row r="254" spans="1:5" x14ac:dyDescent="0.35">
      <c r="A254">
        <v>5</v>
      </c>
      <c r="B254">
        <v>95</v>
      </c>
      <c r="C254">
        <v>125</v>
      </c>
      <c r="D254">
        <v>480</v>
      </c>
      <c r="E254">
        <v>385</v>
      </c>
    </row>
    <row r="255" spans="1:5" x14ac:dyDescent="0.35">
      <c r="A255">
        <v>3</v>
      </c>
      <c r="B255">
        <v>255</v>
      </c>
      <c r="C255">
        <v>63</v>
      </c>
      <c r="D255">
        <v>135</v>
      </c>
      <c r="E255">
        <v>-120</v>
      </c>
    </row>
    <row r="256" spans="1:5" x14ac:dyDescent="0.35">
      <c r="A256">
        <v>1.5</v>
      </c>
      <c r="B256">
        <v>85.5</v>
      </c>
      <c r="C256">
        <v>61.5</v>
      </c>
      <c r="D256">
        <v>79.5</v>
      </c>
      <c r="E256">
        <v>-6</v>
      </c>
    </row>
    <row r="257" spans="1:5" x14ac:dyDescent="0.35">
      <c r="A257">
        <v>4</v>
      </c>
      <c r="B257">
        <v>380</v>
      </c>
      <c r="C257">
        <v>112</v>
      </c>
      <c r="D257">
        <v>208</v>
      </c>
      <c r="E257">
        <v>-172</v>
      </c>
    </row>
    <row r="258" spans="1:5" x14ac:dyDescent="0.35">
      <c r="A258">
        <v>4.5</v>
      </c>
      <c r="B258">
        <v>378</v>
      </c>
      <c r="C258">
        <v>346.5</v>
      </c>
      <c r="D258">
        <v>175.5</v>
      </c>
      <c r="E258">
        <v>-202.5</v>
      </c>
    </row>
    <row r="259" spans="1:5" x14ac:dyDescent="0.35">
      <c r="A259">
        <v>2</v>
      </c>
      <c r="B259">
        <v>62</v>
      </c>
      <c r="C259">
        <v>138</v>
      </c>
      <c r="D259">
        <v>76</v>
      </c>
      <c r="E259">
        <v>14</v>
      </c>
    </row>
    <row r="260" spans="1:5" x14ac:dyDescent="0.35">
      <c r="A260">
        <v>4.5</v>
      </c>
      <c r="B260">
        <v>184.5</v>
      </c>
      <c r="C260">
        <v>337.5</v>
      </c>
      <c r="D260">
        <v>256.5</v>
      </c>
      <c r="E260">
        <v>72</v>
      </c>
    </row>
    <row r="261" spans="1:5" x14ac:dyDescent="0.35">
      <c r="A261">
        <v>7</v>
      </c>
      <c r="B261">
        <v>679</v>
      </c>
      <c r="C261">
        <v>588</v>
      </c>
      <c r="D261">
        <v>665</v>
      </c>
      <c r="E261">
        <v>-14</v>
      </c>
    </row>
    <row r="262" spans="1:5" x14ac:dyDescent="0.35">
      <c r="A262">
        <v>1</v>
      </c>
      <c r="B262">
        <v>43</v>
      </c>
      <c r="C262">
        <v>33</v>
      </c>
      <c r="D262">
        <v>84</v>
      </c>
      <c r="E262">
        <v>41</v>
      </c>
    </row>
    <row r="263" spans="1:5" x14ac:dyDescent="0.35">
      <c r="A263">
        <v>1.8</v>
      </c>
      <c r="B263">
        <v>133.20000000000002</v>
      </c>
      <c r="C263">
        <v>120.60000000000001</v>
      </c>
      <c r="D263">
        <v>55.800000000000004</v>
      </c>
      <c r="E263">
        <v>-77.400000000000006</v>
      </c>
    </row>
    <row r="264" spans="1:5" x14ac:dyDescent="0.35">
      <c r="A264">
        <v>1.5</v>
      </c>
      <c r="B264">
        <v>105</v>
      </c>
      <c r="C264">
        <v>138</v>
      </c>
      <c r="D264">
        <v>40.5</v>
      </c>
      <c r="E264">
        <v>-64.5</v>
      </c>
    </row>
    <row r="265" spans="1:5" x14ac:dyDescent="0.35">
      <c r="A265">
        <v>9.1999999999999993</v>
      </c>
      <c r="B265">
        <v>634.79999999999995</v>
      </c>
      <c r="C265">
        <v>294.39999999999998</v>
      </c>
      <c r="D265">
        <v>257.59999999999997</v>
      </c>
      <c r="E265">
        <v>-377.2</v>
      </c>
    </row>
    <row r="266" spans="1:5" x14ac:dyDescent="0.35">
      <c r="A266">
        <v>1.5</v>
      </c>
      <c r="B266">
        <v>100.5</v>
      </c>
      <c r="C266">
        <v>75</v>
      </c>
      <c r="D266">
        <v>100.5</v>
      </c>
      <c r="E266">
        <v>0</v>
      </c>
    </row>
    <row r="267" spans="1:5" x14ac:dyDescent="0.35">
      <c r="A267">
        <v>3</v>
      </c>
      <c r="B267">
        <v>54</v>
      </c>
      <c r="C267">
        <v>6</v>
      </c>
      <c r="D267">
        <v>183</v>
      </c>
      <c r="E267">
        <v>129</v>
      </c>
    </row>
    <row r="268" spans="1:5" x14ac:dyDescent="0.35">
      <c r="A268">
        <v>21</v>
      </c>
      <c r="B268">
        <v>462</v>
      </c>
      <c r="C268">
        <v>525</v>
      </c>
      <c r="D268">
        <v>630</v>
      </c>
      <c r="E268">
        <v>168</v>
      </c>
    </row>
    <row r="269" spans="1:5" x14ac:dyDescent="0.35">
      <c r="A269">
        <v>5.5</v>
      </c>
      <c r="B269">
        <v>484</v>
      </c>
      <c r="C269">
        <v>225.5</v>
      </c>
      <c r="D269">
        <v>511.5</v>
      </c>
      <c r="E269">
        <v>27.5</v>
      </c>
    </row>
    <row r="270" spans="1:5" x14ac:dyDescent="0.35">
      <c r="A270">
        <v>7</v>
      </c>
      <c r="B270">
        <v>546</v>
      </c>
      <c r="C270">
        <v>21</v>
      </c>
      <c r="D270">
        <v>441</v>
      </c>
      <c r="E270">
        <v>-105</v>
      </c>
    </row>
    <row r="271" spans="1:5" x14ac:dyDescent="0.35">
      <c r="A271">
        <v>6</v>
      </c>
      <c r="B271">
        <v>498</v>
      </c>
      <c r="C271">
        <v>192</v>
      </c>
      <c r="D271">
        <v>282</v>
      </c>
      <c r="E271">
        <v>-216</v>
      </c>
    </row>
    <row r="272" spans="1:5" x14ac:dyDescent="0.35">
      <c r="A272">
        <v>10.5</v>
      </c>
      <c r="B272">
        <v>441</v>
      </c>
      <c r="C272">
        <v>178.5</v>
      </c>
      <c r="D272">
        <v>357</v>
      </c>
      <c r="E272">
        <v>-84</v>
      </c>
    </row>
    <row r="273" spans="1:5" x14ac:dyDescent="0.35">
      <c r="A273">
        <v>3</v>
      </c>
      <c r="B273">
        <v>147</v>
      </c>
      <c r="C273">
        <v>24</v>
      </c>
      <c r="D273">
        <v>246</v>
      </c>
      <c r="E273">
        <v>99</v>
      </c>
    </row>
    <row r="274" spans="1:5" x14ac:dyDescent="0.35">
      <c r="A274">
        <v>2.5</v>
      </c>
      <c r="B274">
        <v>42.5</v>
      </c>
      <c r="C274">
        <v>102.5</v>
      </c>
      <c r="D274">
        <v>112.5</v>
      </c>
      <c r="E274">
        <v>70</v>
      </c>
    </row>
    <row r="275" spans="1:5" x14ac:dyDescent="0.35">
      <c r="A275">
        <v>2.4</v>
      </c>
      <c r="B275">
        <v>124.8</v>
      </c>
      <c r="C275">
        <v>129.6</v>
      </c>
      <c r="D275">
        <v>50.4</v>
      </c>
      <c r="E275">
        <v>-74.400000000000006</v>
      </c>
    </row>
    <row r="276" spans="1:5" x14ac:dyDescent="0.35">
      <c r="A276">
        <v>6</v>
      </c>
      <c r="B276">
        <v>474</v>
      </c>
      <c r="C276">
        <v>234</v>
      </c>
      <c r="D276">
        <v>330</v>
      </c>
      <c r="E276">
        <v>-144</v>
      </c>
    </row>
    <row r="277" spans="1:5" x14ac:dyDescent="0.35">
      <c r="A277">
        <v>1.8</v>
      </c>
      <c r="B277">
        <v>63</v>
      </c>
      <c r="C277">
        <v>151.20000000000002</v>
      </c>
      <c r="D277">
        <v>111.60000000000001</v>
      </c>
      <c r="E277">
        <v>48.600000000000009</v>
      </c>
    </row>
    <row r="278" spans="1:5" x14ac:dyDescent="0.35">
      <c r="A278">
        <v>1.8</v>
      </c>
      <c r="B278">
        <v>136.80000000000001</v>
      </c>
      <c r="C278">
        <v>27</v>
      </c>
      <c r="D278">
        <v>39.6</v>
      </c>
      <c r="E278">
        <v>-97.200000000000017</v>
      </c>
    </row>
    <row r="279" spans="1:5" x14ac:dyDescent="0.35">
      <c r="A279">
        <v>8</v>
      </c>
      <c r="B279">
        <v>744</v>
      </c>
      <c r="C279">
        <v>408</v>
      </c>
      <c r="D279">
        <v>744</v>
      </c>
      <c r="E279">
        <v>0</v>
      </c>
    </row>
    <row r="280" spans="1:5" x14ac:dyDescent="0.35">
      <c r="A280">
        <v>20</v>
      </c>
      <c r="B280">
        <v>800</v>
      </c>
      <c r="C280">
        <v>1560</v>
      </c>
      <c r="D280">
        <v>780</v>
      </c>
      <c r="E280">
        <v>-20</v>
      </c>
    </row>
    <row r="281" spans="1:5" x14ac:dyDescent="0.35">
      <c r="A281">
        <v>11.5</v>
      </c>
      <c r="B281">
        <v>218.5</v>
      </c>
      <c r="C281">
        <v>195.5</v>
      </c>
      <c r="D281">
        <v>1104</v>
      </c>
      <c r="E281">
        <v>885.5</v>
      </c>
    </row>
    <row r="282" spans="1:5" x14ac:dyDescent="0.35">
      <c r="A282">
        <v>2</v>
      </c>
      <c r="B282">
        <v>140</v>
      </c>
      <c r="C282">
        <v>42</v>
      </c>
      <c r="D282">
        <v>200</v>
      </c>
      <c r="E282">
        <v>60</v>
      </c>
    </row>
    <row r="283" spans="1:5" x14ac:dyDescent="0.35">
      <c r="A283">
        <v>4</v>
      </c>
      <c r="B283">
        <v>360</v>
      </c>
      <c r="C283">
        <v>200</v>
      </c>
      <c r="D283">
        <v>252</v>
      </c>
      <c r="E283">
        <v>-108</v>
      </c>
    </row>
    <row r="284" spans="1:5" x14ac:dyDescent="0.35">
      <c r="A284">
        <v>4</v>
      </c>
      <c r="B284">
        <v>308</v>
      </c>
      <c r="C284">
        <v>260</v>
      </c>
      <c r="D284">
        <v>248</v>
      </c>
      <c r="E284">
        <v>-60</v>
      </c>
    </row>
    <row r="285" spans="1:5" x14ac:dyDescent="0.35">
      <c r="A285">
        <v>5</v>
      </c>
      <c r="B285">
        <v>190</v>
      </c>
      <c r="C285">
        <v>355</v>
      </c>
      <c r="D285">
        <v>165</v>
      </c>
      <c r="E285">
        <v>-25</v>
      </c>
    </row>
    <row r="286" spans="1:5" x14ac:dyDescent="0.35">
      <c r="A286">
        <v>7</v>
      </c>
      <c r="B286">
        <v>651</v>
      </c>
      <c r="C286">
        <v>161</v>
      </c>
      <c r="D286">
        <v>504</v>
      </c>
      <c r="E286">
        <v>-147</v>
      </c>
    </row>
    <row r="287" spans="1:5" x14ac:dyDescent="0.35">
      <c r="A287">
        <v>2</v>
      </c>
      <c r="B287">
        <v>46</v>
      </c>
      <c r="C287">
        <v>154</v>
      </c>
      <c r="D287">
        <v>126</v>
      </c>
      <c r="E287">
        <v>80</v>
      </c>
    </row>
    <row r="288" spans="1:5" x14ac:dyDescent="0.35">
      <c r="A288">
        <v>7.6</v>
      </c>
      <c r="B288">
        <v>387.59999999999997</v>
      </c>
      <c r="C288">
        <v>463.59999999999997</v>
      </c>
      <c r="D288">
        <v>729.59999999999991</v>
      </c>
      <c r="E288">
        <v>341.99999999999994</v>
      </c>
    </row>
    <row r="289" spans="1:5" x14ac:dyDescent="0.35">
      <c r="A289">
        <v>4</v>
      </c>
      <c r="B289">
        <v>228</v>
      </c>
      <c r="C289">
        <v>288</v>
      </c>
      <c r="D289">
        <v>92</v>
      </c>
      <c r="E289">
        <v>-136</v>
      </c>
    </row>
    <row r="290" spans="1:5" x14ac:dyDescent="0.35">
      <c r="A290">
        <v>4.5</v>
      </c>
      <c r="B290">
        <v>265.5</v>
      </c>
      <c r="C290">
        <v>450</v>
      </c>
      <c r="D290">
        <v>283.5</v>
      </c>
      <c r="E290">
        <v>18</v>
      </c>
    </row>
    <row r="291" spans="1:5" x14ac:dyDescent="0.35">
      <c r="A291">
        <v>10</v>
      </c>
      <c r="B291">
        <v>890</v>
      </c>
      <c r="C291">
        <v>220</v>
      </c>
      <c r="D291">
        <v>790</v>
      </c>
      <c r="E291">
        <v>-100</v>
      </c>
    </row>
    <row r="292" spans="1:5" x14ac:dyDescent="0.35">
      <c r="A292">
        <v>10</v>
      </c>
      <c r="B292">
        <v>530</v>
      </c>
      <c r="C292">
        <v>250</v>
      </c>
      <c r="D292">
        <v>550</v>
      </c>
      <c r="E292">
        <v>20</v>
      </c>
    </row>
    <row r="293" spans="1:5" x14ac:dyDescent="0.35">
      <c r="A293">
        <v>3.9</v>
      </c>
      <c r="B293">
        <v>42.9</v>
      </c>
      <c r="C293">
        <v>241.79999999999998</v>
      </c>
      <c r="D293">
        <v>156</v>
      </c>
      <c r="E293">
        <v>113.1</v>
      </c>
    </row>
    <row r="294" spans="1:5" x14ac:dyDescent="0.35">
      <c r="A294">
        <v>1.75</v>
      </c>
      <c r="B294">
        <v>103.25</v>
      </c>
      <c r="C294">
        <v>110.25</v>
      </c>
      <c r="D294">
        <v>161</v>
      </c>
      <c r="E294">
        <v>57.75</v>
      </c>
    </row>
    <row r="295" spans="1:5" x14ac:dyDescent="0.35">
      <c r="A295">
        <v>2</v>
      </c>
      <c r="B295">
        <v>68</v>
      </c>
      <c r="C295">
        <v>130</v>
      </c>
      <c r="D295">
        <v>180</v>
      </c>
      <c r="E295">
        <v>112</v>
      </c>
    </row>
    <row r="296" spans="1:5" x14ac:dyDescent="0.35">
      <c r="A296">
        <v>18</v>
      </c>
      <c r="B296">
        <v>450</v>
      </c>
      <c r="C296">
        <v>486</v>
      </c>
      <c r="D296">
        <v>558</v>
      </c>
      <c r="E296">
        <v>108</v>
      </c>
    </row>
    <row r="297" spans="1:5" x14ac:dyDescent="0.35">
      <c r="A297">
        <v>10</v>
      </c>
      <c r="B297">
        <v>810</v>
      </c>
      <c r="C297">
        <v>200</v>
      </c>
      <c r="D297">
        <v>950</v>
      </c>
      <c r="E297">
        <v>140</v>
      </c>
    </row>
    <row r="298" spans="1:5" x14ac:dyDescent="0.35">
      <c r="A298">
        <v>3.5</v>
      </c>
      <c r="B298">
        <v>283.5</v>
      </c>
      <c r="C298">
        <v>157.5</v>
      </c>
      <c r="D298">
        <v>147</v>
      </c>
      <c r="E298">
        <v>-136.5</v>
      </c>
    </row>
    <row r="299" spans="1:5" x14ac:dyDescent="0.35">
      <c r="A299">
        <v>3</v>
      </c>
      <c r="B299">
        <v>213</v>
      </c>
      <c r="C299">
        <v>111</v>
      </c>
      <c r="D299">
        <v>243</v>
      </c>
      <c r="E299">
        <v>30</v>
      </c>
    </row>
    <row r="300" spans="1:5" x14ac:dyDescent="0.35">
      <c r="A300">
        <v>2.5</v>
      </c>
      <c r="B300">
        <v>130</v>
      </c>
      <c r="C300">
        <v>92.5</v>
      </c>
      <c r="D300">
        <v>140</v>
      </c>
      <c r="E300">
        <v>10</v>
      </c>
    </row>
    <row r="301" spans="1:5" x14ac:dyDescent="0.35">
      <c r="A301">
        <v>3</v>
      </c>
      <c r="B301">
        <v>78</v>
      </c>
      <c r="C301">
        <v>270</v>
      </c>
      <c r="D301">
        <v>75</v>
      </c>
      <c r="E301">
        <v>-3</v>
      </c>
    </row>
    <row r="302" spans="1:5" x14ac:dyDescent="0.35">
      <c r="A302">
        <v>9</v>
      </c>
      <c r="B302">
        <v>756</v>
      </c>
      <c r="C302">
        <v>486</v>
      </c>
      <c r="D302">
        <v>540</v>
      </c>
      <c r="E302">
        <v>-216</v>
      </c>
    </row>
    <row r="303" spans="1:5" x14ac:dyDescent="0.35">
      <c r="A303">
        <v>10</v>
      </c>
      <c r="B303">
        <v>280</v>
      </c>
      <c r="C303">
        <v>440</v>
      </c>
      <c r="D303">
        <v>480</v>
      </c>
      <c r="E303">
        <v>200</v>
      </c>
    </row>
    <row r="304" spans="1:5" x14ac:dyDescent="0.35">
      <c r="A304">
        <v>6</v>
      </c>
      <c r="B304">
        <v>564</v>
      </c>
      <c r="C304">
        <v>534</v>
      </c>
      <c r="D304">
        <v>240</v>
      </c>
      <c r="E304">
        <v>-324</v>
      </c>
    </row>
    <row r="305" spans="1:5" x14ac:dyDescent="0.35">
      <c r="A305">
        <v>6</v>
      </c>
      <c r="B305">
        <v>282</v>
      </c>
      <c r="C305">
        <v>318</v>
      </c>
      <c r="D305">
        <v>420</v>
      </c>
      <c r="E305">
        <v>138</v>
      </c>
    </row>
    <row r="306" spans="1:5" x14ac:dyDescent="0.35">
      <c r="A306">
        <v>5</v>
      </c>
      <c r="B306">
        <v>100</v>
      </c>
      <c r="C306">
        <v>105</v>
      </c>
      <c r="D306">
        <v>355</v>
      </c>
      <c r="E306">
        <v>255</v>
      </c>
    </row>
    <row r="307" spans="1:5" x14ac:dyDescent="0.35">
      <c r="A307">
        <v>2.5</v>
      </c>
      <c r="B307">
        <v>210</v>
      </c>
      <c r="C307">
        <v>145</v>
      </c>
      <c r="D307">
        <v>215</v>
      </c>
      <c r="E307">
        <v>5</v>
      </c>
    </row>
    <row r="308" spans="1:5" x14ac:dyDescent="0.35">
      <c r="A308">
        <v>9</v>
      </c>
      <c r="B308">
        <v>900</v>
      </c>
      <c r="C308">
        <v>387</v>
      </c>
      <c r="D308">
        <v>792</v>
      </c>
      <c r="E308">
        <v>-108</v>
      </c>
    </row>
    <row r="309" spans="1:5" x14ac:dyDescent="0.35">
      <c r="A309">
        <v>1</v>
      </c>
      <c r="B309">
        <v>74</v>
      </c>
      <c r="C309">
        <v>26</v>
      </c>
      <c r="D309">
        <v>24</v>
      </c>
      <c r="E309">
        <v>-50</v>
      </c>
    </row>
    <row r="310" spans="1:5" x14ac:dyDescent="0.35">
      <c r="A310">
        <v>12</v>
      </c>
      <c r="B310">
        <v>324</v>
      </c>
      <c r="C310">
        <v>1116</v>
      </c>
      <c r="D310">
        <v>1056</v>
      </c>
      <c r="E310">
        <v>732</v>
      </c>
    </row>
    <row r="311" spans="1:5" x14ac:dyDescent="0.35">
      <c r="A311">
        <v>3</v>
      </c>
      <c r="B311">
        <v>273</v>
      </c>
      <c r="C311">
        <v>282</v>
      </c>
      <c r="D311">
        <v>126</v>
      </c>
      <c r="E311">
        <v>-147</v>
      </c>
    </row>
    <row r="312" spans="1:5" x14ac:dyDescent="0.35">
      <c r="A312">
        <v>5.5</v>
      </c>
      <c r="B312">
        <v>451</v>
      </c>
      <c r="C312">
        <v>467.5</v>
      </c>
      <c r="D312">
        <v>214.5</v>
      </c>
      <c r="E312">
        <v>-236.5</v>
      </c>
    </row>
    <row r="313" spans="1:5" x14ac:dyDescent="0.35">
      <c r="A313">
        <v>1.5</v>
      </c>
      <c r="B313">
        <v>126</v>
      </c>
      <c r="C313">
        <v>129</v>
      </c>
      <c r="D313">
        <v>124.5</v>
      </c>
      <c r="E313">
        <v>-1.5</v>
      </c>
    </row>
    <row r="314" spans="1:5" x14ac:dyDescent="0.35">
      <c r="A314">
        <v>20</v>
      </c>
      <c r="B314">
        <v>360</v>
      </c>
      <c r="C314">
        <v>520</v>
      </c>
      <c r="D314">
        <v>1140</v>
      </c>
      <c r="E314">
        <v>780</v>
      </c>
    </row>
    <row r="315" spans="1:5" x14ac:dyDescent="0.35">
      <c r="A315">
        <v>4.5</v>
      </c>
      <c r="B315">
        <v>54</v>
      </c>
      <c r="C315">
        <v>279</v>
      </c>
      <c r="D315">
        <v>337.5</v>
      </c>
      <c r="E315">
        <v>283.5</v>
      </c>
    </row>
    <row r="316" spans="1:5" x14ac:dyDescent="0.35">
      <c r="A316">
        <v>6.5</v>
      </c>
      <c r="B316">
        <v>552.5</v>
      </c>
      <c r="C316">
        <v>487.5</v>
      </c>
      <c r="D316">
        <v>617.5</v>
      </c>
      <c r="E316">
        <v>65</v>
      </c>
    </row>
    <row r="317" spans="1:5" x14ac:dyDescent="0.35">
      <c r="A317">
        <v>6</v>
      </c>
      <c r="B317">
        <v>198</v>
      </c>
      <c r="C317">
        <v>402</v>
      </c>
      <c r="D317">
        <v>120</v>
      </c>
      <c r="E317">
        <v>-78</v>
      </c>
    </row>
    <row r="318" spans="1:5" x14ac:dyDescent="0.35">
      <c r="A318">
        <v>7</v>
      </c>
      <c r="B318">
        <v>413</v>
      </c>
      <c r="C318">
        <v>70</v>
      </c>
      <c r="D318">
        <v>399</v>
      </c>
      <c r="E318">
        <v>-14</v>
      </c>
    </row>
    <row r="319" spans="1:5" x14ac:dyDescent="0.35">
      <c r="A319">
        <v>5.5</v>
      </c>
      <c r="B319">
        <v>121</v>
      </c>
      <c r="C319">
        <v>478.5</v>
      </c>
      <c r="D319">
        <v>187</v>
      </c>
      <c r="E319">
        <v>66</v>
      </c>
    </row>
    <row r="320" spans="1:5" x14ac:dyDescent="0.35">
      <c r="A320">
        <v>7</v>
      </c>
      <c r="B320">
        <v>469</v>
      </c>
      <c r="C320">
        <v>686</v>
      </c>
      <c r="D320">
        <v>511</v>
      </c>
      <c r="E320">
        <v>42</v>
      </c>
    </row>
    <row r="321" spans="1:5" x14ac:dyDescent="0.35">
      <c r="A321">
        <v>9</v>
      </c>
      <c r="B321">
        <v>702</v>
      </c>
      <c r="C321">
        <v>279</v>
      </c>
      <c r="D321">
        <v>540</v>
      </c>
      <c r="E321">
        <v>-162</v>
      </c>
    </row>
    <row r="322" spans="1:5" x14ac:dyDescent="0.35">
      <c r="A322">
        <v>2.4500000000000002</v>
      </c>
      <c r="B322">
        <v>176.4</v>
      </c>
      <c r="C322">
        <v>196</v>
      </c>
      <c r="D322">
        <v>61.250000000000007</v>
      </c>
      <c r="E322">
        <v>-115.15</v>
      </c>
    </row>
    <row r="323" spans="1:5" x14ac:dyDescent="0.35">
      <c r="A323">
        <v>4</v>
      </c>
      <c r="B323">
        <v>252</v>
      </c>
      <c r="C323">
        <v>88</v>
      </c>
      <c r="D323">
        <v>84</v>
      </c>
      <c r="E323">
        <v>-168</v>
      </c>
    </row>
    <row r="324" spans="1:5" x14ac:dyDescent="0.35">
      <c r="A324">
        <v>2.5</v>
      </c>
      <c r="B324">
        <v>75</v>
      </c>
      <c r="C324">
        <v>85</v>
      </c>
      <c r="D324">
        <v>242.5</v>
      </c>
      <c r="E324">
        <v>167.5</v>
      </c>
    </row>
    <row r="325" spans="1:5" x14ac:dyDescent="0.35">
      <c r="A325">
        <v>20</v>
      </c>
      <c r="B325">
        <v>720</v>
      </c>
      <c r="C325">
        <v>1260</v>
      </c>
      <c r="D325">
        <v>1820</v>
      </c>
      <c r="E325">
        <v>1100</v>
      </c>
    </row>
    <row r="326" spans="1:5" x14ac:dyDescent="0.35">
      <c r="A326">
        <v>5.5</v>
      </c>
      <c r="B326">
        <v>484</v>
      </c>
      <c r="C326">
        <v>506</v>
      </c>
      <c r="D326">
        <v>313.5</v>
      </c>
      <c r="E326">
        <v>-170.5</v>
      </c>
    </row>
    <row r="327" spans="1:5" x14ac:dyDescent="0.35">
      <c r="A327">
        <v>53.82</v>
      </c>
      <c r="B327">
        <v>5112.8999999999996</v>
      </c>
      <c r="C327">
        <v>4897.62</v>
      </c>
      <c r="D327">
        <v>4682.34</v>
      </c>
      <c r="E327">
        <v>-430.55999999999949</v>
      </c>
    </row>
    <row r="328" spans="1:5" x14ac:dyDescent="0.35">
      <c r="A328">
        <v>4</v>
      </c>
      <c r="B328">
        <v>120</v>
      </c>
      <c r="C328">
        <v>304</v>
      </c>
      <c r="D328">
        <v>244</v>
      </c>
      <c r="E328">
        <v>124</v>
      </c>
    </row>
    <row r="329" spans="1:5" x14ac:dyDescent="0.35">
      <c r="A329">
        <v>2</v>
      </c>
      <c r="B329">
        <v>62</v>
      </c>
      <c r="C329">
        <v>10</v>
      </c>
      <c r="D329">
        <v>142</v>
      </c>
      <c r="E329">
        <v>80</v>
      </c>
    </row>
    <row r="330" spans="1:5" x14ac:dyDescent="0.35">
      <c r="A330">
        <v>8</v>
      </c>
      <c r="B330">
        <v>128</v>
      </c>
      <c r="C330">
        <v>360</v>
      </c>
      <c r="D330">
        <v>648</v>
      </c>
      <c r="E330">
        <v>520</v>
      </c>
    </row>
    <row r="331" spans="1:5" x14ac:dyDescent="0.35">
      <c r="A331">
        <v>2</v>
      </c>
      <c r="B331">
        <v>28</v>
      </c>
      <c r="C331">
        <v>186</v>
      </c>
      <c r="D331">
        <v>78</v>
      </c>
      <c r="E331">
        <v>50</v>
      </c>
    </row>
    <row r="332" spans="1:5" x14ac:dyDescent="0.35">
      <c r="A332">
        <v>2.5</v>
      </c>
      <c r="B332">
        <v>110</v>
      </c>
      <c r="C332">
        <v>37.5</v>
      </c>
      <c r="D332">
        <v>205</v>
      </c>
      <c r="E332">
        <v>95</v>
      </c>
    </row>
    <row r="333" spans="1:5" x14ac:dyDescent="0.35">
      <c r="A333">
        <v>1.5</v>
      </c>
      <c r="B333">
        <v>103.5</v>
      </c>
      <c r="C333">
        <v>87</v>
      </c>
      <c r="D333">
        <v>51</v>
      </c>
      <c r="E333">
        <v>-52.5</v>
      </c>
    </row>
    <row r="334" spans="1:5" x14ac:dyDescent="0.35">
      <c r="A334">
        <v>1.5</v>
      </c>
      <c r="B334">
        <v>106.5</v>
      </c>
      <c r="C334">
        <v>73.5</v>
      </c>
      <c r="D334">
        <v>99</v>
      </c>
      <c r="E334">
        <v>-7.5</v>
      </c>
    </row>
    <row r="335" spans="1:5" x14ac:dyDescent="0.35">
      <c r="A335">
        <v>1.6</v>
      </c>
      <c r="B335">
        <v>147.20000000000002</v>
      </c>
      <c r="C335">
        <v>80</v>
      </c>
      <c r="D335">
        <v>48</v>
      </c>
      <c r="E335">
        <v>-99.200000000000017</v>
      </c>
    </row>
    <row r="336" spans="1:5" x14ac:dyDescent="0.35">
      <c r="A336">
        <v>4</v>
      </c>
      <c r="B336">
        <v>196</v>
      </c>
      <c r="C336">
        <v>216</v>
      </c>
      <c r="D336">
        <v>180</v>
      </c>
      <c r="E336">
        <v>-16</v>
      </c>
    </row>
    <row r="337" spans="1:5" x14ac:dyDescent="0.35">
      <c r="A337">
        <v>6</v>
      </c>
      <c r="B337">
        <v>312</v>
      </c>
      <c r="C337">
        <v>222</v>
      </c>
      <c r="D337">
        <v>228</v>
      </c>
      <c r="E337">
        <v>-84</v>
      </c>
    </row>
    <row r="338" spans="1:5" x14ac:dyDescent="0.35">
      <c r="A338">
        <v>2.5</v>
      </c>
      <c r="B338">
        <v>140</v>
      </c>
      <c r="C338">
        <v>72.5</v>
      </c>
      <c r="D338">
        <v>205</v>
      </c>
      <c r="E338">
        <v>65</v>
      </c>
    </row>
    <row r="339" spans="1:5" x14ac:dyDescent="0.35">
      <c r="A339">
        <v>6.1</v>
      </c>
      <c r="B339">
        <v>97.6</v>
      </c>
      <c r="C339">
        <v>463.59999999999997</v>
      </c>
      <c r="D339">
        <v>305</v>
      </c>
      <c r="E339">
        <v>207.4</v>
      </c>
    </row>
    <row r="340" spans="1:5" x14ac:dyDescent="0.35">
      <c r="A340">
        <v>2.5</v>
      </c>
      <c r="B340">
        <v>130</v>
      </c>
      <c r="C340">
        <v>217.5</v>
      </c>
      <c r="D340">
        <v>90</v>
      </c>
      <c r="E340">
        <v>-40</v>
      </c>
    </row>
    <row r="341" spans="1:5" x14ac:dyDescent="0.35">
      <c r="A341">
        <v>11.5</v>
      </c>
      <c r="B341">
        <v>1046.5</v>
      </c>
      <c r="C341">
        <v>920</v>
      </c>
      <c r="D341">
        <v>931.5</v>
      </c>
      <c r="E341">
        <v>-115</v>
      </c>
    </row>
    <row r="342" spans="1:5" x14ac:dyDescent="0.35">
      <c r="A342">
        <v>4.7</v>
      </c>
      <c r="B342">
        <v>272.60000000000002</v>
      </c>
      <c r="C342">
        <v>131.6</v>
      </c>
      <c r="D342">
        <v>399.5</v>
      </c>
      <c r="E342">
        <v>126.89999999999998</v>
      </c>
    </row>
    <row r="343" spans="1:5" x14ac:dyDescent="0.35">
      <c r="A343">
        <v>20</v>
      </c>
      <c r="B343">
        <v>940</v>
      </c>
      <c r="C343">
        <v>1400</v>
      </c>
      <c r="D343">
        <v>1220</v>
      </c>
      <c r="E343">
        <v>280</v>
      </c>
    </row>
    <row r="344" spans="1:5" x14ac:dyDescent="0.35">
      <c r="A344">
        <v>3</v>
      </c>
      <c r="B344">
        <v>150</v>
      </c>
      <c r="C344">
        <v>189</v>
      </c>
      <c r="D344">
        <v>210</v>
      </c>
      <c r="E344">
        <v>60</v>
      </c>
    </row>
    <row r="345" spans="1:5" x14ac:dyDescent="0.35">
      <c r="A345">
        <v>4</v>
      </c>
      <c r="B345">
        <v>172</v>
      </c>
      <c r="C345">
        <v>56</v>
      </c>
      <c r="D345">
        <v>236</v>
      </c>
      <c r="E345">
        <v>64</v>
      </c>
    </row>
    <row r="346" spans="1:5" x14ac:dyDescent="0.35">
      <c r="A346">
        <v>8.9</v>
      </c>
      <c r="B346">
        <v>605.20000000000005</v>
      </c>
      <c r="C346">
        <v>186.9</v>
      </c>
      <c r="D346">
        <v>703.1</v>
      </c>
      <c r="E346">
        <v>97.899999999999977</v>
      </c>
    </row>
    <row r="347" spans="1:5" x14ac:dyDescent="0.35">
      <c r="A347">
        <v>2.5</v>
      </c>
      <c r="B347">
        <v>47.5</v>
      </c>
      <c r="C347">
        <v>207.5</v>
      </c>
      <c r="D347">
        <v>165</v>
      </c>
      <c r="E347">
        <v>117.5</v>
      </c>
    </row>
    <row r="348" spans="1:5" x14ac:dyDescent="0.35">
      <c r="A348">
        <v>8</v>
      </c>
      <c r="B348">
        <v>560</v>
      </c>
      <c r="C348">
        <v>576</v>
      </c>
      <c r="D348">
        <v>568</v>
      </c>
      <c r="E348">
        <v>8</v>
      </c>
    </row>
    <row r="349" spans="1:5" x14ac:dyDescent="0.35">
      <c r="A349">
        <v>3</v>
      </c>
      <c r="B349">
        <v>291</v>
      </c>
      <c r="C349">
        <v>216</v>
      </c>
      <c r="D349">
        <v>87</v>
      </c>
      <c r="E349">
        <v>-204</v>
      </c>
    </row>
    <row r="350" spans="1:5" x14ac:dyDescent="0.35">
      <c r="A350">
        <v>2.5</v>
      </c>
      <c r="B350">
        <v>217.5</v>
      </c>
      <c r="C350">
        <v>47.5</v>
      </c>
      <c r="D350">
        <v>207.5</v>
      </c>
      <c r="E350">
        <v>-10</v>
      </c>
    </row>
    <row r="351" spans="1:5" x14ac:dyDescent="0.35">
      <c r="A351">
        <v>25</v>
      </c>
      <c r="B351">
        <v>1450</v>
      </c>
      <c r="C351">
        <v>1650</v>
      </c>
      <c r="D351">
        <v>2125</v>
      </c>
      <c r="E351">
        <v>675</v>
      </c>
    </row>
    <row r="352" spans="1:5" x14ac:dyDescent="0.35">
      <c r="A352">
        <v>5</v>
      </c>
      <c r="B352">
        <v>80</v>
      </c>
      <c r="C352">
        <v>60</v>
      </c>
      <c r="D352">
        <v>105</v>
      </c>
      <c r="E352">
        <v>25</v>
      </c>
    </row>
    <row r="353" spans="1:5" x14ac:dyDescent="0.35">
      <c r="A353">
        <v>3.5</v>
      </c>
      <c r="B353">
        <v>227.5</v>
      </c>
      <c r="C353">
        <v>10.5</v>
      </c>
      <c r="D353">
        <v>87.5</v>
      </c>
      <c r="E353">
        <v>-140</v>
      </c>
    </row>
    <row r="354" spans="1:5" x14ac:dyDescent="0.35">
      <c r="A354">
        <v>4.5</v>
      </c>
      <c r="B354">
        <v>67.5</v>
      </c>
      <c r="C354">
        <v>180</v>
      </c>
      <c r="D354">
        <v>306</v>
      </c>
      <c r="E354">
        <v>238.5</v>
      </c>
    </row>
    <row r="355" spans="1:5" x14ac:dyDescent="0.35">
      <c r="A355">
        <v>4.5</v>
      </c>
      <c r="B355">
        <v>337.5</v>
      </c>
      <c r="C355">
        <v>121.5</v>
      </c>
      <c r="D355">
        <v>117</v>
      </c>
      <c r="E355">
        <v>-220.5</v>
      </c>
    </row>
    <row r="356" spans="1:5" x14ac:dyDescent="0.35">
      <c r="A356">
        <v>5.5</v>
      </c>
      <c r="B356">
        <v>440</v>
      </c>
      <c r="C356">
        <v>126.5</v>
      </c>
      <c r="D356">
        <v>346.5</v>
      </c>
      <c r="E356">
        <v>-93.5</v>
      </c>
    </row>
    <row r="357" spans="1:5" x14ac:dyDescent="0.35">
      <c r="A357">
        <v>2.85</v>
      </c>
      <c r="B357">
        <v>239.4</v>
      </c>
      <c r="C357">
        <v>62.7</v>
      </c>
      <c r="D357">
        <v>136.80000000000001</v>
      </c>
      <c r="E357">
        <v>-102.6</v>
      </c>
    </row>
    <row r="358" spans="1:5" x14ac:dyDescent="0.35">
      <c r="A358">
        <v>3</v>
      </c>
      <c r="B358">
        <v>51</v>
      </c>
      <c r="C358">
        <v>99</v>
      </c>
      <c r="D358">
        <v>147</v>
      </c>
      <c r="E358">
        <v>96</v>
      </c>
    </row>
    <row r="359" spans="1:5" x14ac:dyDescent="0.35">
      <c r="A359">
        <v>1.9</v>
      </c>
      <c r="B359">
        <v>121.6</v>
      </c>
      <c r="C359">
        <v>172.9</v>
      </c>
      <c r="D359">
        <v>161.5</v>
      </c>
      <c r="E359">
        <v>39.900000000000006</v>
      </c>
    </row>
    <row r="360" spans="1:5" x14ac:dyDescent="0.35">
      <c r="A360">
        <v>4</v>
      </c>
      <c r="B360">
        <v>304</v>
      </c>
      <c r="C360">
        <v>340</v>
      </c>
      <c r="D360">
        <v>260</v>
      </c>
      <c r="E360">
        <v>-44</v>
      </c>
    </row>
    <row r="361" spans="1:5" x14ac:dyDescent="0.35">
      <c r="A361">
        <v>6.5</v>
      </c>
      <c r="B361">
        <v>500.5</v>
      </c>
      <c r="C361">
        <v>533</v>
      </c>
      <c r="D361">
        <v>188.5</v>
      </c>
      <c r="E361">
        <v>-312</v>
      </c>
    </row>
    <row r="362" spans="1:5" x14ac:dyDescent="0.35">
      <c r="A362">
        <v>2.5</v>
      </c>
      <c r="B362">
        <v>45</v>
      </c>
      <c r="C362">
        <v>192.5</v>
      </c>
      <c r="D362">
        <v>195</v>
      </c>
      <c r="E362">
        <v>150</v>
      </c>
    </row>
    <row r="363" spans="1:5" x14ac:dyDescent="0.35">
      <c r="A363">
        <v>5</v>
      </c>
      <c r="B363">
        <v>255</v>
      </c>
      <c r="C363">
        <v>380</v>
      </c>
      <c r="D363">
        <v>105</v>
      </c>
      <c r="E363">
        <v>-150</v>
      </c>
    </row>
    <row r="364" spans="1:5" x14ac:dyDescent="0.35">
      <c r="A364">
        <v>5</v>
      </c>
      <c r="B364">
        <v>340</v>
      </c>
      <c r="C364">
        <v>365</v>
      </c>
      <c r="D364">
        <v>420</v>
      </c>
      <c r="E364">
        <v>80</v>
      </c>
    </row>
    <row r="365" spans="1:5" x14ac:dyDescent="0.35">
      <c r="A365">
        <v>10</v>
      </c>
      <c r="B365">
        <v>460</v>
      </c>
      <c r="C365">
        <v>640</v>
      </c>
      <c r="D365">
        <v>630</v>
      </c>
      <c r="E365">
        <v>170</v>
      </c>
    </row>
    <row r="366" spans="1:5" x14ac:dyDescent="0.35">
      <c r="A366">
        <v>1.5</v>
      </c>
      <c r="B366">
        <v>147</v>
      </c>
      <c r="C366">
        <v>139.5</v>
      </c>
      <c r="D366">
        <v>45</v>
      </c>
      <c r="E366">
        <v>-102</v>
      </c>
    </row>
    <row r="367" spans="1:5" x14ac:dyDescent="0.35">
      <c r="A367">
        <v>2</v>
      </c>
      <c r="B367">
        <v>100</v>
      </c>
      <c r="C367">
        <v>148</v>
      </c>
      <c r="D367">
        <v>60</v>
      </c>
      <c r="E367">
        <v>-40</v>
      </c>
    </row>
    <row r="368" spans="1:5" x14ac:dyDescent="0.35">
      <c r="A368">
        <v>15</v>
      </c>
      <c r="B368">
        <v>1320</v>
      </c>
      <c r="C368">
        <v>630</v>
      </c>
      <c r="D368">
        <v>915</v>
      </c>
      <c r="E368">
        <v>-405</v>
      </c>
    </row>
    <row r="369" spans="1:5" x14ac:dyDescent="0.35">
      <c r="A369">
        <v>1.2</v>
      </c>
      <c r="B369">
        <v>31.2</v>
      </c>
      <c r="C369">
        <v>82.8</v>
      </c>
      <c r="D369">
        <v>76.8</v>
      </c>
      <c r="E369">
        <v>45.599999999999994</v>
      </c>
    </row>
    <row r="370" spans="1:5" x14ac:dyDescent="0.35">
      <c r="A370">
        <v>12</v>
      </c>
      <c r="B370">
        <v>516</v>
      </c>
      <c r="C370">
        <v>756</v>
      </c>
      <c r="D370">
        <v>1056</v>
      </c>
      <c r="E370">
        <v>540</v>
      </c>
    </row>
    <row r="371" spans="1:5" x14ac:dyDescent="0.35">
      <c r="A371">
        <v>2.5</v>
      </c>
      <c r="B371">
        <v>115</v>
      </c>
      <c r="C371">
        <v>75</v>
      </c>
      <c r="D371">
        <v>135</v>
      </c>
      <c r="E371">
        <v>20</v>
      </c>
    </row>
    <row r="372" spans="1:5" x14ac:dyDescent="0.35">
      <c r="A372">
        <v>2.4500000000000002</v>
      </c>
      <c r="B372">
        <v>46.550000000000004</v>
      </c>
      <c r="C372">
        <v>147</v>
      </c>
      <c r="D372">
        <v>171.5</v>
      </c>
      <c r="E372">
        <v>124.94999999999999</v>
      </c>
    </row>
    <row r="373" spans="1:5" x14ac:dyDescent="0.35">
      <c r="A373">
        <v>4</v>
      </c>
      <c r="B373">
        <v>244</v>
      </c>
      <c r="C373">
        <v>376</v>
      </c>
      <c r="D373">
        <v>304</v>
      </c>
      <c r="E373">
        <v>60</v>
      </c>
    </row>
    <row r="374" spans="1:5" x14ac:dyDescent="0.35">
      <c r="A374">
        <v>7</v>
      </c>
      <c r="B374">
        <v>301</v>
      </c>
      <c r="C374">
        <v>210</v>
      </c>
      <c r="D374">
        <v>665</v>
      </c>
      <c r="E374">
        <v>364</v>
      </c>
    </row>
    <row r="375" spans="1:5" x14ac:dyDescent="0.35">
      <c r="A375">
        <v>8.5</v>
      </c>
      <c r="B375">
        <v>680</v>
      </c>
      <c r="C375">
        <v>178.5</v>
      </c>
      <c r="D375">
        <v>688.5</v>
      </c>
      <c r="E375">
        <v>8.5</v>
      </c>
    </row>
    <row r="376" spans="1:5" x14ac:dyDescent="0.35">
      <c r="A376">
        <v>8</v>
      </c>
      <c r="B376">
        <v>272</v>
      </c>
      <c r="C376">
        <v>792</v>
      </c>
      <c r="D376">
        <v>776</v>
      </c>
      <c r="E376">
        <v>504</v>
      </c>
    </row>
    <row r="377" spans="1:5" x14ac:dyDescent="0.35">
      <c r="A377">
        <v>8</v>
      </c>
      <c r="B377">
        <v>704</v>
      </c>
      <c r="C377">
        <v>704</v>
      </c>
      <c r="D377">
        <v>624</v>
      </c>
      <c r="E377">
        <v>-80</v>
      </c>
    </row>
    <row r="378" spans="1:5" x14ac:dyDescent="0.35">
      <c r="A378">
        <v>5</v>
      </c>
      <c r="B378">
        <v>445</v>
      </c>
      <c r="C378">
        <v>380</v>
      </c>
      <c r="D378">
        <v>470</v>
      </c>
      <c r="E378">
        <v>25</v>
      </c>
    </row>
    <row r="379" spans="1:5" x14ac:dyDescent="0.35">
      <c r="A379">
        <v>10</v>
      </c>
      <c r="B379">
        <v>260</v>
      </c>
      <c r="C379">
        <v>470</v>
      </c>
      <c r="D379">
        <v>400</v>
      </c>
      <c r="E379">
        <v>140</v>
      </c>
    </row>
    <row r="380" spans="1:5" x14ac:dyDescent="0.35">
      <c r="A380">
        <v>4.5</v>
      </c>
      <c r="B380">
        <v>117</v>
      </c>
      <c r="C380">
        <v>162</v>
      </c>
      <c r="D380">
        <v>414</v>
      </c>
      <c r="E380">
        <v>297</v>
      </c>
    </row>
    <row r="381" spans="1:5" x14ac:dyDescent="0.35">
      <c r="A381">
        <v>4</v>
      </c>
      <c r="B381">
        <v>148</v>
      </c>
      <c r="C381">
        <v>96</v>
      </c>
      <c r="D381">
        <v>372</v>
      </c>
      <c r="E381">
        <v>224</v>
      </c>
    </row>
    <row r="382" spans="1:5" x14ac:dyDescent="0.35">
      <c r="A382">
        <v>1.75</v>
      </c>
      <c r="B382">
        <v>133</v>
      </c>
      <c r="C382">
        <v>71.75</v>
      </c>
      <c r="D382">
        <v>108.5</v>
      </c>
      <c r="E382">
        <v>-24.5</v>
      </c>
    </row>
    <row r="383" spans="1:5" x14ac:dyDescent="0.35">
      <c r="A383">
        <v>7</v>
      </c>
      <c r="B383">
        <v>560</v>
      </c>
      <c r="C383">
        <v>560</v>
      </c>
      <c r="D383">
        <v>448</v>
      </c>
      <c r="E383">
        <v>-112</v>
      </c>
    </row>
    <row r="384" spans="1:5" x14ac:dyDescent="0.35">
      <c r="A384">
        <v>2</v>
      </c>
      <c r="B384">
        <v>200</v>
      </c>
      <c r="C384">
        <v>64</v>
      </c>
      <c r="D384">
        <v>196</v>
      </c>
      <c r="E384">
        <v>-4</v>
      </c>
    </row>
    <row r="385" spans="1:5" x14ac:dyDescent="0.35">
      <c r="A385">
        <v>3.1</v>
      </c>
      <c r="B385">
        <v>65.100000000000009</v>
      </c>
      <c r="C385">
        <v>207.70000000000002</v>
      </c>
      <c r="D385">
        <v>198.4</v>
      </c>
      <c r="E385">
        <v>133.30000000000001</v>
      </c>
    </row>
    <row r="386" spans="1:5" x14ac:dyDescent="0.35">
      <c r="A386">
        <v>5</v>
      </c>
      <c r="B386">
        <v>165</v>
      </c>
      <c r="C386">
        <v>395</v>
      </c>
      <c r="D386">
        <v>300</v>
      </c>
      <c r="E386">
        <v>135</v>
      </c>
    </row>
    <row r="387" spans="1:5" x14ac:dyDescent="0.35">
      <c r="A387">
        <v>3.5</v>
      </c>
      <c r="B387">
        <v>150.5</v>
      </c>
      <c r="C387">
        <v>346.5</v>
      </c>
      <c r="D387">
        <v>136.5</v>
      </c>
      <c r="E387">
        <v>-14</v>
      </c>
    </row>
    <row r="388" spans="1:5" x14ac:dyDescent="0.35">
      <c r="A388">
        <v>6.2</v>
      </c>
      <c r="B388">
        <v>210.8</v>
      </c>
      <c r="C388">
        <v>489.8</v>
      </c>
      <c r="D388">
        <v>359.6</v>
      </c>
      <c r="E388">
        <v>148.80000000000001</v>
      </c>
    </row>
    <row r="389" spans="1:5" x14ac:dyDescent="0.35">
      <c r="A389">
        <v>7.5</v>
      </c>
      <c r="B389">
        <v>615</v>
      </c>
      <c r="C389">
        <v>705</v>
      </c>
      <c r="D389">
        <v>495</v>
      </c>
      <c r="E389">
        <v>-120</v>
      </c>
    </row>
    <row r="390" spans="1:5" x14ac:dyDescent="0.35">
      <c r="A390">
        <v>3.5</v>
      </c>
      <c r="B390">
        <v>59.5</v>
      </c>
      <c r="C390">
        <v>10.5</v>
      </c>
      <c r="D390">
        <v>325.5</v>
      </c>
      <c r="E390">
        <v>266</v>
      </c>
    </row>
    <row r="391" spans="1:5" x14ac:dyDescent="0.35">
      <c r="A391">
        <v>4.75</v>
      </c>
      <c r="B391">
        <v>171</v>
      </c>
      <c r="C391">
        <v>256.5</v>
      </c>
      <c r="D391">
        <v>346.75</v>
      </c>
      <c r="E391">
        <v>175.75</v>
      </c>
    </row>
    <row r="392" spans="1:5" x14ac:dyDescent="0.35">
      <c r="A392">
        <v>8</v>
      </c>
      <c r="B392">
        <v>520</v>
      </c>
      <c r="C392">
        <v>416</v>
      </c>
      <c r="D392">
        <v>448</v>
      </c>
      <c r="E392">
        <v>-72</v>
      </c>
    </row>
    <row r="393" spans="1:5" x14ac:dyDescent="0.35">
      <c r="A393">
        <v>4.5</v>
      </c>
      <c r="B393">
        <v>202.5</v>
      </c>
      <c r="C393">
        <v>27</v>
      </c>
      <c r="D393">
        <v>157.5</v>
      </c>
      <c r="E393">
        <v>-45</v>
      </c>
    </row>
    <row r="394" spans="1:5" x14ac:dyDescent="0.35">
      <c r="A394">
        <v>2.5</v>
      </c>
      <c r="B394">
        <v>87.5</v>
      </c>
      <c r="C394">
        <v>170</v>
      </c>
      <c r="D394">
        <v>237.5</v>
      </c>
      <c r="E394">
        <v>150</v>
      </c>
    </row>
    <row r="395" spans="1:5" x14ac:dyDescent="0.35">
      <c r="A395">
        <v>1.5</v>
      </c>
      <c r="B395">
        <v>144</v>
      </c>
      <c r="C395">
        <v>75</v>
      </c>
      <c r="D395">
        <v>121.5</v>
      </c>
      <c r="E395">
        <v>-22.5</v>
      </c>
    </row>
    <row r="396" spans="1:5" x14ac:dyDescent="0.35">
      <c r="A396">
        <v>5</v>
      </c>
      <c r="B396">
        <v>280</v>
      </c>
      <c r="C396">
        <v>65</v>
      </c>
      <c r="D396">
        <v>210</v>
      </c>
      <c r="E396">
        <v>-70</v>
      </c>
    </row>
    <row r="397" spans="1:5" x14ac:dyDescent="0.35">
      <c r="A397">
        <v>6</v>
      </c>
      <c r="B397">
        <v>294</v>
      </c>
      <c r="C397">
        <v>108</v>
      </c>
      <c r="D397">
        <v>228</v>
      </c>
      <c r="E397">
        <v>-66</v>
      </c>
    </row>
    <row r="398" spans="1:5" x14ac:dyDescent="0.35">
      <c r="A398">
        <v>1.5</v>
      </c>
      <c r="B398">
        <v>150</v>
      </c>
      <c r="C398">
        <v>133.5</v>
      </c>
      <c r="D398">
        <v>114</v>
      </c>
      <c r="E398">
        <v>-36</v>
      </c>
    </row>
    <row r="399" spans="1:5" x14ac:dyDescent="0.35">
      <c r="A399">
        <v>9</v>
      </c>
      <c r="B399">
        <v>270</v>
      </c>
      <c r="C399">
        <v>891</v>
      </c>
      <c r="D399">
        <v>891</v>
      </c>
      <c r="E399">
        <v>621</v>
      </c>
    </row>
    <row r="400" spans="1:5" x14ac:dyDescent="0.35">
      <c r="A400">
        <v>4.5</v>
      </c>
      <c r="B400">
        <v>90</v>
      </c>
      <c r="C400">
        <v>54</v>
      </c>
      <c r="D400">
        <v>157.5</v>
      </c>
      <c r="E400">
        <v>67.5</v>
      </c>
    </row>
    <row r="401" spans="1:5" x14ac:dyDescent="0.35">
      <c r="A401">
        <v>6.5</v>
      </c>
      <c r="B401">
        <v>552.5</v>
      </c>
      <c r="C401">
        <v>104</v>
      </c>
      <c r="D401">
        <v>299</v>
      </c>
      <c r="E401">
        <v>-253.5</v>
      </c>
    </row>
    <row r="402" spans="1:5" x14ac:dyDescent="0.35">
      <c r="A402">
        <v>2.1</v>
      </c>
      <c r="B402">
        <v>180.6</v>
      </c>
      <c r="C402">
        <v>81.900000000000006</v>
      </c>
      <c r="D402">
        <v>205.8</v>
      </c>
      <c r="E402">
        <v>25.200000000000017</v>
      </c>
    </row>
    <row r="403" spans="1:5" x14ac:dyDescent="0.35">
      <c r="A403">
        <v>4</v>
      </c>
      <c r="B403">
        <v>260</v>
      </c>
      <c r="C403">
        <v>196</v>
      </c>
      <c r="D403">
        <v>400</v>
      </c>
      <c r="E403">
        <v>140</v>
      </c>
    </row>
    <row r="404" spans="1:5" x14ac:dyDescent="0.35">
      <c r="A404">
        <v>5</v>
      </c>
      <c r="B404">
        <v>335</v>
      </c>
      <c r="C404">
        <v>460</v>
      </c>
      <c r="D404">
        <v>175</v>
      </c>
      <c r="E404">
        <v>-160</v>
      </c>
    </row>
    <row r="405" spans="1:5" x14ac:dyDescent="0.35">
      <c r="A405">
        <v>6</v>
      </c>
      <c r="B405">
        <v>528</v>
      </c>
      <c r="C405">
        <v>474</v>
      </c>
      <c r="D405">
        <v>138</v>
      </c>
      <c r="E405">
        <v>-390</v>
      </c>
    </row>
    <row r="406" spans="1:5" x14ac:dyDescent="0.35">
      <c r="A406">
        <v>10</v>
      </c>
      <c r="B406">
        <v>140</v>
      </c>
      <c r="C406">
        <v>780</v>
      </c>
      <c r="D406">
        <v>320</v>
      </c>
      <c r="E406">
        <v>180</v>
      </c>
    </row>
    <row r="407" spans="1:5" x14ac:dyDescent="0.35">
      <c r="A407">
        <v>6.7</v>
      </c>
      <c r="B407">
        <v>569.5</v>
      </c>
      <c r="C407">
        <v>442.2</v>
      </c>
      <c r="D407">
        <v>361.8</v>
      </c>
      <c r="E407">
        <v>-207.7</v>
      </c>
    </row>
    <row r="408" spans="1:5" x14ac:dyDescent="0.35">
      <c r="A408">
        <v>7</v>
      </c>
      <c r="B408">
        <v>518</v>
      </c>
      <c r="C408">
        <v>35</v>
      </c>
      <c r="D408">
        <v>147</v>
      </c>
      <c r="E408">
        <v>-371</v>
      </c>
    </row>
    <row r="409" spans="1:5" x14ac:dyDescent="0.35">
      <c r="A409">
        <v>9</v>
      </c>
      <c r="B409">
        <v>189</v>
      </c>
      <c r="C409">
        <v>648</v>
      </c>
      <c r="D409">
        <v>621</v>
      </c>
      <c r="E409">
        <v>432</v>
      </c>
    </row>
    <row r="410" spans="1:5" x14ac:dyDescent="0.35">
      <c r="A410">
        <v>6</v>
      </c>
      <c r="B410">
        <v>132</v>
      </c>
      <c r="C410">
        <v>564</v>
      </c>
      <c r="D410">
        <v>282</v>
      </c>
      <c r="E410">
        <v>150</v>
      </c>
    </row>
    <row r="411" spans="1:5" x14ac:dyDescent="0.35">
      <c r="A411">
        <v>6</v>
      </c>
      <c r="B411">
        <v>546</v>
      </c>
      <c r="C411">
        <v>594</v>
      </c>
      <c r="D411">
        <v>300</v>
      </c>
      <c r="E411">
        <v>-246</v>
      </c>
    </row>
    <row r="412" spans="1:5" x14ac:dyDescent="0.35">
      <c r="A412">
        <v>3.5</v>
      </c>
      <c r="B412">
        <v>297.5</v>
      </c>
      <c r="C412">
        <v>87.5</v>
      </c>
      <c r="D412">
        <v>105</v>
      </c>
      <c r="E412">
        <v>-192.5</v>
      </c>
    </row>
    <row r="413" spans="1:5" x14ac:dyDescent="0.35">
      <c r="A413">
        <v>3</v>
      </c>
      <c r="B413">
        <v>36</v>
      </c>
      <c r="C413">
        <v>33</v>
      </c>
      <c r="D413">
        <v>138</v>
      </c>
      <c r="E413">
        <v>102</v>
      </c>
    </row>
    <row r="414" spans="1:5" x14ac:dyDescent="0.35">
      <c r="A414">
        <v>6</v>
      </c>
      <c r="B414">
        <v>258</v>
      </c>
      <c r="C414">
        <v>396</v>
      </c>
      <c r="D414">
        <v>468</v>
      </c>
      <c r="E414">
        <v>210</v>
      </c>
    </row>
    <row r="415" spans="1:5" x14ac:dyDescent="0.35">
      <c r="A415">
        <v>1.75</v>
      </c>
      <c r="B415">
        <v>161</v>
      </c>
      <c r="C415">
        <v>49</v>
      </c>
      <c r="D415">
        <v>87.5</v>
      </c>
      <c r="E415">
        <v>-73.5</v>
      </c>
    </row>
    <row r="416" spans="1:5" x14ac:dyDescent="0.35">
      <c r="A416">
        <v>3</v>
      </c>
      <c r="B416">
        <v>69</v>
      </c>
      <c r="C416">
        <v>282</v>
      </c>
      <c r="D416">
        <v>276</v>
      </c>
      <c r="E416">
        <v>207</v>
      </c>
    </row>
    <row r="417" spans="1:5" x14ac:dyDescent="0.35">
      <c r="A417">
        <v>1</v>
      </c>
      <c r="B417">
        <v>77</v>
      </c>
      <c r="C417">
        <v>41</v>
      </c>
      <c r="D417">
        <v>58</v>
      </c>
      <c r="E417">
        <v>-19</v>
      </c>
    </row>
    <row r="418" spans="1:5" x14ac:dyDescent="0.35">
      <c r="A418">
        <v>2</v>
      </c>
      <c r="B418">
        <v>130</v>
      </c>
      <c r="C418">
        <v>162</v>
      </c>
      <c r="D418">
        <v>142</v>
      </c>
      <c r="E418">
        <v>12</v>
      </c>
    </row>
    <row r="419" spans="1:5" x14ac:dyDescent="0.35">
      <c r="A419">
        <v>15.31</v>
      </c>
      <c r="B419">
        <v>1255.42</v>
      </c>
      <c r="C419">
        <v>949.22</v>
      </c>
      <c r="D419">
        <v>1178.8700000000001</v>
      </c>
      <c r="E419">
        <v>-76.549999999999955</v>
      </c>
    </row>
    <row r="420" spans="1:5" x14ac:dyDescent="0.35">
      <c r="A420">
        <v>8</v>
      </c>
      <c r="B420">
        <v>160</v>
      </c>
      <c r="C420">
        <v>568</v>
      </c>
      <c r="D420">
        <v>400</v>
      </c>
      <c r="E420">
        <v>240</v>
      </c>
    </row>
    <row r="421" spans="1:5" x14ac:dyDescent="0.35">
      <c r="A421">
        <v>9</v>
      </c>
      <c r="B421">
        <v>279</v>
      </c>
      <c r="C421">
        <v>846</v>
      </c>
      <c r="D421">
        <v>567</v>
      </c>
      <c r="E421">
        <v>288</v>
      </c>
    </row>
    <row r="422" spans="1:5" x14ac:dyDescent="0.35">
      <c r="A422">
        <v>2.9</v>
      </c>
      <c r="B422">
        <v>104.39999999999999</v>
      </c>
      <c r="C422">
        <v>101.5</v>
      </c>
      <c r="D422">
        <v>75.399999999999991</v>
      </c>
      <c r="E422">
        <v>-29</v>
      </c>
    </row>
    <row r="423" spans="1:5" x14ac:dyDescent="0.35">
      <c r="A423">
        <v>5</v>
      </c>
      <c r="B423">
        <v>295</v>
      </c>
      <c r="C423">
        <v>85</v>
      </c>
      <c r="D423">
        <v>225</v>
      </c>
      <c r="E423">
        <v>-70</v>
      </c>
    </row>
    <row r="424" spans="1:5" x14ac:dyDescent="0.35">
      <c r="A424">
        <v>1.5</v>
      </c>
      <c r="B424">
        <v>16.5</v>
      </c>
      <c r="C424">
        <v>120</v>
      </c>
      <c r="D424">
        <v>72</v>
      </c>
      <c r="E424">
        <v>55.5</v>
      </c>
    </row>
    <row r="425" spans="1:5" x14ac:dyDescent="0.35">
      <c r="A425">
        <v>15.5</v>
      </c>
      <c r="B425">
        <v>372</v>
      </c>
      <c r="C425">
        <v>496</v>
      </c>
      <c r="D425">
        <v>1240</v>
      </c>
      <c r="E425">
        <v>868</v>
      </c>
    </row>
    <row r="426" spans="1:5" x14ac:dyDescent="0.35">
      <c r="A426">
        <v>9</v>
      </c>
      <c r="B426">
        <v>675</v>
      </c>
      <c r="C426">
        <v>783</v>
      </c>
      <c r="D426">
        <v>441</v>
      </c>
      <c r="E426">
        <v>-234</v>
      </c>
    </row>
    <row r="427" spans="1:5" x14ac:dyDescent="0.35">
      <c r="A427">
        <v>15</v>
      </c>
      <c r="B427">
        <v>165</v>
      </c>
      <c r="C427">
        <v>75</v>
      </c>
      <c r="D427">
        <v>1335</v>
      </c>
      <c r="E427">
        <v>1170</v>
      </c>
    </row>
    <row r="428" spans="1:5" x14ac:dyDescent="0.35">
      <c r="A428">
        <v>10</v>
      </c>
      <c r="B428">
        <v>600</v>
      </c>
      <c r="C428">
        <v>360</v>
      </c>
      <c r="D428">
        <v>340</v>
      </c>
      <c r="E428">
        <v>-260</v>
      </c>
    </row>
    <row r="429" spans="1:5" x14ac:dyDescent="0.35">
      <c r="A429">
        <v>2.4</v>
      </c>
      <c r="B429">
        <v>218.4</v>
      </c>
      <c r="C429">
        <v>88.8</v>
      </c>
      <c r="D429">
        <v>91.2</v>
      </c>
      <c r="E429">
        <v>-127.2</v>
      </c>
    </row>
    <row r="430" spans="1:5" x14ac:dyDescent="0.35">
      <c r="A430">
        <v>2.5</v>
      </c>
      <c r="B430">
        <v>107.5</v>
      </c>
      <c r="C430">
        <v>212.5</v>
      </c>
      <c r="D430">
        <v>120</v>
      </c>
      <c r="E430">
        <v>12.5</v>
      </c>
    </row>
    <row r="431" spans="1:5" x14ac:dyDescent="0.35">
      <c r="A431">
        <v>1.5</v>
      </c>
      <c r="B431">
        <v>37.5</v>
      </c>
      <c r="C431">
        <v>54</v>
      </c>
      <c r="D431">
        <v>46.5</v>
      </c>
      <c r="E431">
        <v>9</v>
      </c>
    </row>
    <row r="432" spans="1:5" x14ac:dyDescent="0.35">
      <c r="A432">
        <v>11.8</v>
      </c>
      <c r="B432">
        <v>1132.8000000000002</v>
      </c>
      <c r="C432">
        <v>672.6</v>
      </c>
      <c r="D432">
        <v>920.40000000000009</v>
      </c>
      <c r="E432">
        <v>-212.40000000000009</v>
      </c>
    </row>
    <row r="433" spans="1:5" x14ac:dyDescent="0.35">
      <c r="A433">
        <v>7.5</v>
      </c>
      <c r="B433">
        <v>225</v>
      </c>
      <c r="C433">
        <v>525</v>
      </c>
      <c r="D433">
        <v>600</v>
      </c>
      <c r="E433">
        <v>375</v>
      </c>
    </row>
    <row r="434" spans="1:5" x14ac:dyDescent="0.35">
      <c r="A434">
        <v>4.5</v>
      </c>
      <c r="B434">
        <v>252</v>
      </c>
      <c r="C434">
        <v>333</v>
      </c>
      <c r="D434">
        <v>274.5</v>
      </c>
      <c r="E434">
        <v>22.5</v>
      </c>
    </row>
    <row r="435" spans="1:5" x14ac:dyDescent="0.35">
      <c r="A435">
        <v>3.5</v>
      </c>
      <c r="B435">
        <v>318.5</v>
      </c>
      <c r="C435">
        <v>59.5</v>
      </c>
      <c r="D435">
        <v>259</v>
      </c>
      <c r="E435">
        <v>-59.5</v>
      </c>
    </row>
    <row r="436" spans="1:5" x14ac:dyDescent="0.35">
      <c r="A436">
        <v>2</v>
      </c>
      <c r="B436">
        <v>54</v>
      </c>
      <c r="C436">
        <v>156</v>
      </c>
      <c r="D436">
        <v>114</v>
      </c>
      <c r="E436">
        <v>60</v>
      </c>
    </row>
    <row r="437" spans="1:5" x14ac:dyDescent="0.35">
      <c r="A437">
        <v>2.4500000000000002</v>
      </c>
      <c r="B437">
        <v>68.600000000000009</v>
      </c>
      <c r="C437">
        <v>171.5</v>
      </c>
      <c r="D437">
        <v>186.20000000000002</v>
      </c>
      <c r="E437">
        <v>117.60000000000001</v>
      </c>
    </row>
    <row r="438" spans="1:5" x14ac:dyDescent="0.35">
      <c r="A438">
        <v>4</v>
      </c>
      <c r="B438">
        <v>368</v>
      </c>
      <c r="C438">
        <v>204</v>
      </c>
      <c r="D438">
        <v>92</v>
      </c>
      <c r="E438">
        <v>-276</v>
      </c>
    </row>
    <row r="439" spans="1:5" x14ac:dyDescent="0.35">
      <c r="A439">
        <v>18</v>
      </c>
      <c r="B439">
        <v>666</v>
      </c>
      <c r="C439">
        <v>1440</v>
      </c>
      <c r="D439">
        <v>486</v>
      </c>
      <c r="E439">
        <v>-180</v>
      </c>
    </row>
    <row r="440" spans="1:5" x14ac:dyDescent="0.35">
      <c r="A440">
        <v>2.5</v>
      </c>
      <c r="B440">
        <v>70</v>
      </c>
      <c r="C440">
        <v>242.5</v>
      </c>
      <c r="D440">
        <v>205</v>
      </c>
      <c r="E440">
        <v>135</v>
      </c>
    </row>
    <row r="441" spans="1:5" x14ac:dyDescent="0.35">
      <c r="A441">
        <v>7</v>
      </c>
      <c r="B441">
        <v>210</v>
      </c>
      <c r="C441">
        <v>56</v>
      </c>
      <c r="D441">
        <v>336</v>
      </c>
      <c r="E441">
        <v>126</v>
      </c>
    </row>
    <row r="442" spans="1:5" x14ac:dyDescent="0.35">
      <c r="A442">
        <v>20</v>
      </c>
      <c r="B442">
        <v>1960</v>
      </c>
      <c r="C442">
        <v>100</v>
      </c>
      <c r="D442">
        <v>780</v>
      </c>
      <c r="E442">
        <v>-1180</v>
      </c>
    </row>
    <row r="443" spans="1:5" x14ac:dyDescent="0.35">
      <c r="A443">
        <v>2.5</v>
      </c>
      <c r="B443">
        <v>162.5</v>
      </c>
      <c r="C443">
        <v>50</v>
      </c>
      <c r="D443">
        <v>222.5</v>
      </c>
      <c r="E443">
        <v>60</v>
      </c>
    </row>
    <row r="444" spans="1:5" x14ac:dyDescent="0.35">
      <c r="A444">
        <v>2</v>
      </c>
      <c r="B444">
        <v>84</v>
      </c>
      <c r="C444">
        <v>42</v>
      </c>
      <c r="D444">
        <v>70</v>
      </c>
      <c r="E444">
        <v>-14</v>
      </c>
    </row>
    <row r="445" spans="1:5" x14ac:dyDescent="0.35">
      <c r="A445">
        <v>2.5</v>
      </c>
      <c r="B445">
        <v>157.5</v>
      </c>
      <c r="C445">
        <v>135</v>
      </c>
      <c r="D445">
        <v>82.5</v>
      </c>
      <c r="E445">
        <v>-75</v>
      </c>
    </row>
    <row r="446" spans="1:5" x14ac:dyDescent="0.35">
      <c r="A446">
        <v>4</v>
      </c>
      <c r="B446">
        <v>340</v>
      </c>
      <c r="C446">
        <v>72</v>
      </c>
      <c r="D446">
        <v>340</v>
      </c>
      <c r="E446">
        <v>0</v>
      </c>
    </row>
    <row r="447" spans="1:5" x14ac:dyDescent="0.35">
      <c r="A447">
        <v>1</v>
      </c>
      <c r="B447">
        <v>44</v>
      </c>
      <c r="C447">
        <v>72</v>
      </c>
      <c r="D447">
        <v>96</v>
      </c>
      <c r="E447">
        <v>52</v>
      </c>
    </row>
    <row r="448" spans="1:5" x14ac:dyDescent="0.35">
      <c r="A448">
        <v>4</v>
      </c>
      <c r="B448">
        <v>104</v>
      </c>
      <c r="C448">
        <v>360</v>
      </c>
      <c r="D448">
        <v>188</v>
      </c>
      <c r="E448">
        <v>84</v>
      </c>
    </row>
    <row r="449" spans="1:5" x14ac:dyDescent="0.35">
      <c r="A449">
        <v>5</v>
      </c>
      <c r="B449">
        <v>245</v>
      </c>
      <c r="C449">
        <v>365</v>
      </c>
      <c r="D449">
        <v>465</v>
      </c>
      <c r="E449">
        <v>220</v>
      </c>
    </row>
    <row r="450" spans="1:5" x14ac:dyDescent="0.35">
      <c r="A450">
        <v>6</v>
      </c>
      <c r="B450">
        <v>354</v>
      </c>
      <c r="C450">
        <v>522</v>
      </c>
      <c r="D450">
        <v>282</v>
      </c>
      <c r="E450">
        <v>-72</v>
      </c>
    </row>
    <row r="451" spans="1:5" x14ac:dyDescent="0.35">
      <c r="A451">
        <v>1.5</v>
      </c>
      <c r="B451">
        <v>28.5</v>
      </c>
      <c r="C451">
        <v>49.5</v>
      </c>
      <c r="D451">
        <v>58.5</v>
      </c>
      <c r="E451">
        <v>30</v>
      </c>
    </row>
    <row r="452" spans="1:5" x14ac:dyDescent="0.35">
      <c r="A452">
        <v>3</v>
      </c>
      <c r="B452">
        <v>141</v>
      </c>
      <c r="C452">
        <v>189</v>
      </c>
      <c r="D452">
        <v>117</v>
      </c>
      <c r="E452">
        <v>-24</v>
      </c>
    </row>
    <row r="453" spans="1:5" x14ac:dyDescent="0.35">
      <c r="A453">
        <v>5.5</v>
      </c>
      <c r="B453">
        <v>539</v>
      </c>
      <c r="C453">
        <v>533.5</v>
      </c>
      <c r="D453">
        <v>324.5</v>
      </c>
      <c r="E453">
        <v>-214.5</v>
      </c>
    </row>
    <row r="454" spans="1:5" x14ac:dyDescent="0.35">
      <c r="A454">
        <v>3</v>
      </c>
      <c r="B454">
        <v>153</v>
      </c>
      <c r="C454">
        <v>255</v>
      </c>
      <c r="D454">
        <v>69</v>
      </c>
      <c r="E454">
        <v>-84</v>
      </c>
    </row>
    <row r="455" spans="1:5" x14ac:dyDescent="0.35">
      <c r="A455">
        <v>10</v>
      </c>
      <c r="B455">
        <v>1000</v>
      </c>
      <c r="C455">
        <v>80</v>
      </c>
      <c r="D455">
        <v>540</v>
      </c>
      <c r="E455">
        <v>-460</v>
      </c>
    </row>
    <row r="456" spans="1:5" x14ac:dyDescent="0.35">
      <c r="A456">
        <v>1.7</v>
      </c>
      <c r="B456">
        <v>93.5</v>
      </c>
      <c r="C456">
        <v>95.2</v>
      </c>
      <c r="D456">
        <v>105.39999999999999</v>
      </c>
      <c r="E456">
        <v>11.899999999999991</v>
      </c>
    </row>
    <row r="457" spans="1:5" x14ac:dyDescent="0.35">
      <c r="A457">
        <v>4</v>
      </c>
      <c r="B457">
        <v>56</v>
      </c>
      <c r="C457">
        <v>32</v>
      </c>
      <c r="D457">
        <v>360</v>
      </c>
      <c r="E457">
        <v>304</v>
      </c>
    </row>
    <row r="458" spans="1:5" x14ac:dyDescent="0.35">
      <c r="A458">
        <v>0.8</v>
      </c>
      <c r="B458">
        <v>23.200000000000003</v>
      </c>
      <c r="C458">
        <v>70.400000000000006</v>
      </c>
      <c r="D458">
        <v>40</v>
      </c>
      <c r="E458">
        <v>16.799999999999997</v>
      </c>
    </row>
    <row r="459" spans="1:5" x14ac:dyDescent="0.35">
      <c r="A459">
        <v>5</v>
      </c>
      <c r="B459">
        <v>500</v>
      </c>
      <c r="C459">
        <v>130</v>
      </c>
      <c r="D459">
        <v>235</v>
      </c>
      <c r="E459">
        <v>-265</v>
      </c>
    </row>
    <row r="460" spans="1:5" x14ac:dyDescent="0.35">
      <c r="A460">
        <v>6</v>
      </c>
      <c r="B460">
        <v>294</v>
      </c>
      <c r="C460">
        <v>444</v>
      </c>
      <c r="D460">
        <v>420</v>
      </c>
      <c r="E460">
        <v>126</v>
      </c>
    </row>
    <row r="461" spans="1:5" x14ac:dyDescent="0.35">
      <c r="A461">
        <v>2</v>
      </c>
      <c r="B461">
        <v>150</v>
      </c>
      <c r="C461">
        <v>38</v>
      </c>
      <c r="D461">
        <v>158</v>
      </c>
      <c r="E461">
        <v>8</v>
      </c>
    </row>
    <row r="462" spans="1:5" x14ac:dyDescent="0.35">
      <c r="A462">
        <v>4.0999999999999996</v>
      </c>
      <c r="B462">
        <v>336.2</v>
      </c>
      <c r="C462">
        <v>385.4</v>
      </c>
      <c r="D462">
        <v>282.89999999999998</v>
      </c>
      <c r="E462">
        <v>-53.300000000000011</v>
      </c>
    </row>
    <row r="463" spans="1:5" x14ac:dyDescent="0.35">
      <c r="A463">
        <v>4.8</v>
      </c>
      <c r="B463">
        <v>326.39999999999998</v>
      </c>
      <c r="C463">
        <v>278.39999999999998</v>
      </c>
      <c r="D463">
        <v>432</v>
      </c>
      <c r="E463">
        <v>105.60000000000002</v>
      </c>
    </row>
    <row r="464" spans="1:5" x14ac:dyDescent="0.35">
      <c r="A464">
        <v>2.5</v>
      </c>
      <c r="B464">
        <v>175</v>
      </c>
      <c r="C464">
        <v>212.5</v>
      </c>
      <c r="D464">
        <v>85</v>
      </c>
      <c r="E464">
        <v>-90</v>
      </c>
    </row>
    <row r="465" spans="1:5" x14ac:dyDescent="0.35">
      <c r="A465">
        <v>15</v>
      </c>
      <c r="B465">
        <v>735</v>
      </c>
      <c r="C465">
        <v>930</v>
      </c>
      <c r="D465">
        <v>1440</v>
      </c>
      <c r="E465">
        <v>705</v>
      </c>
    </row>
    <row r="466" spans="1:5" x14ac:dyDescent="0.35">
      <c r="A466">
        <v>7.5</v>
      </c>
      <c r="B466">
        <v>667.5</v>
      </c>
      <c r="C466">
        <v>270</v>
      </c>
      <c r="D466">
        <v>360</v>
      </c>
      <c r="E466">
        <v>-307.5</v>
      </c>
    </row>
    <row r="467" spans="1:5" x14ac:dyDescent="0.35">
      <c r="A467">
        <v>9</v>
      </c>
      <c r="B467">
        <v>792</v>
      </c>
      <c r="C467">
        <v>396</v>
      </c>
      <c r="D467">
        <v>504</v>
      </c>
      <c r="E467">
        <v>-288</v>
      </c>
    </row>
    <row r="468" spans="1:5" x14ac:dyDescent="0.35">
      <c r="A468">
        <v>8</v>
      </c>
      <c r="B468">
        <v>312</v>
      </c>
      <c r="C468">
        <v>800</v>
      </c>
      <c r="D468">
        <v>224</v>
      </c>
      <c r="E468">
        <v>-88</v>
      </c>
    </row>
    <row r="469" spans="1:5" x14ac:dyDescent="0.35">
      <c r="A469">
        <v>2.5</v>
      </c>
      <c r="B469">
        <v>217.5</v>
      </c>
      <c r="C469">
        <v>235</v>
      </c>
      <c r="D469">
        <v>117.5</v>
      </c>
      <c r="E469">
        <v>-100</v>
      </c>
    </row>
    <row r="470" spans="1:5" x14ac:dyDescent="0.35">
      <c r="A470">
        <v>5</v>
      </c>
      <c r="B470">
        <v>465</v>
      </c>
      <c r="C470">
        <v>215</v>
      </c>
      <c r="D470">
        <v>380</v>
      </c>
      <c r="E470">
        <v>-85</v>
      </c>
    </row>
    <row r="471" spans="1:5" x14ac:dyDescent="0.35">
      <c r="A471">
        <v>2.4</v>
      </c>
      <c r="B471">
        <v>55.199999999999996</v>
      </c>
      <c r="C471">
        <v>141.6</v>
      </c>
      <c r="D471">
        <v>194.4</v>
      </c>
      <c r="E471">
        <v>139.20000000000002</v>
      </c>
    </row>
    <row r="472" spans="1:5" x14ac:dyDescent="0.35">
      <c r="A472">
        <v>5.5</v>
      </c>
      <c r="B472">
        <v>517</v>
      </c>
      <c r="C472">
        <v>115.5</v>
      </c>
      <c r="D472">
        <v>407</v>
      </c>
      <c r="E472">
        <v>-110</v>
      </c>
    </row>
    <row r="473" spans="1:5" x14ac:dyDescent="0.35">
      <c r="A473">
        <v>4</v>
      </c>
      <c r="B473">
        <v>152</v>
      </c>
      <c r="C473">
        <v>364</v>
      </c>
      <c r="D473">
        <v>288</v>
      </c>
      <c r="E473">
        <v>136</v>
      </c>
    </row>
    <row r="474" spans="1:5" x14ac:dyDescent="0.35">
      <c r="A474">
        <v>2</v>
      </c>
      <c r="B474">
        <v>22</v>
      </c>
      <c r="C474">
        <v>130</v>
      </c>
      <c r="D474">
        <v>96</v>
      </c>
      <c r="E474">
        <v>74</v>
      </c>
    </row>
    <row r="475" spans="1:5" x14ac:dyDescent="0.35">
      <c r="A475">
        <v>25.3</v>
      </c>
      <c r="B475">
        <v>1518</v>
      </c>
      <c r="C475">
        <v>1467.4</v>
      </c>
      <c r="D475">
        <v>1087.9000000000001</v>
      </c>
      <c r="E475">
        <v>-430.09999999999991</v>
      </c>
    </row>
    <row r="476" spans="1:5" x14ac:dyDescent="0.35">
      <c r="A476">
        <v>10</v>
      </c>
      <c r="B476">
        <v>500</v>
      </c>
      <c r="C476">
        <v>810</v>
      </c>
      <c r="D476">
        <v>270</v>
      </c>
      <c r="E476">
        <v>-230</v>
      </c>
    </row>
    <row r="477" spans="1:5" x14ac:dyDescent="0.35">
      <c r="A477">
        <v>2.5</v>
      </c>
      <c r="B477">
        <v>225</v>
      </c>
      <c r="C477">
        <v>122.5</v>
      </c>
      <c r="D477">
        <v>127.5</v>
      </c>
      <c r="E477">
        <v>-97.5</v>
      </c>
    </row>
    <row r="478" spans="1:5" x14ac:dyDescent="0.35">
      <c r="A478">
        <v>4.5</v>
      </c>
      <c r="B478">
        <v>387</v>
      </c>
      <c r="C478">
        <v>360</v>
      </c>
      <c r="D478">
        <v>99</v>
      </c>
      <c r="E478">
        <v>-288</v>
      </c>
    </row>
    <row r="479" spans="1:5" x14ac:dyDescent="0.35">
      <c r="A479">
        <v>2.5</v>
      </c>
      <c r="B479">
        <v>215</v>
      </c>
      <c r="C479">
        <v>60</v>
      </c>
      <c r="D479">
        <v>75</v>
      </c>
      <c r="E479">
        <v>-140</v>
      </c>
    </row>
    <row r="480" spans="1:5" x14ac:dyDescent="0.35">
      <c r="A480">
        <v>9.5</v>
      </c>
      <c r="B480">
        <v>513</v>
      </c>
      <c r="C480">
        <v>855</v>
      </c>
      <c r="D480">
        <v>570</v>
      </c>
      <c r="E480">
        <v>57</v>
      </c>
    </row>
    <row r="481" spans="1:5" x14ac:dyDescent="0.35">
      <c r="A481">
        <v>3</v>
      </c>
      <c r="B481">
        <v>81</v>
      </c>
      <c r="C481">
        <v>129</v>
      </c>
      <c r="D481">
        <v>210</v>
      </c>
      <c r="E481">
        <v>129</v>
      </c>
    </row>
    <row r="482" spans="1:5" x14ac:dyDescent="0.35">
      <c r="A482">
        <v>3</v>
      </c>
      <c r="B482">
        <v>150</v>
      </c>
      <c r="C482">
        <v>234</v>
      </c>
      <c r="D482">
        <v>249</v>
      </c>
      <c r="E482">
        <v>99</v>
      </c>
    </row>
    <row r="483" spans="1:5" x14ac:dyDescent="0.35">
      <c r="A483">
        <v>2</v>
      </c>
      <c r="B483">
        <v>136</v>
      </c>
      <c r="C483">
        <v>58</v>
      </c>
      <c r="D483">
        <v>74</v>
      </c>
      <c r="E483">
        <v>-62</v>
      </c>
    </row>
    <row r="484" spans="1:5" x14ac:dyDescent="0.35">
      <c r="A484">
        <v>4.2</v>
      </c>
      <c r="B484">
        <v>92.4</v>
      </c>
      <c r="C484">
        <v>306.60000000000002</v>
      </c>
      <c r="D484">
        <v>260.40000000000003</v>
      </c>
      <c r="E484">
        <v>168.00000000000003</v>
      </c>
    </row>
    <row r="485" spans="1:5" x14ac:dyDescent="0.35">
      <c r="A485">
        <v>9.1999999999999993</v>
      </c>
      <c r="B485">
        <v>459.99999999999994</v>
      </c>
      <c r="C485">
        <v>55.199999999999996</v>
      </c>
      <c r="D485">
        <v>552</v>
      </c>
      <c r="E485">
        <v>92.000000000000057</v>
      </c>
    </row>
    <row r="486" spans="1:5" x14ac:dyDescent="0.35">
      <c r="A486">
        <v>4.4000000000000004</v>
      </c>
      <c r="B486">
        <v>114.4</v>
      </c>
      <c r="C486">
        <v>189.20000000000002</v>
      </c>
      <c r="D486">
        <v>321.20000000000005</v>
      </c>
      <c r="E486">
        <v>206.80000000000004</v>
      </c>
    </row>
    <row r="487" spans="1:5" x14ac:dyDescent="0.35">
      <c r="A487">
        <v>25</v>
      </c>
      <c r="B487">
        <v>1550</v>
      </c>
      <c r="C487">
        <v>600</v>
      </c>
      <c r="D487">
        <v>2225</v>
      </c>
      <c r="E487">
        <v>675</v>
      </c>
    </row>
    <row r="488" spans="1:5" x14ac:dyDescent="0.35">
      <c r="A488">
        <v>4</v>
      </c>
      <c r="B488">
        <v>316</v>
      </c>
      <c r="C488">
        <v>24</v>
      </c>
      <c r="D488">
        <v>268</v>
      </c>
      <c r="E488">
        <v>-48</v>
      </c>
    </row>
    <row r="489" spans="1:5" x14ac:dyDescent="0.35">
      <c r="A489">
        <v>4</v>
      </c>
      <c r="B489">
        <v>292</v>
      </c>
      <c r="C489">
        <v>308</v>
      </c>
      <c r="D489">
        <v>300</v>
      </c>
      <c r="E489">
        <v>8</v>
      </c>
    </row>
    <row r="490" spans="1:5" x14ac:dyDescent="0.35">
      <c r="A490">
        <v>1.45</v>
      </c>
      <c r="B490">
        <v>26.099999999999998</v>
      </c>
      <c r="C490">
        <v>111.64999999999999</v>
      </c>
      <c r="D490">
        <v>63.8</v>
      </c>
      <c r="E490">
        <v>37.700000000000003</v>
      </c>
    </row>
    <row r="491" spans="1:5" x14ac:dyDescent="0.35">
      <c r="A491">
        <v>4</v>
      </c>
      <c r="B491">
        <v>316</v>
      </c>
      <c r="C491">
        <v>348</v>
      </c>
      <c r="D491">
        <v>320</v>
      </c>
      <c r="E491">
        <v>4</v>
      </c>
    </row>
    <row r="492" spans="1:5" x14ac:dyDescent="0.35">
      <c r="A492">
        <v>20</v>
      </c>
      <c r="B492">
        <v>460</v>
      </c>
      <c r="C492">
        <v>300</v>
      </c>
      <c r="D492">
        <v>620</v>
      </c>
      <c r="E492">
        <v>160</v>
      </c>
    </row>
    <row r="493" spans="1:5" x14ac:dyDescent="0.35">
      <c r="A493">
        <v>1</v>
      </c>
      <c r="B493">
        <v>18</v>
      </c>
      <c r="C493">
        <v>86</v>
      </c>
      <c r="D493">
        <v>73</v>
      </c>
      <c r="E493">
        <v>55</v>
      </c>
    </row>
    <row r="494" spans="1:5" x14ac:dyDescent="0.35">
      <c r="A494">
        <v>2.5</v>
      </c>
      <c r="B494">
        <v>60</v>
      </c>
      <c r="C494">
        <v>35</v>
      </c>
      <c r="D494">
        <v>227.5</v>
      </c>
      <c r="E494">
        <v>167.5</v>
      </c>
    </row>
    <row r="495" spans="1:5" x14ac:dyDescent="0.35">
      <c r="A495">
        <v>3</v>
      </c>
      <c r="B495">
        <v>159</v>
      </c>
      <c r="C495">
        <v>90</v>
      </c>
      <c r="D495">
        <v>72</v>
      </c>
      <c r="E495">
        <v>-87</v>
      </c>
    </row>
    <row r="496" spans="1:5" x14ac:dyDescent="0.35">
      <c r="A496">
        <v>1.75</v>
      </c>
      <c r="B496">
        <v>148.75</v>
      </c>
      <c r="C496">
        <v>22.75</v>
      </c>
      <c r="D496">
        <v>85.75</v>
      </c>
      <c r="E496">
        <v>-63</v>
      </c>
    </row>
    <row r="497" spans="1:5" x14ac:dyDescent="0.35">
      <c r="A497">
        <v>6.5</v>
      </c>
      <c r="B497">
        <v>97.5</v>
      </c>
      <c r="C497">
        <v>370.5</v>
      </c>
      <c r="D497">
        <v>318.5</v>
      </c>
      <c r="E497">
        <v>221</v>
      </c>
    </row>
    <row r="498" spans="1:5" x14ac:dyDescent="0.35">
      <c r="A498">
        <v>10</v>
      </c>
      <c r="B498">
        <v>660</v>
      </c>
      <c r="C498">
        <v>410</v>
      </c>
      <c r="D498">
        <v>270</v>
      </c>
      <c r="E498">
        <v>-390</v>
      </c>
    </row>
    <row r="499" spans="1:5" x14ac:dyDescent="0.35">
      <c r="A499">
        <v>2.5</v>
      </c>
      <c r="B499">
        <v>42.5</v>
      </c>
      <c r="C499">
        <v>165</v>
      </c>
      <c r="D499">
        <v>57.5</v>
      </c>
      <c r="E499">
        <v>15</v>
      </c>
    </row>
    <row r="500" spans="1:5" x14ac:dyDescent="0.35">
      <c r="A500">
        <v>5.5</v>
      </c>
      <c r="B500">
        <v>71.5</v>
      </c>
      <c r="C500">
        <v>423.5</v>
      </c>
      <c r="D500">
        <v>231</v>
      </c>
      <c r="E500">
        <v>159.5</v>
      </c>
    </row>
    <row r="501" spans="1:5" x14ac:dyDescent="0.35">
      <c r="A501">
        <v>4</v>
      </c>
      <c r="B501">
        <v>136</v>
      </c>
      <c r="C501">
        <v>108</v>
      </c>
      <c r="D501">
        <v>312</v>
      </c>
      <c r="E501">
        <v>176</v>
      </c>
    </row>
    <row r="502" spans="1:5" x14ac:dyDescent="0.35">
      <c r="A502">
        <v>8</v>
      </c>
      <c r="B502">
        <v>680</v>
      </c>
      <c r="C502">
        <v>328</v>
      </c>
      <c r="D502">
        <v>544</v>
      </c>
      <c r="E502">
        <v>-136</v>
      </c>
    </row>
    <row r="503" spans="1:5" x14ac:dyDescent="0.35">
      <c r="A503">
        <v>1</v>
      </c>
      <c r="B503">
        <v>12</v>
      </c>
      <c r="C503">
        <v>49</v>
      </c>
      <c r="D503">
        <v>25</v>
      </c>
      <c r="E503">
        <v>13</v>
      </c>
    </row>
    <row r="504" spans="1:5" x14ac:dyDescent="0.35">
      <c r="A504">
        <v>5</v>
      </c>
      <c r="B504">
        <v>410</v>
      </c>
      <c r="C504">
        <v>265</v>
      </c>
      <c r="D504">
        <v>105</v>
      </c>
      <c r="E504">
        <v>-305</v>
      </c>
    </row>
    <row r="505" spans="1:5" x14ac:dyDescent="0.35">
      <c r="A505">
        <v>4</v>
      </c>
      <c r="B505">
        <v>284</v>
      </c>
      <c r="C505">
        <v>176</v>
      </c>
      <c r="D505">
        <v>232</v>
      </c>
      <c r="E505">
        <v>-52</v>
      </c>
    </row>
    <row r="506" spans="1:5" x14ac:dyDescent="0.35">
      <c r="A506">
        <v>7</v>
      </c>
      <c r="B506">
        <v>406</v>
      </c>
      <c r="C506">
        <v>182</v>
      </c>
      <c r="D506">
        <v>434</v>
      </c>
      <c r="E506">
        <v>28</v>
      </c>
    </row>
    <row r="507" spans="1:5" x14ac:dyDescent="0.35">
      <c r="A507">
        <v>2</v>
      </c>
      <c r="B507">
        <v>30</v>
      </c>
      <c r="C507">
        <v>162</v>
      </c>
      <c r="D507">
        <v>180</v>
      </c>
      <c r="E507">
        <v>150</v>
      </c>
    </row>
    <row r="508" spans="1:5" x14ac:dyDescent="0.35">
      <c r="A508">
        <v>3.5</v>
      </c>
      <c r="B508">
        <v>238</v>
      </c>
      <c r="C508">
        <v>56</v>
      </c>
      <c r="D508">
        <v>87.5</v>
      </c>
      <c r="E508">
        <v>-150.5</v>
      </c>
    </row>
    <row r="509" spans="1:5" x14ac:dyDescent="0.35">
      <c r="A509">
        <v>2</v>
      </c>
      <c r="B509">
        <v>26</v>
      </c>
      <c r="C509">
        <v>158</v>
      </c>
      <c r="D509">
        <v>76</v>
      </c>
      <c r="E509">
        <v>50</v>
      </c>
    </row>
    <row r="510" spans="1:5" x14ac:dyDescent="0.35">
      <c r="A510">
        <v>6.5</v>
      </c>
      <c r="B510">
        <v>292.5</v>
      </c>
      <c r="C510">
        <v>377</v>
      </c>
      <c r="D510">
        <v>559</v>
      </c>
      <c r="E510">
        <v>266.5</v>
      </c>
    </row>
    <row r="511" spans="1:5" x14ac:dyDescent="0.35">
      <c r="A511">
        <v>2.4500000000000002</v>
      </c>
      <c r="B511">
        <v>98</v>
      </c>
      <c r="C511">
        <v>181.3</v>
      </c>
      <c r="D511">
        <v>186.20000000000002</v>
      </c>
      <c r="E511">
        <v>88.200000000000017</v>
      </c>
    </row>
    <row r="512" spans="1:5" x14ac:dyDescent="0.35">
      <c r="A512">
        <v>15.5</v>
      </c>
      <c r="B512">
        <v>961</v>
      </c>
      <c r="C512">
        <v>387.5</v>
      </c>
      <c r="D512">
        <v>527</v>
      </c>
      <c r="E512">
        <v>-434</v>
      </c>
    </row>
    <row r="513" spans="1:5" x14ac:dyDescent="0.35">
      <c r="A513">
        <v>4</v>
      </c>
      <c r="B513">
        <v>316</v>
      </c>
      <c r="C513">
        <v>144</v>
      </c>
      <c r="D513">
        <v>184</v>
      </c>
      <c r="E513">
        <v>-132</v>
      </c>
    </row>
    <row r="514" spans="1:5" x14ac:dyDescent="0.35">
      <c r="A514">
        <v>3</v>
      </c>
      <c r="B514">
        <v>225</v>
      </c>
      <c r="C514">
        <v>204</v>
      </c>
      <c r="D514">
        <v>288</v>
      </c>
      <c r="E514">
        <v>63</v>
      </c>
    </row>
    <row r="515" spans="1:5" x14ac:dyDescent="0.35">
      <c r="A515">
        <v>9.5</v>
      </c>
      <c r="B515">
        <v>722</v>
      </c>
      <c r="C515">
        <v>19</v>
      </c>
      <c r="D515">
        <v>228</v>
      </c>
      <c r="E515">
        <v>-494</v>
      </c>
    </row>
    <row r="516" spans="1:5" x14ac:dyDescent="0.35">
      <c r="A516">
        <v>2.2999999999999998</v>
      </c>
      <c r="B516">
        <v>220.79999999999998</v>
      </c>
      <c r="C516">
        <v>92</v>
      </c>
      <c r="D516">
        <v>140.29999999999998</v>
      </c>
      <c r="E516">
        <v>-80.5</v>
      </c>
    </row>
    <row r="517" spans="1:5" x14ac:dyDescent="0.35">
      <c r="A517">
        <v>2.2999999999999998</v>
      </c>
      <c r="B517">
        <v>158.69999999999999</v>
      </c>
      <c r="C517">
        <v>62.099999999999994</v>
      </c>
      <c r="D517">
        <v>181.7</v>
      </c>
      <c r="E517">
        <v>23</v>
      </c>
    </row>
    <row r="518" spans="1:5" x14ac:dyDescent="0.35">
      <c r="A518">
        <v>3</v>
      </c>
      <c r="B518">
        <v>144</v>
      </c>
      <c r="C518">
        <v>258</v>
      </c>
      <c r="D518">
        <v>285</v>
      </c>
      <c r="E518">
        <v>141</v>
      </c>
    </row>
    <row r="519" spans="1:5" x14ac:dyDescent="0.35">
      <c r="A519">
        <v>2.4</v>
      </c>
      <c r="B519">
        <v>196.79999999999998</v>
      </c>
      <c r="C519">
        <v>196.79999999999998</v>
      </c>
      <c r="D519">
        <v>115.19999999999999</v>
      </c>
      <c r="E519">
        <v>-81.599999999999994</v>
      </c>
    </row>
    <row r="520" spans="1:5" x14ac:dyDescent="0.35">
      <c r="A520">
        <v>2.5</v>
      </c>
      <c r="B520">
        <v>107.5</v>
      </c>
      <c r="C520">
        <v>77.5</v>
      </c>
      <c r="D520">
        <v>55</v>
      </c>
      <c r="E520">
        <v>-52.5</v>
      </c>
    </row>
    <row r="521" spans="1:5" x14ac:dyDescent="0.35">
      <c r="A521">
        <v>12</v>
      </c>
      <c r="B521">
        <v>1080</v>
      </c>
      <c r="C521">
        <v>888</v>
      </c>
      <c r="D521">
        <v>972</v>
      </c>
      <c r="E521">
        <v>-108</v>
      </c>
    </row>
    <row r="522" spans="1:5" x14ac:dyDescent="0.35">
      <c r="A522">
        <v>0.9</v>
      </c>
      <c r="B522">
        <v>11.700000000000001</v>
      </c>
      <c r="C522">
        <v>88.2</v>
      </c>
      <c r="D522">
        <v>41.4</v>
      </c>
      <c r="E522">
        <v>29.699999999999996</v>
      </c>
    </row>
    <row r="523" spans="1:5" x14ac:dyDescent="0.35">
      <c r="A523">
        <v>1</v>
      </c>
      <c r="B523">
        <v>62</v>
      </c>
      <c r="C523">
        <v>95</v>
      </c>
      <c r="D523">
        <v>34</v>
      </c>
      <c r="E523">
        <v>-28</v>
      </c>
    </row>
    <row r="524" spans="1:5" x14ac:dyDescent="0.35">
      <c r="A524">
        <v>5</v>
      </c>
      <c r="B524">
        <v>85</v>
      </c>
      <c r="C524">
        <v>370</v>
      </c>
      <c r="D524">
        <v>380</v>
      </c>
      <c r="E524">
        <v>295</v>
      </c>
    </row>
    <row r="525" spans="1:5" x14ac:dyDescent="0.35">
      <c r="A525">
        <v>6.5</v>
      </c>
      <c r="B525">
        <v>650</v>
      </c>
      <c r="C525">
        <v>611</v>
      </c>
      <c r="D525">
        <v>500.5</v>
      </c>
      <c r="E525">
        <v>-149.5</v>
      </c>
    </row>
    <row r="526" spans="1:5" x14ac:dyDescent="0.35">
      <c r="A526">
        <v>1.75</v>
      </c>
      <c r="B526">
        <v>94.5</v>
      </c>
      <c r="C526">
        <v>119</v>
      </c>
      <c r="D526">
        <v>134.75</v>
      </c>
      <c r="E526">
        <v>40.25</v>
      </c>
    </row>
    <row r="527" spans="1:5" x14ac:dyDescent="0.35">
      <c r="A527">
        <v>4.0999999999999996</v>
      </c>
      <c r="B527">
        <v>401.79999999999995</v>
      </c>
      <c r="C527">
        <v>16.399999999999999</v>
      </c>
      <c r="D527">
        <v>364.9</v>
      </c>
      <c r="E527">
        <v>-36.899999999999977</v>
      </c>
    </row>
    <row r="528" spans="1:5" x14ac:dyDescent="0.35">
      <c r="A528">
        <v>30.5</v>
      </c>
      <c r="B528">
        <v>610</v>
      </c>
      <c r="C528">
        <v>366</v>
      </c>
      <c r="D528">
        <v>1403</v>
      </c>
      <c r="E528">
        <v>793</v>
      </c>
    </row>
    <row r="529" spans="1:5" x14ac:dyDescent="0.35">
      <c r="A529">
        <v>9</v>
      </c>
      <c r="B529">
        <v>387</v>
      </c>
      <c r="C529">
        <v>567</v>
      </c>
      <c r="D529">
        <v>594</v>
      </c>
      <c r="E529">
        <v>207</v>
      </c>
    </row>
    <row r="530" spans="1:5" x14ac:dyDescent="0.35">
      <c r="A530">
        <v>12</v>
      </c>
      <c r="B530">
        <v>348</v>
      </c>
      <c r="C530">
        <v>576</v>
      </c>
      <c r="D530">
        <v>336</v>
      </c>
      <c r="E530">
        <v>-12</v>
      </c>
    </row>
    <row r="531" spans="1:5" x14ac:dyDescent="0.35">
      <c r="A531">
        <v>5.5</v>
      </c>
      <c r="B531">
        <v>203.5</v>
      </c>
      <c r="C531">
        <v>341</v>
      </c>
      <c r="D531">
        <v>187</v>
      </c>
      <c r="E531">
        <v>-16.5</v>
      </c>
    </row>
    <row r="532" spans="1:5" x14ac:dyDescent="0.35">
      <c r="A532">
        <v>8.9</v>
      </c>
      <c r="B532">
        <v>756.5</v>
      </c>
      <c r="C532">
        <v>284.8</v>
      </c>
      <c r="D532">
        <v>507.3</v>
      </c>
      <c r="E532">
        <v>-249.2</v>
      </c>
    </row>
    <row r="533" spans="1:5" x14ac:dyDescent="0.35">
      <c r="A533">
        <v>4.4000000000000004</v>
      </c>
      <c r="B533">
        <v>114.4</v>
      </c>
      <c r="C533">
        <v>202.4</v>
      </c>
      <c r="D533">
        <v>237.60000000000002</v>
      </c>
      <c r="E533">
        <v>123.20000000000002</v>
      </c>
    </row>
    <row r="534" spans="1:5" x14ac:dyDescent="0.35">
      <c r="A534">
        <v>25</v>
      </c>
      <c r="B534">
        <v>2275</v>
      </c>
      <c r="C534">
        <v>1525</v>
      </c>
      <c r="D534">
        <v>1575</v>
      </c>
      <c r="E534">
        <v>-700</v>
      </c>
    </row>
    <row r="535" spans="1:5" x14ac:dyDescent="0.35">
      <c r="A535">
        <v>6.2</v>
      </c>
      <c r="B535">
        <v>310</v>
      </c>
      <c r="C535">
        <v>235.6</v>
      </c>
      <c r="D535">
        <v>545.6</v>
      </c>
      <c r="E535">
        <v>235.60000000000002</v>
      </c>
    </row>
    <row r="536" spans="1:5" x14ac:dyDescent="0.35">
      <c r="A536">
        <v>12</v>
      </c>
      <c r="B536">
        <v>1176</v>
      </c>
      <c r="C536">
        <v>912</v>
      </c>
      <c r="D536">
        <v>744</v>
      </c>
      <c r="E536">
        <v>-432</v>
      </c>
    </row>
    <row r="537" spans="1:5" x14ac:dyDescent="0.35">
      <c r="A537">
        <v>1</v>
      </c>
      <c r="B537">
        <v>37</v>
      </c>
      <c r="C537">
        <v>61</v>
      </c>
      <c r="D537">
        <v>90</v>
      </c>
      <c r="E537">
        <v>53</v>
      </c>
    </row>
    <row r="538" spans="1:5" x14ac:dyDescent="0.35">
      <c r="A538">
        <v>2.5</v>
      </c>
      <c r="B538">
        <v>195</v>
      </c>
      <c r="C538">
        <v>170</v>
      </c>
      <c r="D538">
        <v>222.5</v>
      </c>
      <c r="E538">
        <v>27.5</v>
      </c>
    </row>
    <row r="539" spans="1:5" x14ac:dyDescent="0.35">
      <c r="A539">
        <v>2.5499999999999998</v>
      </c>
      <c r="B539">
        <v>122.39999999999999</v>
      </c>
      <c r="C539">
        <v>186.14999999999998</v>
      </c>
      <c r="D539">
        <v>132.6</v>
      </c>
      <c r="E539">
        <v>10.200000000000003</v>
      </c>
    </row>
    <row r="540" spans="1:5" x14ac:dyDescent="0.35">
      <c r="A540">
        <v>20</v>
      </c>
      <c r="B540">
        <v>1480</v>
      </c>
      <c r="C540">
        <v>1480</v>
      </c>
      <c r="D540">
        <v>2000</v>
      </c>
      <c r="E540">
        <v>520</v>
      </c>
    </row>
    <row r="541" spans="1:5" x14ac:dyDescent="0.35">
      <c r="A541">
        <v>3.5</v>
      </c>
      <c r="B541">
        <v>63</v>
      </c>
      <c r="C541">
        <v>203</v>
      </c>
      <c r="D541">
        <v>308</v>
      </c>
      <c r="E541">
        <v>245</v>
      </c>
    </row>
    <row r="542" spans="1:5" x14ac:dyDescent="0.35">
      <c r="A542">
        <v>2.48</v>
      </c>
      <c r="B542">
        <v>235.6</v>
      </c>
      <c r="C542">
        <v>171.12</v>
      </c>
      <c r="D542">
        <v>228.16</v>
      </c>
      <c r="E542">
        <v>-7.4399999999999977</v>
      </c>
    </row>
    <row r="543" spans="1:5" x14ac:dyDescent="0.35">
      <c r="A543">
        <v>2.5</v>
      </c>
      <c r="B543">
        <v>97.5</v>
      </c>
      <c r="C543">
        <v>142.5</v>
      </c>
      <c r="D543">
        <v>65</v>
      </c>
      <c r="E543">
        <v>-32.5</v>
      </c>
    </row>
    <row r="544" spans="1:5" x14ac:dyDescent="0.35">
      <c r="A544">
        <v>3</v>
      </c>
      <c r="B544">
        <v>144</v>
      </c>
      <c r="C544">
        <v>165</v>
      </c>
      <c r="D544">
        <v>153</v>
      </c>
      <c r="E544">
        <v>9</v>
      </c>
    </row>
    <row r="545" spans="1:5" x14ac:dyDescent="0.35">
      <c r="A545">
        <v>5.9</v>
      </c>
      <c r="B545">
        <v>342.20000000000005</v>
      </c>
      <c r="C545">
        <v>513.30000000000007</v>
      </c>
      <c r="D545">
        <v>306.8</v>
      </c>
      <c r="E545">
        <v>-35.400000000000034</v>
      </c>
    </row>
    <row r="546" spans="1:5" x14ac:dyDescent="0.35">
      <c r="A546">
        <v>3</v>
      </c>
      <c r="B546">
        <v>117</v>
      </c>
      <c r="C546">
        <v>117</v>
      </c>
      <c r="D546">
        <v>141</v>
      </c>
      <c r="E546">
        <v>24</v>
      </c>
    </row>
    <row r="547" spans="1:5" x14ac:dyDescent="0.35">
      <c r="A547">
        <v>4.4000000000000004</v>
      </c>
      <c r="B547">
        <v>369.6</v>
      </c>
      <c r="C547">
        <v>127.60000000000001</v>
      </c>
      <c r="D547">
        <v>237.60000000000002</v>
      </c>
      <c r="E547">
        <v>-132</v>
      </c>
    </row>
    <row r="548" spans="1:5" x14ac:dyDescent="0.35">
      <c r="A548">
        <v>6</v>
      </c>
      <c r="B548">
        <v>180</v>
      </c>
      <c r="C548">
        <v>24</v>
      </c>
      <c r="D548">
        <v>336</v>
      </c>
      <c r="E548">
        <v>156</v>
      </c>
    </row>
    <row r="549" spans="1:5" x14ac:dyDescent="0.35">
      <c r="A549">
        <v>6.5</v>
      </c>
      <c r="B549">
        <v>91</v>
      </c>
      <c r="C549">
        <v>97.5</v>
      </c>
      <c r="D549">
        <v>331.5</v>
      </c>
      <c r="E549">
        <v>240.5</v>
      </c>
    </row>
    <row r="550" spans="1:5" x14ac:dyDescent="0.35">
      <c r="A550">
        <v>2.5</v>
      </c>
      <c r="B550">
        <v>52.5</v>
      </c>
      <c r="C550">
        <v>67.5</v>
      </c>
      <c r="D550">
        <v>92.5</v>
      </c>
      <c r="E550">
        <v>40</v>
      </c>
    </row>
    <row r="551" spans="1:5" x14ac:dyDescent="0.35">
      <c r="A551">
        <v>4.75</v>
      </c>
      <c r="B551">
        <v>80.75</v>
      </c>
      <c r="C551">
        <v>351.5</v>
      </c>
      <c r="D551">
        <v>275.5</v>
      </c>
      <c r="E551">
        <v>194.75</v>
      </c>
    </row>
    <row r="552" spans="1:5" x14ac:dyDescent="0.35">
      <c r="A552">
        <v>2.5</v>
      </c>
      <c r="B552">
        <v>85</v>
      </c>
      <c r="C552">
        <v>65</v>
      </c>
      <c r="D552">
        <v>70</v>
      </c>
      <c r="E552">
        <v>-15</v>
      </c>
    </row>
    <row r="553" spans="1:5" x14ac:dyDescent="0.35">
      <c r="A553">
        <v>4.75</v>
      </c>
      <c r="B553">
        <v>266</v>
      </c>
      <c r="C553">
        <v>389.5</v>
      </c>
      <c r="D553">
        <v>337.25</v>
      </c>
      <c r="E553">
        <v>71.25</v>
      </c>
    </row>
    <row r="554" spans="1:5" x14ac:dyDescent="0.35">
      <c r="A554">
        <v>3.9</v>
      </c>
      <c r="B554">
        <v>249.6</v>
      </c>
      <c r="C554">
        <v>269.09999999999997</v>
      </c>
      <c r="D554">
        <v>234</v>
      </c>
      <c r="E554">
        <v>-15.599999999999994</v>
      </c>
    </row>
    <row r="555" spans="1:5" x14ac:dyDescent="0.35">
      <c r="A555">
        <v>5.5</v>
      </c>
      <c r="B555">
        <v>478.5</v>
      </c>
      <c r="C555">
        <v>11</v>
      </c>
      <c r="D555">
        <v>121</v>
      </c>
      <c r="E555">
        <v>-357.5</v>
      </c>
    </row>
    <row r="556" spans="1:5" x14ac:dyDescent="0.35">
      <c r="A556">
        <v>4.5</v>
      </c>
      <c r="B556">
        <v>108</v>
      </c>
      <c r="C556">
        <v>234</v>
      </c>
      <c r="D556">
        <v>108</v>
      </c>
      <c r="E556">
        <v>0</v>
      </c>
    </row>
    <row r="557" spans="1:5" x14ac:dyDescent="0.35">
      <c r="A557">
        <v>4.2</v>
      </c>
      <c r="B557">
        <v>197.4</v>
      </c>
      <c r="C557">
        <v>252</v>
      </c>
      <c r="D557">
        <v>134.4</v>
      </c>
      <c r="E557">
        <v>-63</v>
      </c>
    </row>
    <row r="558" spans="1:5" x14ac:dyDescent="0.35">
      <c r="A558">
        <v>4</v>
      </c>
      <c r="B558">
        <v>244</v>
      </c>
      <c r="C558">
        <v>180</v>
      </c>
      <c r="D558">
        <v>292</v>
      </c>
      <c r="E558">
        <v>48</v>
      </c>
    </row>
    <row r="559" spans="1:5" x14ac:dyDescent="0.35">
      <c r="A559">
        <v>2.8</v>
      </c>
      <c r="B559">
        <v>134.39999999999998</v>
      </c>
      <c r="C559">
        <v>44.8</v>
      </c>
      <c r="D559">
        <v>75.599999999999994</v>
      </c>
      <c r="E559">
        <v>-58.799999999999983</v>
      </c>
    </row>
    <row r="560" spans="1:5" x14ac:dyDescent="0.35">
      <c r="A560">
        <v>5</v>
      </c>
      <c r="B560">
        <v>185</v>
      </c>
      <c r="C560">
        <v>410</v>
      </c>
      <c r="D560">
        <v>175</v>
      </c>
      <c r="E560">
        <v>-10</v>
      </c>
    </row>
    <row r="561" spans="1:5" x14ac:dyDescent="0.35">
      <c r="A561">
        <v>20</v>
      </c>
      <c r="B561">
        <v>900</v>
      </c>
      <c r="C561">
        <v>1940</v>
      </c>
      <c r="D561">
        <v>720</v>
      </c>
      <c r="E561">
        <v>-180</v>
      </c>
    </row>
    <row r="562" spans="1:5" x14ac:dyDescent="0.35">
      <c r="A562">
        <v>1.5</v>
      </c>
      <c r="B562">
        <v>130.5</v>
      </c>
      <c r="C562">
        <v>42</v>
      </c>
      <c r="D562">
        <v>87</v>
      </c>
      <c r="E562">
        <v>-43.5</v>
      </c>
    </row>
    <row r="563" spans="1:5" x14ac:dyDescent="0.35">
      <c r="A563">
        <v>9.5</v>
      </c>
      <c r="B563">
        <v>351.5</v>
      </c>
      <c r="C563">
        <v>323</v>
      </c>
      <c r="D563">
        <v>361</v>
      </c>
      <c r="E563">
        <v>9.5</v>
      </c>
    </row>
    <row r="564" spans="1:5" x14ac:dyDescent="0.35">
      <c r="A564">
        <v>10.3</v>
      </c>
      <c r="B564">
        <v>607.70000000000005</v>
      </c>
      <c r="C564">
        <v>587.1</v>
      </c>
      <c r="D564">
        <v>927.00000000000011</v>
      </c>
      <c r="E564">
        <v>319.30000000000007</v>
      </c>
    </row>
    <row r="565" spans="1:5" x14ac:dyDescent="0.35">
      <c r="A565">
        <v>6</v>
      </c>
      <c r="B565">
        <v>372</v>
      </c>
      <c r="C565">
        <v>516</v>
      </c>
      <c r="D565">
        <v>270</v>
      </c>
      <c r="E565">
        <v>-102</v>
      </c>
    </row>
    <row r="566" spans="1:5" x14ac:dyDescent="0.35">
      <c r="A566">
        <v>1.7</v>
      </c>
      <c r="B566">
        <v>107.1</v>
      </c>
      <c r="C566">
        <v>139.4</v>
      </c>
      <c r="D566">
        <v>95.2</v>
      </c>
      <c r="E566">
        <v>-11.899999999999991</v>
      </c>
    </row>
    <row r="567" spans="1:5" x14ac:dyDescent="0.35">
      <c r="A567">
        <v>5.5</v>
      </c>
      <c r="B567">
        <v>209</v>
      </c>
      <c r="C567">
        <v>214.5</v>
      </c>
      <c r="D567">
        <v>324.5</v>
      </c>
      <c r="E567">
        <v>115.5</v>
      </c>
    </row>
    <row r="568" spans="1:5" x14ac:dyDescent="0.35">
      <c r="A568">
        <v>7.5</v>
      </c>
      <c r="B568">
        <v>570</v>
      </c>
      <c r="C568">
        <v>22.5</v>
      </c>
      <c r="D568">
        <v>232.5</v>
      </c>
      <c r="E568">
        <v>-337.5</v>
      </c>
    </row>
    <row r="569" spans="1:5" x14ac:dyDescent="0.35">
      <c r="A569">
        <v>0.8</v>
      </c>
      <c r="B569">
        <v>27.200000000000003</v>
      </c>
      <c r="C569">
        <v>55.2</v>
      </c>
      <c r="D569">
        <v>76.800000000000011</v>
      </c>
      <c r="E569">
        <v>49.600000000000009</v>
      </c>
    </row>
    <row r="570" spans="1:5" x14ac:dyDescent="0.35">
      <c r="A570">
        <v>3</v>
      </c>
      <c r="B570">
        <v>75</v>
      </c>
      <c r="C570">
        <v>33</v>
      </c>
      <c r="D570">
        <v>171</v>
      </c>
      <c r="E570">
        <v>96</v>
      </c>
    </row>
    <row r="571" spans="1:5" x14ac:dyDescent="0.35">
      <c r="A571">
        <v>2.5</v>
      </c>
      <c r="B571">
        <v>215</v>
      </c>
      <c r="C571">
        <v>92.5</v>
      </c>
      <c r="D571">
        <v>85</v>
      </c>
      <c r="E571">
        <v>-130</v>
      </c>
    </row>
    <row r="572" spans="1:5" x14ac:dyDescent="0.35">
      <c r="A572">
        <v>5</v>
      </c>
      <c r="B572">
        <v>205</v>
      </c>
      <c r="C572">
        <v>235</v>
      </c>
      <c r="D572">
        <v>250</v>
      </c>
      <c r="E572">
        <v>45</v>
      </c>
    </row>
    <row r="573" spans="1:5" x14ac:dyDescent="0.35">
      <c r="A573">
        <v>2.5</v>
      </c>
      <c r="B573">
        <v>192.5</v>
      </c>
      <c r="C573">
        <v>25</v>
      </c>
      <c r="D573">
        <v>160</v>
      </c>
      <c r="E573">
        <v>-32.5</v>
      </c>
    </row>
    <row r="574" spans="1:5" x14ac:dyDescent="0.35">
      <c r="A574">
        <v>1</v>
      </c>
      <c r="B574">
        <v>41</v>
      </c>
      <c r="C574">
        <v>69</v>
      </c>
      <c r="D574">
        <v>30</v>
      </c>
      <c r="E574">
        <v>-11</v>
      </c>
    </row>
    <row r="575" spans="1:5" x14ac:dyDescent="0.35">
      <c r="A575">
        <v>2.95</v>
      </c>
      <c r="B575">
        <v>129.80000000000001</v>
      </c>
      <c r="C575">
        <v>153.4</v>
      </c>
      <c r="D575">
        <v>123.9</v>
      </c>
      <c r="E575">
        <v>-5.9000000000000057</v>
      </c>
    </row>
    <row r="576" spans="1:5" x14ac:dyDescent="0.35">
      <c r="A576">
        <v>10</v>
      </c>
      <c r="B576">
        <v>530</v>
      </c>
      <c r="C576">
        <v>1000</v>
      </c>
      <c r="D576">
        <v>220</v>
      </c>
      <c r="E576">
        <v>-310</v>
      </c>
    </row>
    <row r="577" spans="1:5" x14ac:dyDescent="0.35">
      <c r="A577">
        <v>5</v>
      </c>
      <c r="B577">
        <v>340</v>
      </c>
      <c r="C577">
        <v>500</v>
      </c>
      <c r="D577">
        <v>350</v>
      </c>
      <c r="E577">
        <v>10</v>
      </c>
    </row>
    <row r="578" spans="1:5" x14ac:dyDescent="0.35">
      <c r="A578">
        <v>8</v>
      </c>
      <c r="B578">
        <v>768</v>
      </c>
      <c r="C578">
        <v>456</v>
      </c>
      <c r="D578">
        <v>568</v>
      </c>
      <c r="E578">
        <v>-200</v>
      </c>
    </row>
    <row r="579" spans="1:5" x14ac:dyDescent="0.35">
      <c r="A579">
        <v>7</v>
      </c>
      <c r="B579">
        <v>231</v>
      </c>
      <c r="C579">
        <v>217</v>
      </c>
      <c r="D579">
        <v>322</v>
      </c>
      <c r="E579">
        <v>91</v>
      </c>
    </row>
    <row r="580" spans="1:5" x14ac:dyDescent="0.35">
      <c r="A580">
        <v>2.5</v>
      </c>
      <c r="B580">
        <v>82.5</v>
      </c>
      <c r="C580">
        <v>37.5</v>
      </c>
      <c r="D580">
        <v>225</v>
      </c>
      <c r="E580">
        <v>142.5</v>
      </c>
    </row>
    <row r="581" spans="1:5" x14ac:dyDescent="0.35">
      <c r="A581">
        <v>3</v>
      </c>
      <c r="B581">
        <v>270</v>
      </c>
      <c r="C581">
        <v>51</v>
      </c>
      <c r="D581">
        <v>246</v>
      </c>
      <c r="E581">
        <v>-24</v>
      </c>
    </row>
    <row r="582" spans="1:5" x14ac:dyDescent="0.35">
      <c r="A582">
        <v>2.5</v>
      </c>
      <c r="B582">
        <v>77.5</v>
      </c>
      <c r="C582">
        <v>142.5</v>
      </c>
      <c r="D582">
        <v>62.5</v>
      </c>
      <c r="E582">
        <v>-15</v>
      </c>
    </row>
    <row r="583" spans="1:5" x14ac:dyDescent="0.35">
      <c r="A583">
        <v>5</v>
      </c>
      <c r="B583">
        <v>460</v>
      </c>
      <c r="C583">
        <v>405</v>
      </c>
      <c r="D583">
        <v>310</v>
      </c>
      <c r="E583">
        <v>-150</v>
      </c>
    </row>
    <row r="584" spans="1:5" x14ac:dyDescent="0.35">
      <c r="A584">
        <v>2.5</v>
      </c>
      <c r="B584">
        <v>165</v>
      </c>
      <c r="C584">
        <v>45</v>
      </c>
      <c r="D584">
        <v>212.5</v>
      </c>
      <c r="E584">
        <v>47.5</v>
      </c>
    </row>
    <row r="585" spans="1:5" x14ac:dyDescent="0.35">
      <c r="A585">
        <v>10</v>
      </c>
      <c r="B585">
        <v>830</v>
      </c>
      <c r="C585">
        <v>390</v>
      </c>
      <c r="D585">
        <v>330</v>
      </c>
      <c r="E585">
        <v>-500</v>
      </c>
    </row>
    <row r="586" spans="1:5" x14ac:dyDescent="0.35">
      <c r="A586">
        <v>5</v>
      </c>
      <c r="B586">
        <v>420</v>
      </c>
      <c r="C586">
        <v>230</v>
      </c>
      <c r="D586">
        <v>150</v>
      </c>
      <c r="E586">
        <v>-270</v>
      </c>
    </row>
    <row r="587" spans="1:5" x14ac:dyDescent="0.35">
      <c r="A587">
        <v>9</v>
      </c>
      <c r="B587">
        <v>684</v>
      </c>
      <c r="C587">
        <v>702</v>
      </c>
      <c r="D587">
        <v>468</v>
      </c>
      <c r="E587">
        <v>-216</v>
      </c>
    </row>
    <row r="588" spans="1:5" x14ac:dyDescent="0.35">
      <c r="A588">
        <v>6</v>
      </c>
      <c r="B588">
        <v>156</v>
      </c>
      <c r="C588">
        <v>54</v>
      </c>
      <c r="D588">
        <v>492</v>
      </c>
      <c r="E588">
        <v>336</v>
      </c>
    </row>
    <row r="589" spans="1:5" x14ac:dyDescent="0.35">
      <c r="A589">
        <v>12.5</v>
      </c>
      <c r="B589">
        <v>762.5</v>
      </c>
      <c r="C589">
        <v>1250</v>
      </c>
      <c r="D589">
        <v>1187.5</v>
      </c>
      <c r="E589">
        <v>425</v>
      </c>
    </row>
    <row r="590" spans="1:5" x14ac:dyDescent="0.35">
      <c r="A590">
        <v>1.9</v>
      </c>
      <c r="B590">
        <v>28.5</v>
      </c>
      <c r="C590">
        <v>148.19999999999999</v>
      </c>
      <c r="D590">
        <v>134.9</v>
      </c>
      <c r="E590">
        <v>106.4</v>
      </c>
    </row>
    <row r="591" spans="1:5" x14ac:dyDescent="0.35">
      <c r="A591">
        <v>5</v>
      </c>
      <c r="B591">
        <v>365</v>
      </c>
      <c r="C591">
        <v>370</v>
      </c>
      <c r="D591">
        <v>435</v>
      </c>
      <c r="E591">
        <v>70</v>
      </c>
    </row>
    <row r="592" spans="1:5" x14ac:dyDescent="0.35">
      <c r="A592">
        <v>2.65</v>
      </c>
      <c r="B592">
        <v>108.64999999999999</v>
      </c>
      <c r="C592">
        <v>124.55</v>
      </c>
      <c r="D592">
        <v>132.5</v>
      </c>
      <c r="E592">
        <v>23.850000000000009</v>
      </c>
    </row>
    <row r="593" spans="1:5" x14ac:dyDescent="0.35">
      <c r="A593">
        <v>10</v>
      </c>
      <c r="B593">
        <v>140</v>
      </c>
      <c r="C593">
        <v>100</v>
      </c>
      <c r="D593">
        <v>650</v>
      </c>
      <c r="E593">
        <v>510</v>
      </c>
    </row>
    <row r="594" spans="1:5" x14ac:dyDescent="0.35">
      <c r="A594">
        <v>5</v>
      </c>
      <c r="B594">
        <v>495</v>
      </c>
      <c r="C594">
        <v>60</v>
      </c>
      <c r="D594">
        <v>260</v>
      </c>
      <c r="E594">
        <v>-235</v>
      </c>
    </row>
    <row r="595" spans="1:5" x14ac:dyDescent="0.35">
      <c r="A595">
        <v>5</v>
      </c>
      <c r="B595">
        <v>400</v>
      </c>
      <c r="C595">
        <v>460</v>
      </c>
      <c r="D595">
        <v>130</v>
      </c>
      <c r="E595">
        <v>-270</v>
      </c>
    </row>
    <row r="596" spans="1:5" x14ac:dyDescent="0.35">
      <c r="A596">
        <v>3</v>
      </c>
      <c r="B596">
        <v>147</v>
      </c>
      <c r="C596">
        <v>195</v>
      </c>
      <c r="D596">
        <v>111</v>
      </c>
      <c r="E596">
        <v>-36</v>
      </c>
    </row>
    <row r="597" spans="1:5" x14ac:dyDescent="0.35">
      <c r="A597">
        <v>5.5</v>
      </c>
      <c r="B597">
        <v>137.5</v>
      </c>
      <c r="C597">
        <v>550</v>
      </c>
      <c r="D597">
        <v>225.5</v>
      </c>
      <c r="E597">
        <v>88</v>
      </c>
    </row>
    <row r="598" spans="1:5" x14ac:dyDescent="0.35">
      <c r="A598">
        <v>6.5</v>
      </c>
      <c r="B598">
        <v>253.5</v>
      </c>
      <c r="C598">
        <v>630.5</v>
      </c>
      <c r="D598">
        <v>351</v>
      </c>
      <c r="E598">
        <v>97.5</v>
      </c>
    </row>
    <row r="599" spans="1:5" x14ac:dyDescent="0.35">
      <c r="A599">
        <v>2.9</v>
      </c>
      <c r="B599">
        <v>272.59999999999997</v>
      </c>
      <c r="C599">
        <v>49.3</v>
      </c>
      <c r="D599">
        <v>165.29999999999998</v>
      </c>
      <c r="E599">
        <v>-107.29999999999998</v>
      </c>
    </row>
    <row r="600" spans="1:5" x14ac:dyDescent="0.35">
      <c r="A600">
        <v>6</v>
      </c>
      <c r="B600">
        <v>66</v>
      </c>
      <c r="C600">
        <v>354</v>
      </c>
      <c r="D600">
        <v>414</v>
      </c>
      <c r="E600">
        <v>348</v>
      </c>
    </row>
    <row r="601" spans="1:5" x14ac:dyDescent="0.35">
      <c r="A601">
        <v>4</v>
      </c>
      <c r="B601">
        <v>84</v>
      </c>
      <c r="C601">
        <v>320</v>
      </c>
      <c r="D601">
        <v>196</v>
      </c>
      <c r="E601">
        <v>112</v>
      </c>
    </row>
    <row r="602" spans="1:5" x14ac:dyDescent="0.35">
      <c r="A602">
        <v>5.7</v>
      </c>
      <c r="B602">
        <v>216.6</v>
      </c>
      <c r="C602">
        <v>535.80000000000007</v>
      </c>
      <c r="D602">
        <v>302.10000000000002</v>
      </c>
      <c r="E602">
        <v>85.500000000000028</v>
      </c>
    </row>
    <row r="603" spans="1:5" x14ac:dyDescent="0.35">
      <c r="A603">
        <v>1.8</v>
      </c>
      <c r="B603">
        <v>104.4</v>
      </c>
      <c r="C603">
        <v>118.8</v>
      </c>
      <c r="D603">
        <v>147.6</v>
      </c>
      <c r="E603">
        <v>43.199999999999989</v>
      </c>
    </row>
    <row r="604" spans="1:5" x14ac:dyDescent="0.35">
      <c r="A604">
        <v>3.85</v>
      </c>
      <c r="B604">
        <v>327.25</v>
      </c>
      <c r="C604">
        <v>284.90000000000003</v>
      </c>
      <c r="D604">
        <v>223.3</v>
      </c>
      <c r="E604">
        <v>-103.94999999999999</v>
      </c>
    </row>
    <row r="605" spans="1:5" x14ac:dyDescent="0.35">
      <c r="A605">
        <v>2.5</v>
      </c>
      <c r="B605">
        <v>157.5</v>
      </c>
      <c r="C605">
        <v>245</v>
      </c>
      <c r="D605">
        <v>155</v>
      </c>
      <c r="E605">
        <v>-2.5</v>
      </c>
    </row>
    <row r="606" spans="1:5" x14ac:dyDescent="0.35">
      <c r="A606">
        <v>5</v>
      </c>
      <c r="B606">
        <v>270</v>
      </c>
      <c r="C606">
        <v>345</v>
      </c>
      <c r="D606">
        <v>145</v>
      </c>
      <c r="E606">
        <v>-125</v>
      </c>
    </row>
    <row r="607" spans="1:5" x14ac:dyDescent="0.35">
      <c r="A607">
        <v>8</v>
      </c>
      <c r="B607">
        <v>240</v>
      </c>
      <c r="C607">
        <v>88</v>
      </c>
      <c r="D607">
        <v>336</v>
      </c>
      <c r="E607">
        <v>96</v>
      </c>
    </row>
    <row r="608" spans="1:5" x14ac:dyDescent="0.35">
      <c r="A608">
        <v>2.5</v>
      </c>
      <c r="B608">
        <v>142.5</v>
      </c>
      <c r="C608">
        <v>245</v>
      </c>
      <c r="D608">
        <v>195</v>
      </c>
      <c r="E608">
        <v>52.5</v>
      </c>
    </row>
    <row r="609" spans="1:5" x14ac:dyDescent="0.35">
      <c r="A609">
        <v>2</v>
      </c>
      <c r="B609">
        <v>36</v>
      </c>
      <c r="C609">
        <v>142</v>
      </c>
      <c r="D609">
        <v>50</v>
      </c>
      <c r="E609">
        <v>14</v>
      </c>
    </row>
    <row r="610" spans="1:5" x14ac:dyDescent="0.35">
      <c r="A610">
        <v>18</v>
      </c>
      <c r="B610">
        <v>288</v>
      </c>
      <c r="C610">
        <v>1602</v>
      </c>
      <c r="D610">
        <v>630</v>
      </c>
      <c r="E610">
        <v>342</v>
      </c>
    </row>
    <row r="611" spans="1:5" x14ac:dyDescent="0.35">
      <c r="A611">
        <v>2.5</v>
      </c>
      <c r="B611">
        <v>97.5</v>
      </c>
      <c r="C611">
        <v>170</v>
      </c>
      <c r="D611">
        <v>115</v>
      </c>
      <c r="E611">
        <v>17.5</v>
      </c>
    </row>
    <row r="612" spans="1:5" x14ac:dyDescent="0.35">
      <c r="A612">
        <v>2.4500000000000002</v>
      </c>
      <c r="B612">
        <v>144.55000000000001</v>
      </c>
      <c r="C612">
        <v>169.05</v>
      </c>
      <c r="D612">
        <v>73.5</v>
      </c>
      <c r="E612">
        <v>-71.050000000000011</v>
      </c>
    </row>
    <row r="613" spans="1:5" x14ac:dyDescent="0.35">
      <c r="A613">
        <v>15</v>
      </c>
      <c r="B613">
        <v>1185</v>
      </c>
      <c r="C613">
        <v>60</v>
      </c>
      <c r="D613">
        <v>630</v>
      </c>
      <c r="E613">
        <v>-555</v>
      </c>
    </row>
    <row r="614" spans="1:5" x14ac:dyDescent="0.35">
      <c r="A614">
        <v>0.8</v>
      </c>
      <c r="B614">
        <v>62.400000000000006</v>
      </c>
      <c r="C614">
        <v>4.8000000000000007</v>
      </c>
      <c r="D614">
        <v>39.200000000000003</v>
      </c>
      <c r="E614">
        <v>-23.200000000000003</v>
      </c>
    </row>
    <row r="615" spans="1:5" x14ac:dyDescent="0.35">
      <c r="A615">
        <v>4.25</v>
      </c>
      <c r="B615">
        <v>93.5</v>
      </c>
      <c r="C615">
        <v>225.25</v>
      </c>
      <c r="D615">
        <v>272</v>
      </c>
      <c r="E615">
        <v>178.5</v>
      </c>
    </row>
    <row r="616" spans="1:5" x14ac:dyDescent="0.35">
      <c r="A616">
        <v>0.2</v>
      </c>
      <c r="B616">
        <v>2</v>
      </c>
      <c r="C616">
        <v>14</v>
      </c>
      <c r="D616">
        <v>20</v>
      </c>
      <c r="E616">
        <v>18</v>
      </c>
    </row>
    <row r="617" spans="1:5" x14ac:dyDescent="0.35">
      <c r="A617">
        <v>4.5</v>
      </c>
      <c r="B617">
        <v>153</v>
      </c>
      <c r="C617">
        <v>99</v>
      </c>
      <c r="D617">
        <v>189</v>
      </c>
      <c r="E617">
        <v>36</v>
      </c>
    </row>
    <row r="618" spans="1:5" x14ac:dyDescent="0.35">
      <c r="A618">
        <v>4</v>
      </c>
      <c r="B618">
        <v>296</v>
      </c>
      <c r="C618">
        <v>24</v>
      </c>
      <c r="D618">
        <v>260</v>
      </c>
      <c r="E618">
        <v>-36</v>
      </c>
    </row>
    <row r="619" spans="1:5" x14ac:dyDescent="0.35">
      <c r="A619">
        <v>4.3</v>
      </c>
      <c r="B619">
        <v>43</v>
      </c>
      <c r="C619">
        <v>124.69999999999999</v>
      </c>
      <c r="D619">
        <v>124.69999999999999</v>
      </c>
      <c r="E619">
        <v>81.699999999999989</v>
      </c>
    </row>
    <row r="620" spans="1:5" x14ac:dyDescent="0.35">
      <c r="A620">
        <v>4.5</v>
      </c>
      <c r="B620">
        <v>49.5</v>
      </c>
      <c r="C620">
        <v>288</v>
      </c>
      <c r="D620">
        <v>130.5</v>
      </c>
      <c r="E620">
        <v>81</v>
      </c>
    </row>
    <row r="621" spans="1:5" x14ac:dyDescent="0.35">
      <c r="A621">
        <v>5.5</v>
      </c>
      <c r="B621">
        <v>544.5</v>
      </c>
      <c r="C621">
        <v>5.5</v>
      </c>
      <c r="D621">
        <v>324.5</v>
      </c>
      <c r="E621">
        <v>-220</v>
      </c>
    </row>
    <row r="622" spans="1:5" x14ac:dyDescent="0.35">
      <c r="A622">
        <v>8</v>
      </c>
      <c r="B622">
        <v>512</v>
      </c>
      <c r="C622">
        <v>352</v>
      </c>
      <c r="D622">
        <v>424</v>
      </c>
      <c r="E622">
        <v>-88</v>
      </c>
    </row>
    <row r="623" spans="1:5" x14ac:dyDescent="0.35">
      <c r="A623">
        <v>4.45</v>
      </c>
      <c r="B623">
        <v>258.10000000000002</v>
      </c>
      <c r="C623">
        <v>22.25</v>
      </c>
      <c r="D623">
        <v>275.90000000000003</v>
      </c>
      <c r="E623">
        <v>17.800000000000011</v>
      </c>
    </row>
    <row r="624" spans="1:5" x14ac:dyDescent="0.35">
      <c r="A624">
        <v>2.5</v>
      </c>
      <c r="B624">
        <v>65</v>
      </c>
      <c r="C624">
        <v>32.5</v>
      </c>
      <c r="D624">
        <v>112.5</v>
      </c>
      <c r="E624">
        <v>47.5</v>
      </c>
    </row>
    <row r="625" spans="1:5" x14ac:dyDescent="0.35">
      <c r="A625">
        <v>1.5</v>
      </c>
      <c r="B625">
        <v>108</v>
      </c>
      <c r="C625">
        <v>102</v>
      </c>
      <c r="D625">
        <v>58.5</v>
      </c>
      <c r="E625">
        <v>-49.5</v>
      </c>
    </row>
    <row r="626" spans="1:5" x14ac:dyDescent="0.35">
      <c r="A626">
        <v>7.1</v>
      </c>
      <c r="B626">
        <v>255.6</v>
      </c>
      <c r="C626">
        <v>603.5</v>
      </c>
      <c r="D626">
        <v>191.7</v>
      </c>
      <c r="E626">
        <v>-63.900000000000006</v>
      </c>
    </row>
    <row r="627" spans="1:5" x14ac:dyDescent="0.35">
      <c r="A627">
        <v>6</v>
      </c>
      <c r="B627">
        <v>144</v>
      </c>
      <c r="C627">
        <v>24</v>
      </c>
      <c r="D627">
        <v>510</v>
      </c>
      <c r="E627">
        <v>366</v>
      </c>
    </row>
    <row r="628" spans="1:5" x14ac:dyDescent="0.35">
      <c r="A628">
        <v>2</v>
      </c>
      <c r="B628">
        <v>32</v>
      </c>
      <c r="C628">
        <v>84</v>
      </c>
      <c r="D628">
        <v>44</v>
      </c>
      <c r="E628">
        <v>12</v>
      </c>
    </row>
    <row r="629" spans="1:5" x14ac:dyDescent="0.35">
      <c r="A629">
        <v>13.99</v>
      </c>
      <c r="B629">
        <v>545.61</v>
      </c>
      <c r="C629">
        <v>251.82</v>
      </c>
      <c r="D629">
        <v>811.42</v>
      </c>
      <c r="E629">
        <v>265.80999999999995</v>
      </c>
    </row>
    <row r="630" spans="1:5" x14ac:dyDescent="0.35">
      <c r="A630">
        <v>2.5</v>
      </c>
      <c r="B630">
        <v>222.5</v>
      </c>
      <c r="C630">
        <v>185</v>
      </c>
      <c r="D630">
        <v>67.5</v>
      </c>
      <c r="E630">
        <v>-155</v>
      </c>
    </row>
    <row r="631" spans="1:5" x14ac:dyDescent="0.35">
      <c r="A631">
        <v>8</v>
      </c>
      <c r="B631">
        <v>456</v>
      </c>
      <c r="C631">
        <v>472</v>
      </c>
      <c r="D631">
        <v>352</v>
      </c>
      <c r="E631">
        <v>-104</v>
      </c>
    </row>
    <row r="632" spans="1:5" x14ac:dyDescent="0.35">
      <c r="A632">
        <v>30</v>
      </c>
      <c r="B632">
        <v>1830</v>
      </c>
      <c r="C632">
        <v>2940</v>
      </c>
      <c r="D632">
        <v>2700</v>
      </c>
      <c r="E632">
        <v>870</v>
      </c>
    </row>
    <row r="633" spans="1:5" x14ac:dyDescent="0.35">
      <c r="A633">
        <v>3</v>
      </c>
      <c r="B633">
        <v>168</v>
      </c>
      <c r="C633">
        <v>228</v>
      </c>
      <c r="D633">
        <v>279</v>
      </c>
      <c r="E633">
        <v>111</v>
      </c>
    </row>
    <row r="634" spans="1:5" x14ac:dyDescent="0.35">
      <c r="A634">
        <v>2.35</v>
      </c>
      <c r="B634">
        <v>49.35</v>
      </c>
      <c r="C634">
        <v>4.7</v>
      </c>
      <c r="D634">
        <v>204.45000000000002</v>
      </c>
      <c r="E634">
        <v>155.10000000000002</v>
      </c>
    </row>
    <row r="635" spans="1:5" x14ac:dyDescent="0.35">
      <c r="A635">
        <v>5.5</v>
      </c>
      <c r="B635">
        <v>324.5</v>
      </c>
      <c r="C635">
        <v>550</v>
      </c>
      <c r="D635">
        <v>407</v>
      </c>
      <c r="E635">
        <v>82.5</v>
      </c>
    </row>
    <row r="636" spans="1:5" x14ac:dyDescent="0.35">
      <c r="A636">
        <v>12</v>
      </c>
      <c r="B636">
        <v>240</v>
      </c>
      <c r="C636">
        <v>240</v>
      </c>
      <c r="D636">
        <v>456</v>
      </c>
      <c r="E636">
        <v>216</v>
      </c>
    </row>
    <row r="637" spans="1:5" x14ac:dyDescent="0.35">
      <c r="A637">
        <v>3</v>
      </c>
      <c r="B637">
        <v>297</v>
      </c>
      <c r="C637">
        <v>264</v>
      </c>
      <c r="D637">
        <v>147</v>
      </c>
      <c r="E637">
        <v>-150</v>
      </c>
    </row>
    <row r="638" spans="1:5" x14ac:dyDescent="0.35">
      <c r="A638">
        <v>8</v>
      </c>
      <c r="B638">
        <v>192</v>
      </c>
      <c r="C638">
        <v>280</v>
      </c>
      <c r="D638">
        <v>392</v>
      </c>
      <c r="E638">
        <v>200</v>
      </c>
    </row>
    <row r="639" spans="1:5" x14ac:dyDescent="0.35">
      <c r="A639">
        <v>4.3499999999999996</v>
      </c>
      <c r="B639">
        <v>339.29999999999995</v>
      </c>
      <c r="C639">
        <v>30.449999999999996</v>
      </c>
      <c r="D639">
        <v>300.14999999999998</v>
      </c>
      <c r="E639">
        <v>-39.149999999999977</v>
      </c>
    </row>
    <row r="640" spans="1:5" x14ac:dyDescent="0.35">
      <c r="A640">
        <v>1</v>
      </c>
      <c r="B640">
        <v>52</v>
      </c>
      <c r="C640">
        <v>18</v>
      </c>
      <c r="D640">
        <v>77</v>
      </c>
      <c r="E640">
        <v>25</v>
      </c>
    </row>
    <row r="641" spans="1:5" x14ac:dyDescent="0.35">
      <c r="A641">
        <v>2.4500000000000002</v>
      </c>
      <c r="B641">
        <v>110.25000000000001</v>
      </c>
      <c r="C641">
        <v>240.10000000000002</v>
      </c>
      <c r="D641">
        <v>61.250000000000007</v>
      </c>
      <c r="E641">
        <v>-49.000000000000007</v>
      </c>
    </row>
    <row r="642" spans="1:5" x14ac:dyDescent="0.35">
      <c r="A642">
        <v>5</v>
      </c>
      <c r="B642">
        <v>445</v>
      </c>
      <c r="C642">
        <v>95</v>
      </c>
      <c r="D642">
        <v>245</v>
      </c>
      <c r="E642">
        <v>-200</v>
      </c>
    </row>
    <row r="643" spans="1:5" x14ac:dyDescent="0.35">
      <c r="A643">
        <v>5.8</v>
      </c>
      <c r="B643">
        <v>365.4</v>
      </c>
      <c r="C643">
        <v>63.8</v>
      </c>
      <c r="D643">
        <v>116</v>
      </c>
      <c r="E643">
        <v>-249.39999999999998</v>
      </c>
    </row>
    <row r="644" spans="1:5" x14ac:dyDescent="0.35">
      <c r="A644">
        <v>6.25</v>
      </c>
      <c r="B644">
        <v>306.25</v>
      </c>
      <c r="C644">
        <v>43.75</v>
      </c>
      <c r="D644">
        <v>468.75</v>
      </c>
      <c r="E644">
        <v>162.5</v>
      </c>
    </row>
    <row r="645" spans="1:5" x14ac:dyDescent="0.35">
      <c r="A645">
        <v>8</v>
      </c>
      <c r="B645">
        <v>208</v>
      </c>
      <c r="C645">
        <v>432</v>
      </c>
      <c r="D645">
        <v>736</v>
      </c>
      <c r="E645">
        <v>528</v>
      </c>
    </row>
    <row r="646" spans="1:5" x14ac:dyDescent="0.35">
      <c r="A646">
        <v>0.8</v>
      </c>
      <c r="B646">
        <v>74.400000000000006</v>
      </c>
      <c r="C646">
        <v>56.800000000000004</v>
      </c>
      <c r="D646">
        <v>24</v>
      </c>
      <c r="E646">
        <v>-50.400000000000006</v>
      </c>
    </row>
    <row r="647" spans="1:5" x14ac:dyDescent="0.35">
      <c r="A647">
        <v>4.3</v>
      </c>
      <c r="B647">
        <v>348.3</v>
      </c>
      <c r="C647">
        <v>296.7</v>
      </c>
      <c r="D647">
        <v>98.899999999999991</v>
      </c>
      <c r="E647">
        <v>-249.40000000000003</v>
      </c>
    </row>
    <row r="648" spans="1:5" x14ac:dyDescent="0.35">
      <c r="A648">
        <v>4</v>
      </c>
      <c r="B648">
        <v>296</v>
      </c>
      <c r="C648">
        <v>108</v>
      </c>
      <c r="D648">
        <v>396</v>
      </c>
      <c r="E648">
        <v>100</v>
      </c>
    </row>
    <row r="649" spans="1:5" x14ac:dyDescent="0.35">
      <c r="A649">
        <v>5</v>
      </c>
      <c r="B649">
        <v>95</v>
      </c>
      <c r="C649">
        <v>450</v>
      </c>
      <c r="D649">
        <v>360</v>
      </c>
      <c r="E649">
        <v>265</v>
      </c>
    </row>
    <row r="650" spans="1:5" x14ac:dyDescent="0.35">
      <c r="A650">
        <v>3</v>
      </c>
      <c r="B650">
        <v>192</v>
      </c>
      <c r="C650">
        <v>273</v>
      </c>
      <c r="D650">
        <v>144</v>
      </c>
      <c r="E650">
        <v>-48</v>
      </c>
    </row>
    <row r="651" spans="1:5" x14ac:dyDescent="0.35">
      <c r="A651">
        <v>4.5</v>
      </c>
      <c r="B651">
        <v>220.5</v>
      </c>
      <c r="C651">
        <v>67.5</v>
      </c>
      <c r="D651">
        <v>234</v>
      </c>
      <c r="E651">
        <v>13.5</v>
      </c>
    </row>
    <row r="652" spans="1:5" x14ac:dyDescent="0.35">
      <c r="A652">
        <v>12</v>
      </c>
      <c r="B652">
        <v>1188</v>
      </c>
      <c r="C652">
        <v>1056</v>
      </c>
      <c r="D652">
        <v>828</v>
      </c>
      <c r="E652">
        <v>-360</v>
      </c>
    </row>
    <row r="653" spans="1:5" x14ac:dyDescent="0.35">
      <c r="A653">
        <v>2.4500000000000002</v>
      </c>
      <c r="B653">
        <v>147</v>
      </c>
      <c r="C653">
        <v>102.9</v>
      </c>
      <c r="D653">
        <v>102.9</v>
      </c>
      <c r="E653">
        <v>-44.099999999999994</v>
      </c>
    </row>
    <row r="654" spans="1:5" x14ac:dyDescent="0.35">
      <c r="A654">
        <v>0.9</v>
      </c>
      <c r="B654">
        <v>81</v>
      </c>
      <c r="C654">
        <v>36</v>
      </c>
      <c r="D654">
        <v>46.800000000000004</v>
      </c>
      <c r="E654">
        <v>-34.199999999999996</v>
      </c>
    </row>
    <row r="655" spans="1:5" x14ac:dyDescent="0.35">
      <c r="A655">
        <v>9</v>
      </c>
      <c r="B655">
        <v>711</v>
      </c>
      <c r="C655">
        <v>108</v>
      </c>
      <c r="D655">
        <v>405</v>
      </c>
      <c r="E655">
        <v>-306</v>
      </c>
    </row>
    <row r="656" spans="1:5" x14ac:dyDescent="0.35">
      <c r="A656">
        <v>0.2</v>
      </c>
      <c r="B656">
        <v>4.4000000000000004</v>
      </c>
      <c r="C656">
        <v>0.4</v>
      </c>
      <c r="D656">
        <v>6.6000000000000005</v>
      </c>
      <c r="E656">
        <v>2.2000000000000002</v>
      </c>
    </row>
    <row r="657" spans="1:5" x14ac:dyDescent="0.35">
      <c r="A657">
        <v>2.5</v>
      </c>
      <c r="B657">
        <v>127.5</v>
      </c>
      <c r="C657">
        <v>15</v>
      </c>
      <c r="D657">
        <v>132.5</v>
      </c>
      <c r="E657">
        <v>5</v>
      </c>
    </row>
    <row r="658" spans="1:5" x14ac:dyDescent="0.35">
      <c r="A658">
        <v>20</v>
      </c>
      <c r="B658">
        <v>1300</v>
      </c>
      <c r="C658">
        <v>820</v>
      </c>
      <c r="D658">
        <v>560</v>
      </c>
      <c r="E658">
        <v>-740</v>
      </c>
    </row>
    <row r="659" spans="1:5" x14ac:dyDescent="0.35">
      <c r="A659">
        <v>4</v>
      </c>
      <c r="B659">
        <v>220</v>
      </c>
      <c r="C659">
        <v>348</v>
      </c>
      <c r="D659">
        <v>276</v>
      </c>
      <c r="E659">
        <v>56</v>
      </c>
    </row>
    <row r="660" spans="1:5" x14ac:dyDescent="0.35">
      <c r="A660">
        <v>1.8</v>
      </c>
      <c r="B660">
        <v>32.4</v>
      </c>
      <c r="C660">
        <v>36</v>
      </c>
      <c r="D660">
        <v>115.2</v>
      </c>
      <c r="E660">
        <v>82.800000000000011</v>
      </c>
    </row>
    <row r="661" spans="1:5" x14ac:dyDescent="0.35">
      <c r="A661">
        <v>12</v>
      </c>
      <c r="B661">
        <v>444</v>
      </c>
      <c r="C661">
        <v>540</v>
      </c>
      <c r="D661">
        <v>468</v>
      </c>
      <c r="E661">
        <v>24</v>
      </c>
    </row>
    <row r="662" spans="1:5" x14ac:dyDescent="0.35">
      <c r="A662">
        <v>15</v>
      </c>
      <c r="B662">
        <v>1320</v>
      </c>
      <c r="C662">
        <v>435</v>
      </c>
      <c r="D662">
        <v>1440</v>
      </c>
      <c r="E662">
        <v>120</v>
      </c>
    </row>
    <row r="663" spans="1:5" x14ac:dyDescent="0.35">
      <c r="A663">
        <v>3.5</v>
      </c>
      <c r="B663">
        <v>70</v>
      </c>
      <c r="C663">
        <v>115.5</v>
      </c>
      <c r="D663">
        <v>280</v>
      </c>
      <c r="E663">
        <v>210</v>
      </c>
    </row>
    <row r="664" spans="1:5" x14ac:dyDescent="0.35">
      <c r="A664">
        <v>1.5</v>
      </c>
      <c r="B664">
        <v>148.5</v>
      </c>
      <c r="C664">
        <v>106.5</v>
      </c>
      <c r="D664">
        <v>120</v>
      </c>
      <c r="E664">
        <v>-28.5</v>
      </c>
    </row>
    <row r="665" spans="1:5" x14ac:dyDescent="0.35">
      <c r="A665">
        <v>4.8</v>
      </c>
      <c r="B665">
        <v>220.79999999999998</v>
      </c>
      <c r="C665">
        <v>96</v>
      </c>
      <c r="D665">
        <v>283.2</v>
      </c>
      <c r="E665">
        <v>62.400000000000006</v>
      </c>
    </row>
    <row r="666" spans="1:5" x14ac:dyDescent="0.35">
      <c r="A666">
        <v>10</v>
      </c>
      <c r="B666">
        <v>190</v>
      </c>
      <c r="C666">
        <v>660</v>
      </c>
      <c r="D666">
        <v>620</v>
      </c>
      <c r="E666">
        <v>430</v>
      </c>
    </row>
    <row r="667" spans="1:5" x14ac:dyDescent="0.35">
      <c r="A667">
        <v>1.75</v>
      </c>
      <c r="B667">
        <v>21</v>
      </c>
      <c r="C667">
        <v>162.75</v>
      </c>
      <c r="D667">
        <v>38.5</v>
      </c>
      <c r="E667">
        <v>17.5</v>
      </c>
    </row>
    <row r="668" spans="1:5" x14ac:dyDescent="0.35">
      <c r="A668">
        <v>2.5499999999999998</v>
      </c>
      <c r="B668">
        <v>175.95</v>
      </c>
      <c r="C668">
        <v>226.95</v>
      </c>
      <c r="D668">
        <v>73.949999999999989</v>
      </c>
      <c r="E668">
        <v>-102</v>
      </c>
    </row>
    <row r="669" spans="1:5" x14ac:dyDescent="0.35">
      <c r="A669">
        <v>1</v>
      </c>
      <c r="B669">
        <v>63</v>
      </c>
      <c r="C669">
        <v>77</v>
      </c>
      <c r="D669">
        <v>23</v>
      </c>
      <c r="E669">
        <v>-40</v>
      </c>
    </row>
    <row r="670" spans="1:5" x14ac:dyDescent="0.35">
      <c r="A670">
        <v>4.7</v>
      </c>
      <c r="B670">
        <v>366.6</v>
      </c>
      <c r="C670">
        <v>173.9</v>
      </c>
      <c r="D670">
        <v>117.5</v>
      </c>
      <c r="E670">
        <v>-249.10000000000002</v>
      </c>
    </row>
    <row r="671" spans="1:5" x14ac:dyDescent="0.35">
      <c r="A671">
        <v>2.5</v>
      </c>
      <c r="B671">
        <v>180</v>
      </c>
      <c r="C671">
        <v>177.5</v>
      </c>
      <c r="D671">
        <v>217.5</v>
      </c>
      <c r="E671">
        <v>37.5</v>
      </c>
    </row>
    <row r="672" spans="1:5" x14ac:dyDescent="0.35">
      <c r="A672">
        <v>10</v>
      </c>
      <c r="B672">
        <v>580</v>
      </c>
      <c r="C672">
        <v>250</v>
      </c>
      <c r="D672">
        <v>750</v>
      </c>
      <c r="E672">
        <v>170</v>
      </c>
    </row>
    <row r="673" spans="1:5" x14ac:dyDescent="0.35">
      <c r="A673">
        <v>2.5</v>
      </c>
      <c r="B673">
        <v>220</v>
      </c>
      <c r="C673">
        <v>152.5</v>
      </c>
      <c r="D673">
        <v>135</v>
      </c>
      <c r="E673">
        <v>-85</v>
      </c>
    </row>
    <row r="674" spans="1:5" x14ac:dyDescent="0.35">
      <c r="A674">
        <v>1.8</v>
      </c>
      <c r="B674">
        <v>97.2</v>
      </c>
      <c r="C674">
        <v>59.4</v>
      </c>
      <c r="D674">
        <v>169.20000000000002</v>
      </c>
      <c r="E674">
        <v>72.000000000000014</v>
      </c>
    </row>
    <row r="675" spans="1:5" x14ac:dyDescent="0.35">
      <c r="A675">
        <v>2.5</v>
      </c>
      <c r="B675">
        <v>160</v>
      </c>
      <c r="C675">
        <v>250</v>
      </c>
      <c r="D675">
        <v>242.5</v>
      </c>
      <c r="E675">
        <v>82.5</v>
      </c>
    </row>
    <row r="676" spans="1:5" x14ac:dyDescent="0.35">
      <c r="A676">
        <v>1</v>
      </c>
      <c r="B676">
        <v>12</v>
      </c>
      <c r="C676">
        <v>48</v>
      </c>
      <c r="D676">
        <v>31</v>
      </c>
      <c r="E676">
        <v>19</v>
      </c>
    </row>
    <row r="677" spans="1:5" x14ac:dyDescent="0.35">
      <c r="A677">
        <v>5.2</v>
      </c>
      <c r="B677">
        <v>317.2</v>
      </c>
      <c r="C677">
        <v>254.8</v>
      </c>
      <c r="D677">
        <v>384.8</v>
      </c>
      <c r="E677">
        <v>67.600000000000023</v>
      </c>
    </row>
    <row r="678" spans="1:5" x14ac:dyDescent="0.35">
      <c r="A678">
        <v>5</v>
      </c>
      <c r="B678">
        <v>140</v>
      </c>
      <c r="C678">
        <v>405</v>
      </c>
      <c r="D678">
        <v>140</v>
      </c>
      <c r="E678">
        <v>0</v>
      </c>
    </row>
    <row r="679" spans="1:5" x14ac:dyDescent="0.35">
      <c r="A679">
        <v>2.5</v>
      </c>
      <c r="B679">
        <v>57.5</v>
      </c>
      <c r="C679">
        <v>100</v>
      </c>
      <c r="D679">
        <v>237.5</v>
      </c>
      <c r="E679">
        <v>180</v>
      </c>
    </row>
    <row r="680" spans="1:5" x14ac:dyDescent="0.35">
      <c r="A680">
        <v>10</v>
      </c>
      <c r="B680">
        <v>870</v>
      </c>
      <c r="C680">
        <v>670</v>
      </c>
      <c r="D680">
        <v>550</v>
      </c>
      <c r="E680">
        <v>-320</v>
      </c>
    </row>
    <row r="681" spans="1:5" x14ac:dyDescent="0.35">
      <c r="A681">
        <v>10</v>
      </c>
      <c r="B681">
        <v>590</v>
      </c>
      <c r="C681">
        <v>30</v>
      </c>
      <c r="D681">
        <v>480</v>
      </c>
      <c r="E681">
        <v>-110</v>
      </c>
    </row>
    <row r="682" spans="1:5" x14ac:dyDescent="0.35">
      <c r="A682">
        <v>3</v>
      </c>
      <c r="B682">
        <v>39</v>
      </c>
      <c r="C682">
        <v>33</v>
      </c>
      <c r="D682">
        <v>300</v>
      </c>
      <c r="E682">
        <v>261</v>
      </c>
    </row>
    <row r="683" spans="1:5" x14ac:dyDescent="0.35">
      <c r="A683">
        <v>6</v>
      </c>
      <c r="B683">
        <v>486</v>
      </c>
      <c r="C683">
        <v>90</v>
      </c>
      <c r="D683">
        <v>564</v>
      </c>
      <c r="E683">
        <v>78</v>
      </c>
    </row>
    <row r="684" spans="1:5" x14ac:dyDescent="0.35">
      <c r="A684">
        <v>2.5</v>
      </c>
      <c r="B684">
        <v>152.5</v>
      </c>
      <c r="C684">
        <v>112.5</v>
      </c>
      <c r="D684">
        <v>127.5</v>
      </c>
      <c r="E684">
        <v>-25</v>
      </c>
    </row>
    <row r="685" spans="1:5" x14ac:dyDescent="0.35">
      <c r="A685">
        <v>1.5</v>
      </c>
      <c r="B685">
        <v>120</v>
      </c>
      <c r="C685">
        <v>54</v>
      </c>
      <c r="D685">
        <v>121.5</v>
      </c>
      <c r="E685">
        <v>1.5</v>
      </c>
    </row>
    <row r="686" spans="1:5" x14ac:dyDescent="0.35">
      <c r="A686">
        <v>2.5</v>
      </c>
      <c r="B686">
        <v>97.5</v>
      </c>
      <c r="C686">
        <v>135</v>
      </c>
      <c r="D686">
        <v>192.5</v>
      </c>
      <c r="E686">
        <v>95</v>
      </c>
    </row>
    <row r="687" spans="1:5" x14ac:dyDescent="0.35">
      <c r="A687">
        <v>66.55</v>
      </c>
      <c r="B687">
        <v>4591.95</v>
      </c>
      <c r="C687">
        <v>4525.3999999999996</v>
      </c>
      <c r="D687">
        <v>2395.7999999999997</v>
      </c>
      <c r="E687">
        <v>-2196.15</v>
      </c>
    </row>
    <row r="688" spans="1:5" x14ac:dyDescent="0.35">
      <c r="A688">
        <v>2.5</v>
      </c>
      <c r="B688">
        <v>150</v>
      </c>
      <c r="C688">
        <v>80</v>
      </c>
      <c r="D688">
        <v>192.5</v>
      </c>
      <c r="E688">
        <v>42.5</v>
      </c>
    </row>
    <row r="689" spans="1:5" x14ac:dyDescent="0.35">
      <c r="A689">
        <v>4.0999999999999996</v>
      </c>
      <c r="B689">
        <v>90.199999999999989</v>
      </c>
      <c r="C689">
        <v>12.299999999999999</v>
      </c>
      <c r="D689">
        <v>184.49999999999997</v>
      </c>
      <c r="E689">
        <v>94.299999999999983</v>
      </c>
    </row>
    <row r="690" spans="1:5" x14ac:dyDescent="0.35">
      <c r="A690">
        <v>9.5</v>
      </c>
      <c r="B690">
        <v>750.5</v>
      </c>
      <c r="C690">
        <v>484.5</v>
      </c>
      <c r="D690">
        <v>788.5</v>
      </c>
      <c r="E690">
        <v>38</v>
      </c>
    </row>
    <row r="691" spans="1:5" x14ac:dyDescent="0.35">
      <c r="A691">
        <v>4</v>
      </c>
      <c r="B691">
        <v>188</v>
      </c>
      <c r="C691">
        <v>344</v>
      </c>
      <c r="D691">
        <v>304</v>
      </c>
      <c r="E691">
        <v>116</v>
      </c>
    </row>
    <row r="692" spans="1:5" x14ac:dyDescent="0.35">
      <c r="A692">
        <v>4.75</v>
      </c>
      <c r="B692">
        <v>95</v>
      </c>
      <c r="C692">
        <v>346.75</v>
      </c>
      <c r="D692">
        <v>370.5</v>
      </c>
      <c r="E692">
        <v>275.5</v>
      </c>
    </row>
    <row r="693" spans="1:5" x14ac:dyDescent="0.35">
      <c r="A693">
        <v>7</v>
      </c>
      <c r="B693">
        <v>287</v>
      </c>
      <c r="C693">
        <v>77</v>
      </c>
      <c r="D693">
        <v>602</v>
      </c>
      <c r="E693">
        <v>315</v>
      </c>
    </row>
    <row r="694" spans="1:5" x14ac:dyDescent="0.35">
      <c r="A694">
        <v>7</v>
      </c>
      <c r="B694">
        <v>322</v>
      </c>
      <c r="C694">
        <v>616</v>
      </c>
      <c r="D694">
        <v>434</v>
      </c>
      <c r="E694">
        <v>112</v>
      </c>
    </row>
    <row r="695" spans="1:5" x14ac:dyDescent="0.35">
      <c r="A695">
        <v>1.8</v>
      </c>
      <c r="B695">
        <v>120.60000000000001</v>
      </c>
      <c r="C695">
        <v>64.8</v>
      </c>
      <c r="D695">
        <v>140.4</v>
      </c>
      <c r="E695">
        <v>19.799999999999997</v>
      </c>
    </row>
    <row r="696" spans="1:5" x14ac:dyDescent="0.35">
      <c r="A696">
        <v>4.5</v>
      </c>
      <c r="B696">
        <v>229.5</v>
      </c>
      <c r="C696">
        <v>432</v>
      </c>
      <c r="D696">
        <v>328.5</v>
      </c>
      <c r="E696">
        <v>99</v>
      </c>
    </row>
    <row r="697" spans="1:5" x14ac:dyDescent="0.35">
      <c r="A697">
        <v>2</v>
      </c>
      <c r="B697">
        <v>84</v>
      </c>
      <c r="C697">
        <v>56</v>
      </c>
      <c r="D697">
        <v>160</v>
      </c>
      <c r="E697">
        <v>76</v>
      </c>
    </row>
    <row r="698" spans="1:5" x14ac:dyDescent="0.35">
      <c r="A698">
        <v>6.5</v>
      </c>
      <c r="B698">
        <v>552.5</v>
      </c>
      <c r="C698">
        <v>136.5</v>
      </c>
      <c r="D698">
        <v>507</v>
      </c>
      <c r="E698">
        <v>-45.5</v>
      </c>
    </row>
    <row r="699" spans="1:5" x14ac:dyDescent="0.35">
      <c r="A699">
        <v>2.5</v>
      </c>
      <c r="B699">
        <v>57.5</v>
      </c>
      <c r="C699">
        <v>187.5</v>
      </c>
      <c r="D699">
        <v>227.5</v>
      </c>
      <c r="E699">
        <v>170</v>
      </c>
    </row>
    <row r="700" spans="1:5" x14ac:dyDescent="0.35">
      <c r="A700">
        <v>4.5</v>
      </c>
      <c r="B700">
        <v>378</v>
      </c>
      <c r="C700">
        <v>166.5</v>
      </c>
      <c r="D700">
        <v>207</v>
      </c>
      <c r="E700">
        <v>-171</v>
      </c>
    </row>
    <row r="701" spans="1:5" x14ac:dyDescent="0.35">
      <c r="A701">
        <v>42.58</v>
      </c>
      <c r="B701">
        <v>1192.24</v>
      </c>
      <c r="C701">
        <v>979.33999999999992</v>
      </c>
      <c r="D701">
        <v>2043.84</v>
      </c>
      <c r="E701">
        <v>851.59999999999991</v>
      </c>
    </row>
    <row r="702" spans="1:5" x14ac:dyDescent="0.35">
      <c r="A702">
        <v>2.5</v>
      </c>
      <c r="B702">
        <v>155</v>
      </c>
      <c r="C702">
        <v>95</v>
      </c>
      <c r="D702">
        <v>105</v>
      </c>
      <c r="E702">
        <v>-50</v>
      </c>
    </row>
    <row r="703" spans="1:5" x14ac:dyDescent="0.35">
      <c r="A703">
        <v>2.5</v>
      </c>
      <c r="B703">
        <v>162.5</v>
      </c>
      <c r="C703">
        <v>10</v>
      </c>
      <c r="D703">
        <v>165</v>
      </c>
      <c r="E703">
        <v>2.5</v>
      </c>
    </row>
    <row r="704" spans="1:5" x14ac:dyDescent="0.35">
      <c r="A704">
        <v>2</v>
      </c>
      <c r="B704">
        <v>36</v>
      </c>
      <c r="C704">
        <v>136</v>
      </c>
      <c r="D704">
        <v>108</v>
      </c>
      <c r="E704">
        <v>72</v>
      </c>
    </row>
    <row r="705" spans="1:5" x14ac:dyDescent="0.35">
      <c r="A705">
        <v>0.2</v>
      </c>
      <c r="B705">
        <v>14</v>
      </c>
      <c r="C705">
        <v>4.8000000000000007</v>
      </c>
      <c r="D705">
        <v>12.4</v>
      </c>
      <c r="E705">
        <v>-1.5999999999999996</v>
      </c>
    </row>
    <row r="706" spans="1:5" x14ac:dyDescent="0.35">
      <c r="A706">
        <v>2</v>
      </c>
      <c r="B706">
        <v>46</v>
      </c>
      <c r="C706">
        <v>64</v>
      </c>
      <c r="D706">
        <v>126</v>
      </c>
      <c r="E706">
        <v>80</v>
      </c>
    </row>
    <row r="707" spans="1:5" x14ac:dyDescent="0.35">
      <c r="A707">
        <v>4.75</v>
      </c>
      <c r="B707">
        <v>123.5</v>
      </c>
      <c r="C707">
        <v>114</v>
      </c>
      <c r="D707">
        <v>356.25</v>
      </c>
      <c r="E707">
        <v>232.75</v>
      </c>
    </row>
    <row r="708" spans="1:5" x14ac:dyDescent="0.35">
      <c r="A708">
        <v>10</v>
      </c>
      <c r="B708">
        <v>200</v>
      </c>
      <c r="C708">
        <v>450</v>
      </c>
      <c r="D708">
        <v>720</v>
      </c>
      <c r="E708">
        <v>520</v>
      </c>
    </row>
    <row r="709" spans="1:5" x14ac:dyDescent="0.35">
      <c r="A709">
        <v>7.2</v>
      </c>
      <c r="B709">
        <v>396</v>
      </c>
      <c r="C709">
        <v>43.2</v>
      </c>
      <c r="D709">
        <v>345.6</v>
      </c>
      <c r="E709">
        <v>-50.399999999999977</v>
      </c>
    </row>
    <row r="710" spans="1:5" x14ac:dyDescent="0.35">
      <c r="A710">
        <v>2.75</v>
      </c>
      <c r="B710">
        <v>225.5</v>
      </c>
      <c r="C710">
        <v>184.25</v>
      </c>
      <c r="D710">
        <v>71.5</v>
      </c>
      <c r="E710">
        <v>-154</v>
      </c>
    </row>
    <row r="711" spans="1:5" x14ac:dyDescent="0.35">
      <c r="A711">
        <v>15</v>
      </c>
      <c r="B711">
        <v>1095</v>
      </c>
      <c r="C711">
        <v>420</v>
      </c>
      <c r="D711">
        <v>1335</v>
      </c>
      <c r="E711">
        <v>240</v>
      </c>
    </row>
    <row r="712" spans="1:5" x14ac:dyDescent="0.35">
      <c r="A712">
        <v>25</v>
      </c>
      <c r="B712">
        <v>2025</v>
      </c>
      <c r="C712">
        <v>900</v>
      </c>
      <c r="D712">
        <v>1850</v>
      </c>
      <c r="E712">
        <v>-175</v>
      </c>
    </row>
    <row r="713" spans="1:5" x14ac:dyDescent="0.35">
      <c r="A713">
        <v>2</v>
      </c>
      <c r="B713">
        <v>40</v>
      </c>
      <c r="C713">
        <v>122</v>
      </c>
      <c r="D713">
        <v>102</v>
      </c>
      <c r="E713">
        <v>62</v>
      </c>
    </row>
    <row r="714" spans="1:5" x14ac:dyDescent="0.35">
      <c r="A714">
        <v>15</v>
      </c>
      <c r="B714">
        <v>1170</v>
      </c>
      <c r="C714">
        <v>405</v>
      </c>
      <c r="D714">
        <v>810</v>
      </c>
      <c r="E714">
        <v>-360</v>
      </c>
    </row>
    <row r="715" spans="1:5" x14ac:dyDescent="0.35">
      <c r="A715">
        <v>6</v>
      </c>
      <c r="B715">
        <v>504</v>
      </c>
      <c r="C715">
        <v>168</v>
      </c>
      <c r="D715">
        <v>306</v>
      </c>
      <c r="E715">
        <v>-198</v>
      </c>
    </row>
    <row r="716" spans="1:5" x14ac:dyDescent="0.35">
      <c r="A716">
        <v>2.5</v>
      </c>
      <c r="B716">
        <v>80</v>
      </c>
      <c r="C716">
        <v>57.5</v>
      </c>
      <c r="D716">
        <v>130</v>
      </c>
      <c r="E716">
        <v>50</v>
      </c>
    </row>
    <row r="717" spans="1:5" x14ac:dyDescent="0.35">
      <c r="A717">
        <v>5</v>
      </c>
      <c r="B717">
        <v>450</v>
      </c>
      <c r="C717">
        <v>30</v>
      </c>
      <c r="D717">
        <v>275</v>
      </c>
      <c r="E717">
        <v>-175</v>
      </c>
    </row>
    <row r="718" spans="1:5" x14ac:dyDescent="0.35">
      <c r="A718">
        <v>2</v>
      </c>
      <c r="B718">
        <v>140</v>
      </c>
      <c r="C718">
        <v>150</v>
      </c>
      <c r="D718">
        <v>48</v>
      </c>
      <c r="E718">
        <v>-92</v>
      </c>
    </row>
    <row r="719" spans="1:5" x14ac:dyDescent="0.35">
      <c r="A719">
        <v>4.5</v>
      </c>
      <c r="B719">
        <v>405</v>
      </c>
      <c r="C719">
        <v>90</v>
      </c>
      <c r="D719">
        <v>364.5</v>
      </c>
      <c r="E719">
        <v>-40.5</v>
      </c>
    </row>
    <row r="720" spans="1:5" x14ac:dyDescent="0.35">
      <c r="A720">
        <v>2</v>
      </c>
      <c r="B720">
        <v>200</v>
      </c>
      <c r="C720">
        <v>28</v>
      </c>
      <c r="D720">
        <v>52</v>
      </c>
      <c r="E720">
        <v>-148</v>
      </c>
    </row>
    <row r="721" spans="1:5" x14ac:dyDescent="0.35">
      <c r="A721">
        <v>2.5</v>
      </c>
      <c r="B721">
        <v>222.5</v>
      </c>
      <c r="C721">
        <v>37.5</v>
      </c>
      <c r="D721">
        <v>160</v>
      </c>
      <c r="E721">
        <v>-62.5</v>
      </c>
    </row>
    <row r="722" spans="1:5" x14ac:dyDescent="0.35">
      <c r="A722">
        <v>2.7</v>
      </c>
      <c r="B722">
        <v>102.60000000000001</v>
      </c>
      <c r="C722">
        <v>75.600000000000009</v>
      </c>
      <c r="D722">
        <v>91.800000000000011</v>
      </c>
      <c r="E722">
        <v>-10.799999999999997</v>
      </c>
    </row>
    <row r="723" spans="1:5" x14ac:dyDescent="0.35">
      <c r="A723">
        <v>3</v>
      </c>
      <c r="B723">
        <v>183</v>
      </c>
      <c r="C723">
        <v>87</v>
      </c>
      <c r="D723">
        <v>213</v>
      </c>
      <c r="E723">
        <v>30</v>
      </c>
    </row>
    <row r="724" spans="1:5" x14ac:dyDescent="0.35">
      <c r="A724">
        <v>3</v>
      </c>
      <c r="B724">
        <v>225</v>
      </c>
      <c r="C724">
        <v>75</v>
      </c>
      <c r="D724">
        <v>288</v>
      </c>
      <c r="E724">
        <v>63</v>
      </c>
    </row>
    <row r="725" spans="1:5" x14ac:dyDescent="0.35">
      <c r="A725">
        <v>3.2</v>
      </c>
      <c r="B725">
        <v>278.40000000000003</v>
      </c>
      <c r="C725">
        <v>246.4</v>
      </c>
      <c r="D725">
        <v>233.60000000000002</v>
      </c>
      <c r="E725">
        <v>-44.800000000000011</v>
      </c>
    </row>
    <row r="726" spans="1:5" x14ac:dyDescent="0.35">
      <c r="A726">
        <v>1.5</v>
      </c>
      <c r="B726">
        <v>106.5</v>
      </c>
      <c r="C726">
        <v>45</v>
      </c>
      <c r="D726">
        <v>51</v>
      </c>
      <c r="E726">
        <v>-55.5</v>
      </c>
    </row>
    <row r="727" spans="1:5" x14ac:dyDescent="0.35">
      <c r="A727">
        <v>9</v>
      </c>
      <c r="B727">
        <v>882</v>
      </c>
      <c r="C727">
        <v>306</v>
      </c>
      <c r="D727">
        <v>477</v>
      </c>
      <c r="E727">
        <v>-405</v>
      </c>
    </row>
    <row r="728" spans="1:5" x14ac:dyDescent="0.35">
      <c r="A728">
        <v>2</v>
      </c>
      <c r="B728">
        <v>38</v>
      </c>
      <c r="C728">
        <v>82</v>
      </c>
      <c r="D728">
        <v>102</v>
      </c>
      <c r="E728">
        <v>64</v>
      </c>
    </row>
    <row r="729" spans="1:5" x14ac:dyDescent="0.35">
      <c r="A729">
        <v>5</v>
      </c>
      <c r="B729">
        <v>425</v>
      </c>
      <c r="C729">
        <v>80</v>
      </c>
      <c r="D729">
        <v>305</v>
      </c>
      <c r="E729">
        <v>-120</v>
      </c>
    </row>
    <row r="730" spans="1:5" x14ac:dyDescent="0.35">
      <c r="A730">
        <v>3.5</v>
      </c>
      <c r="B730">
        <v>248.5</v>
      </c>
      <c r="C730">
        <v>157.5</v>
      </c>
      <c r="D730">
        <v>304.5</v>
      </c>
      <c r="E730">
        <v>56</v>
      </c>
    </row>
    <row r="731" spans="1:5" x14ac:dyDescent="0.35">
      <c r="A731">
        <v>2.5</v>
      </c>
      <c r="B731">
        <v>110</v>
      </c>
      <c r="C731">
        <v>192.5</v>
      </c>
      <c r="D731">
        <v>167.5</v>
      </c>
      <c r="E731">
        <v>57.5</v>
      </c>
    </row>
    <row r="732" spans="1:5" x14ac:dyDescent="0.35">
      <c r="A732">
        <v>2</v>
      </c>
      <c r="B732">
        <v>50</v>
      </c>
      <c r="C732">
        <v>142</v>
      </c>
      <c r="D732">
        <v>48</v>
      </c>
      <c r="E732">
        <v>-2</v>
      </c>
    </row>
    <row r="733" spans="1:5" x14ac:dyDescent="0.35">
      <c r="A733">
        <v>4</v>
      </c>
      <c r="B733">
        <v>96</v>
      </c>
      <c r="C733">
        <v>20</v>
      </c>
      <c r="D733">
        <v>392</v>
      </c>
      <c r="E733">
        <v>296</v>
      </c>
    </row>
    <row r="734" spans="1:5" x14ac:dyDescent="0.35">
      <c r="A734">
        <v>10</v>
      </c>
      <c r="B734">
        <v>440</v>
      </c>
      <c r="C734">
        <v>760</v>
      </c>
      <c r="D734">
        <v>800</v>
      </c>
      <c r="E734">
        <v>360</v>
      </c>
    </row>
    <row r="735" spans="1:5" x14ac:dyDescent="0.35">
      <c r="A735">
        <v>2.5</v>
      </c>
      <c r="B735">
        <v>157.5</v>
      </c>
      <c r="C735">
        <v>115</v>
      </c>
      <c r="D735">
        <v>100</v>
      </c>
      <c r="E735">
        <v>-57.5</v>
      </c>
    </row>
    <row r="736" spans="1:5" x14ac:dyDescent="0.35">
      <c r="A736">
        <v>1.8</v>
      </c>
      <c r="B736">
        <v>124.2</v>
      </c>
      <c r="C736">
        <v>52.2</v>
      </c>
      <c r="D736">
        <v>113.4</v>
      </c>
      <c r="E736">
        <v>-10.799999999999997</v>
      </c>
    </row>
    <row r="737" spans="1:5" x14ac:dyDescent="0.35">
      <c r="A737">
        <v>18</v>
      </c>
      <c r="B737">
        <v>1584</v>
      </c>
      <c r="C737">
        <v>162</v>
      </c>
      <c r="D737">
        <v>504</v>
      </c>
      <c r="E737">
        <v>-1080</v>
      </c>
    </row>
    <row r="738" spans="1:5" x14ac:dyDescent="0.35">
      <c r="A738">
        <v>10</v>
      </c>
      <c r="B738">
        <v>740</v>
      </c>
      <c r="C738">
        <v>450</v>
      </c>
      <c r="D738">
        <v>370</v>
      </c>
      <c r="E738">
        <v>-370</v>
      </c>
    </row>
    <row r="739" spans="1:5" x14ac:dyDescent="0.35">
      <c r="A739">
        <v>4.5</v>
      </c>
      <c r="B739">
        <v>441</v>
      </c>
      <c r="C739">
        <v>40.5</v>
      </c>
      <c r="D739">
        <v>387</v>
      </c>
      <c r="E739">
        <v>-54</v>
      </c>
    </row>
    <row r="740" spans="1:5" x14ac:dyDescent="0.35">
      <c r="A740">
        <v>0.2</v>
      </c>
      <c r="B740">
        <v>4.4000000000000004</v>
      </c>
      <c r="C740">
        <v>0.8</v>
      </c>
      <c r="D740">
        <v>17.600000000000001</v>
      </c>
      <c r="E740">
        <v>13.200000000000001</v>
      </c>
    </row>
    <row r="741" spans="1:5" x14ac:dyDescent="0.35">
      <c r="A741">
        <v>5</v>
      </c>
      <c r="B741">
        <v>275</v>
      </c>
      <c r="C741">
        <v>200</v>
      </c>
      <c r="D741">
        <v>115</v>
      </c>
      <c r="E741">
        <v>-160</v>
      </c>
    </row>
    <row r="742" spans="1:5" x14ac:dyDescent="0.35">
      <c r="A742">
        <v>6.1</v>
      </c>
      <c r="B742">
        <v>585.59999999999991</v>
      </c>
      <c r="C742">
        <v>122</v>
      </c>
      <c r="D742">
        <v>573.4</v>
      </c>
      <c r="E742">
        <v>-12.199999999999932</v>
      </c>
    </row>
    <row r="743" spans="1:5" x14ac:dyDescent="0.35">
      <c r="A743">
        <v>7</v>
      </c>
      <c r="B743">
        <v>637</v>
      </c>
      <c r="C743">
        <v>448</v>
      </c>
      <c r="D743">
        <v>224</v>
      </c>
      <c r="E743">
        <v>-413</v>
      </c>
    </row>
    <row r="744" spans="1:5" x14ac:dyDescent="0.35">
      <c r="A744">
        <v>4</v>
      </c>
      <c r="B744">
        <v>160</v>
      </c>
      <c r="C744">
        <v>96</v>
      </c>
      <c r="D744">
        <v>112</v>
      </c>
      <c r="E744">
        <v>-48</v>
      </c>
    </row>
    <row r="745" spans="1:5" x14ac:dyDescent="0.35">
      <c r="A745">
        <v>15</v>
      </c>
      <c r="B745">
        <v>780</v>
      </c>
      <c r="C745">
        <v>180</v>
      </c>
      <c r="D745">
        <v>645</v>
      </c>
      <c r="E745">
        <v>-135</v>
      </c>
    </row>
    <row r="746" spans="1:5" x14ac:dyDescent="0.35">
      <c r="A746">
        <v>2</v>
      </c>
      <c r="B746">
        <v>44</v>
      </c>
      <c r="C746">
        <v>130</v>
      </c>
      <c r="D746">
        <v>124</v>
      </c>
      <c r="E746">
        <v>80</v>
      </c>
    </row>
    <row r="747" spans="1:5" x14ac:dyDescent="0.35">
      <c r="A747">
        <v>6.35</v>
      </c>
      <c r="B747">
        <v>622.29999999999995</v>
      </c>
      <c r="C747">
        <v>622.29999999999995</v>
      </c>
      <c r="D747">
        <v>444.5</v>
      </c>
      <c r="E747">
        <v>-177.79999999999995</v>
      </c>
    </row>
    <row r="748" spans="1:5" x14ac:dyDescent="0.35">
      <c r="A748">
        <v>2.75</v>
      </c>
      <c r="B748">
        <v>162.25</v>
      </c>
      <c r="C748">
        <v>236.5</v>
      </c>
      <c r="D748">
        <v>88</v>
      </c>
      <c r="E748">
        <v>-74.25</v>
      </c>
    </row>
    <row r="749" spans="1:5" x14ac:dyDescent="0.35">
      <c r="A749">
        <v>5</v>
      </c>
      <c r="B749">
        <v>495</v>
      </c>
      <c r="C749">
        <v>395</v>
      </c>
      <c r="D749">
        <v>325</v>
      </c>
      <c r="E749">
        <v>-170</v>
      </c>
    </row>
    <row r="750" spans="1:5" x14ac:dyDescent="0.35">
      <c r="A750">
        <v>5.3</v>
      </c>
      <c r="B750">
        <v>95.399999999999991</v>
      </c>
      <c r="C750">
        <v>280.89999999999998</v>
      </c>
      <c r="D750">
        <v>344.5</v>
      </c>
      <c r="E750">
        <v>249.10000000000002</v>
      </c>
    </row>
    <row r="751" spans="1:5" x14ac:dyDescent="0.35">
      <c r="A751">
        <v>3</v>
      </c>
      <c r="B751">
        <v>174</v>
      </c>
      <c r="C751">
        <v>297</v>
      </c>
      <c r="D751">
        <v>213</v>
      </c>
      <c r="E751">
        <v>39</v>
      </c>
    </row>
    <row r="752" spans="1:5" x14ac:dyDescent="0.35">
      <c r="A752">
        <v>6.3</v>
      </c>
      <c r="B752">
        <v>189</v>
      </c>
      <c r="C752">
        <v>604.79999999999995</v>
      </c>
      <c r="D752">
        <v>384.3</v>
      </c>
      <c r="E752">
        <v>195.3</v>
      </c>
    </row>
    <row r="753" spans="1:5" x14ac:dyDescent="0.35">
      <c r="A753">
        <v>4.5</v>
      </c>
      <c r="B753">
        <v>436.5</v>
      </c>
      <c r="C753">
        <v>319.5</v>
      </c>
      <c r="D753">
        <v>238.5</v>
      </c>
      <c r="E753">
        <v>-198</v>
      </c>
    </row>
    <row r="754" spans="1:5" x14ac:dyDescent="0.35">
      <c r="A754">
        <v>2.4500000000000002</v>
      </c>
      <c r="B754">
        <v>122.50000000000001</v>
      </c>
      <c r="C754">
        <v>90.65</v>
      </c>
      <c r="D754">
        <v>191.10000000000002</v>
      </c>
      <c r="E754">
        <v>68.600000000000009</v>
      </c>
    </row>
    <row r="755" spans="1:5" x14ac:dyDescent="0.35">
      <c r="A755">
        <v>9</v>
      </c>
      <c r="B755">
        <v>630</v>
      </c>
      <c r="C755">
        <v>315</v>
      </c>
      <c r="D755">
        <v>567</v>
      </c>
      <c r="E755">
        <v>-63</v>
      </c>
    </row>
    <row r="756" spans="1:5" x14ac:dyDescent="0.35">
      <c r="A756">
        <v>10</v>
      </c>
      <c r="B756">
        <v>400</v>
      </c>
      <c r="C756">
        <v>470</v>
      </c>
      <c r="D756">
        <v>760</v>
      </c>
      <c r="E756">
        <v>360</v>
      </c>
    </row>
    <row r="757" spans="1:5" x14ac:dyDescent="0.35">
      <c r="A757">
        <v>2.5</v>
      </c>
      <c r="B757">
        <v>187.5</v>
      </c>
      <c r="C757">
        <v>85</v>
      </c>
      <c r="D757">
        <v>250</v>
      </c>
      <c r="E757">
        <v>62.5</v>
      </c>
    </row>
    <row r="758" spans="1:5" x14ac:dyDescent="0.35">
      <c r="A758">
        <v>6</v>
      </c>
      <c r="B758">
        <v>156</v>
      </c>
      <c r="C758">
        <v>72</v>
      </c>
      <c r="D758">
        <v>564</v>
      </c>
      <c r="E758">
        <v>408</v>
      </c>
    </row>
    <row r="759" spans="1:5" x14ac:dyDescent="0.35">
      <c r="A759">
        <v>20</v>
      </c>
      <c r="B759">
        <v>260</v>
      </c>
      <c r="C759">
        <v>1540</v>
      </c>
      <c r="D759">
        <v>1340</v>
      </c>
      <c r="E759">
        <v>1080</v>
      </c>
    </row>
    <row r="760" spans="1:5" x14ac:dyDescent="0.35">
      <c r="A760">
        <v>4</v>
      </c>
      <c r="B760">
        <v>44</v>
      </c>
      <c r="C760">
        <v>128</v>
      </c>
      <c r="D760">
        <v>396</v>
      </c>
      <c r="E760">
        <v>352</v>
      </c>
    </row>
    <row r="761" spans="1:5" x14ac:dyDescent="0.35">
      <c r="A761">
        <v>15</v>
      </c>
      <c r="B761">
        <v>1470</v>
      </c>
      <c r="C761">
        <v>735</v>
      </c>
      <c r="D761">
        <v>315</v>
      </c>
      <c r="E761">
        <v>-1155</v>
      </c>
    </row>
    <row r="762" spans="1:5" x14ac:dyDescent="0.35">
      <c r="A762">
        <v>4</v>
      </c>
      <c r="B762">
        <v>140</v>
      </c>
      <c r="C762">
        <v>304</v>
      </c>
      <c r="D762">
        <v>360</v>
      </c>
      <c r="E762">
        <v>220</v>
      </c>
    </row>
    <row r="763" spans="1:5" x14ac:dyDescent="0.35">
      <c r="A763">
        <v>7.5</v>
      </c>
      <c r="B763">
        <v>337.5</v>
      </c>
      <c r="C763">
        <v>480</v>
      </c>
      <c r="D763">
        <v>262.5</v>
      </c>
      <c r="E763">
        <v>-75</v>
      </c>
    </row>
    <row r="764" spans="1:5" x14ac:dyDescent="0.35">
      <c r="A764">
        <v>4</v>
      </c>
      <c r="B764">
        <v>188</v>
      </c>
      <c r="C764">
        <v>276</v>
      </c>
      <c r="D764">
        <v>104</v>
      </c>
      <c r="E764">
        <v>-84</v>
      </c>
    </row>
    <row r="765" spans="1:5" x14ac:dyDescent="0.35">
      <c r="A765">
        <v>6.5</v>
      </c>
      <c r="B765">
        <v>578.5</v>
      </c>
      <c r="C765">
        <v>182</v>
      </c>
      <c r="D765">
        <v>253.5</v>
      </c>
      <c r="E765">
        <v>-325</v>
      </c>
    </row>
    <row r="766" spans="1:5" x14ac:dyDescent="0.35">
      <c r="A766">
        <v>15</v>
      </c>
      <c r="B766">
        <v>495</v>
      </c>
      <c r="C766">
        <v>1410</v>
      </c>
      <c r="D766">
        <v>1440</v>
      </c>
      <c r="E766">
        <v>945</v>
      </c>
    </row>
    <row r="767" spans="1:5" x14ac:dyDescent="0.35">
      <c r="A767">
        <v>5</v>
      </c>
      <c r="B767">
        <v>450</v>
      </c>
      <c r="C767">
        <v>210</v>
      </c>
      <c r="D767">
        <v>380</v>
      </c>
      <c r="E767">
        <v>-70</v>
      </c>
    </row>
    <row r="768" spans="1:5" x14ac:dyDescent="0.35">
      <c r="A768">
        <v>4.75</v>
      </c>
      <c r="B768">
        <v>209</v>
      </c>
      <c r="C768">
        <v>285</v>
      </c>
      <c r="D768">
        <v>299.25</v>
      </c>
      <c r="E768">
        <v>90.25</v>
      </c>
    </row>
    <row r="769" spans="1:5" x14ac:dyDescent="0.35">
      <c r="A769">
        <v>9.75</v>
      </c>
      <c r="B769">
        <v>399.75</v>
      </c>
      <c r="C769">
        <v>117</v>
      </c>
      <c r="D769">
        <v>906.75</v>
      </c>
      <c r="E769">
        <v>507</v>
      </c>
    </row>
    <row r="770" spans="1:5" x14ac:dyDescent="0.35">
      <c r="A770">
        <v>1.2</v>
      </c>
      <c r="B770">
        <v>86.399999999999991</v>
      </c>
      <c r="C770">
        <v>82.8</v>
      </c>
      <c r="D770">
        <v>115.19999999999999</v>
      </c>
      <c r="E770">
        <v>28.799999999999997</v>
      </c>
    </row>
    <row r="771" spans="1:5" x14ac:dyDescent="0.35">
      <c r="A771">
        <v>2.4</v>
      </c>
      <c r="B771">
        <v>172.79999999999998</v>
      </c>
      <c r="C771">
        <v>124.8</v>
      </c>
      <c r="D771">
        <v>86.399999999999991</v>
      </c>
      <c r="E771">
        <v>-86.399999999999991</v>
      </c>
    </row>
    <row r="772" spans="1:5" x14ac:dyDescent="0.35">
      <c r="A772">
        <v>15</v>
      </c>
      <c r="B772">
        <v>600</v>
      </c>
      <c r="C772">
        <v>900</v>
      </c>
      <c r="D772">
        <v>495</v>
      </c>
      <c r="E772">
        <v>-105</v>
      </c>
    </row>
    <row r="773" spans="1:5" x14ac:dyDescent="0.35">
      <c r="A773">
        <v>3.5</v>
      </c>
      <c r="B773">
        <v>126</v>
      </c>
      <c r="C773">
        <v>322</v>
      </c>
      <c r="D773">
        <v>234.5</v>
      </c>
      <c r="E773">
        <v>108.5</v>
      </c>
    </row>
    <row r="774" spans="1:5" x14ac:dyDescent="0.35">
      <c r="A774">
        <v>2</v>
      </c>
      <c r="B774">
        <v>102</v>
      </c>
      <c r="C774">
        <v>172</v>
      </c>
      <c r="D774">
        <v>48</v>
      </c>
      <c r="E774">
        <v>-54</v>
      </c>
    </row>
    <row r="775" spans="1:5" x14ac:dyDescent="0.35">
      <c r="A775">
        <v>14.9</v>
      </c>
      <c r="B775">
        <v>1296.3</v>
      </c>
      <c r="C775">
        <v>342.7</v>
      </c>
      <c r="D775">
        <v>1341</v>
      </c>
      <c r="E775">
        <v>44.700000000000045</v>
      </c>
    </row>
    <row r="776" spans="1:5" x14ac:dyDescent="0.35">
      <c r="A776">
        <v>4.5</v>
      </c>
      <c r="B776">
        <v>355.5</v>
      </c>
      <c r="C776">
        <v>441</v>
      </c>
      <c r="D776">
        <v>148.5</v>
      </c>
      <c r="E776">
        <v>-207</v>
      </c>
    </row>
    <row r="777" spans="1:5" x14ac:dyDescent="0.35">
      <c r="A777">
        <v>6.8</v>
      </c>
      <c r="B777">
        <v>95.2</v>
      </c>
      <c r="C777">
        <v>544</v>
      </c>
      <c r="D777">
        <v>435.2</v>
      </c>
      <c r="E777">
        <v>340</v>
      </c>
    </row>
    <row r="778" spans="1:5" x14ac:dyDescent="0.35">
      <c r="A778">
        <v>3</v>
      </c>
      <c r="B778">
        <v>243</v>
      </c>
      <c r="C778">
        <v>246</v>
      </c>
      <c r="D778">
        <v>258</v>
      </c>
      <c r="E778">
        <v>15</v>
      </c>
    </row>
    <row r="779" spans="1:5" x14ac:dyDescent="0.35">
      <c r="A779">
        <v>2</v>
      </c>
      <c r="B779">
        <v>150</v>
      </c>
      <c r="C779">
        <v>130</v>
      </c>
      <c r="D779">
        <v>64</v>
      </c>
      <c r="E779">
        <v>-86</v>
      </c>
    </row>
    <row r="780" spans="1:5" x14ac:dyDescent="0.35">
      <c r="A780">
        <v>7</v>
      </c>
      <c r="B780">
        <v>336</v>
      </c>
      <c r="C780">
        <v>434</v>
      </c>
      <c r="D780">
        <v>413</v>
      </c>
      <c r="E780">
        <v>77</v>
      </c>
    </row>
    <row r="781" spans="1:5" x14ac:dyDescent="0.35">
      <c r="A781">
        <v>2</v>
      </c>
      <c r="B781">
        <v>100</v>
      </c>
      <c r="C781">
        <v>180</v>
      </c>
      <c r="D781">
        <v>80</v>
      </c>
      <c r="E781">
        <v>-20</v>
      </c>
    </row>
    <row r="782" spans="1:5" x14ac:dyDescent="0.35">
      <c r="A782">
        <v>9</v>
      </c>
      <c r="B782">
        <v>99</v>
      </c>
      <c r="C782">
        <v>387</v>
      </c>
      <c r="D782">
        <v>774</v>
      </c>
      <c r="E782">
        <v>675</v>
      </c>
    </row>
    <row r="783" spans="1:5" x14ac:dyDescent="0.35">
      <c r="A783">
        <v>9.5</v>
      </c>
      <c r="B783">
        <v>703</v>
      </c>
      <c r="C783">
        <v>864.5</v>
      </c>
      <c r="D783">
        <v>228</v>
      </c>
      <c r="E783">
        <v>-475</v>
      </c>
    </row>
    <row r="784" spans="1:5" x14ac:dyDescent="0.35">
      <c r="A784">
        <v>2.5</v>
      </c>
      <c r="B784">
        <v>27.5</v>
      </c>
      <c r="C784">
        <v>150</v>
      </c>
      <c r="D784">
        <v>232.5</v>
      </c>
      <c r="E784">
        <v>205</v>
      </c>
    </row>
    <row r="785" spans="1:5" x14ac:dyDescent="0.35">
      <c r="A785">
        <v>4</v>
      </c>
      <c r="B785">
        <v>340</v>
      </c>
      <c r="C785">
        <v>120</v>
      </c>
      <c r="D785">
        <v>380</v>
      </c>
      <c r="E785">
        <v>40</v>
      </c>
    </row>
    <row r="786" spans="1:5" x14ac:dyDescent="0.35">
      <c r="A786">
        <v>2.5</v>
      </c>
      <c r="B786">
        <v>142.5</v>
      </c>
      <c r="C786">
        <v>115</v>
      </c>
      <c r="D786">
        <v>217.5</v>
      </c>
      <c r="E786">
        <v>75</v>
      </c>
    </row>
    <row r="787" spans="1:5" x14ac:dyDescent="0.35">
      <c r="A787">
        <v>1.9</v>
      </c>
      <c r="B787">
        <v>142.5</v>
      </c>
      <c r="C787">
        <v>108.3</v>
      </c>
      <c r="D787">
        <v>119.69999999999999</v>
      </c>
      <c r="E787">
        <v>-22.800000000000011</v>
      </c>
    </row>
    <row r="788" spans="1:5" x14ac:dyDescent="0.35">
      <c r="A788">
        <v>2.35</v>
      </c>
      <c r="B788">
        <v>148.05000000000001</v>
      </c>
      <c r="C788">
        <v>54.050000000000004</v>
      </c>
      <c r="D788">
        <v>183.3</v>
      </c>
      <c r="E788">
        <v>35.25</v>
      </c>
    </row>
    <row r="789" spans="1:5" x14ac:dyDescent="0.35">
      <c r="A789">
        <v>25.25</v>
      </c>
      <c r="B789">
        <v>883.75</v>
      </c>
      <c r="C789">
        <v>1060.5</v>
      </c>
      <c r="D789">
        <v>1338.25</v>
      </c>
      <c r="E789">
        <v>454.5</v>
      </c>
    </row>
    <row r="790" spans="1:5" x14ac:dyDescent="0.35">
      <c r="A790">
        <v>1</v>
      </c>
      <c r="B790">
        <v>24</v>
      </c>
      <c r="C790">
        <v>17</v>
      </c>
      <c r="D790">
        <v>55</v>
      </c>
      <c r="E790">
        <v>31</v>
      </c>
    </row>
    <row r="791" spans="1:5" x14ac:dyDescent="0.35">
      <c r="A791">
        <v>4.75</v>
      </c>
      <c r="B791">
        <v>251.75</v>
      </c>
      <c r="C791">
        <v>14.25</v>
      </c>
      <c r="D791">
        <v>475</v>
      </c>
      <c r="E791">
        <v>223.25</v>
      </c>
    </row>
    <row r="792" spans="1:5" x14ac:dyDescent="0.35">
      <c r="A792">
        <v>6</v>
      </c>
      <c r="B792">
        <v>444</v>
      </c>
      <c r="C792">
        <v>246</v>
      </c>
      <c r="D792">
        <v>306</v>
      </c>
      <c r="E792">
        <v>-138</v>
      </c>
    </row>
    <row r="793" spans="1:5" x14ac:dyDescent="0.35">
      <c r="A793">
        <v>2.5</v>
      </c>
      <c r="B793">
        <v>197.5</v>
      </c>
      <c r="C793">
        <v>167.5</v>
      </c>
      <c r="D793">
        <v>107.5</v>
      </c>
      <c r="E793">
        <v>-90</v>
      </c>
    </row>
    <row r="794" spans="1:5" x14ac:dyDescent="0.35">
      <c r="A794">
        <v>1.5</v>
      </c>
      <c r="B794">
        <v>81</v>
      </c>
      <c r="C794">
        <v>121.5</v>
      </c>
      <c r="D794">
        <v>61.5</v>
      </c>
      <c r="E794">
        <v>-19.5</v>
      </c>
    </row>
    <row r="795" spans="1:5" x14ac:dyDescent="0.35">
      <c r="A795">
        <v>1.8</v>
      </c>
      <c r="B795">
        <v>79.2</v>
      </c>
      <c r="C795">
        <v>140.4</v>
      </c>
      <c r="D795">
        <v>82.8</v>
      </c>
      <c r="E795">
        <v>3.5999999999999943</v>
      </c>
    </row>
    <row r="796" spans="1:5" x14ac:dyDescent="0.35">
      <c r="A796">
        <v>9.5</v>
      </c>
      <c r="B796">
        <v>731.5</v>
      </c>
      <c r="C796">
        <v>294.5</v>
      </c>
      <c r="D796">
        <v>256.5</v>
      </c>
      <c r="E796">
        <v>-475</v>
      </c>
    </row>
    <row r="797" spans="1:5" x14ac:dyDescent="0.35">
      <c r="A797">
        <v>5</v>
      </c>
      <c r="B797">
        <v>210</v>
      </c>
      <c r="C797">
        <v>260</v>
      </c>
      <c r="D797">
        <v>430</v>
      </c>
      <c r="E797">
        <v>220</v>
      </c>
    </row>
    <row r="798" spans="1:5" x14ac:dyDescent="0.35">
      <c r="A798">
        <v>2</v>
      </c>
      <c r="B798">
        <v>88</v>
      </c>
      <c r="C798">
        <v>90</v>
      </c>
      <c r="D798">
        <v>178</v>
      </c>
      <c r="E798">
        <v>90</v>
      </c>
    </row>
    <row r="799" spans="1:5" x14ac:dyDescent="0.35">
      <c r="A799">
        <v>4</v>
      </c>
      <c r="B799">
        <v>324</v>
      </c>
      <c r="C799">
        <v>40</v>
      </c>
      <c r="D799">
        <v>272</v>
      </c>
      <c r="E799">
        <v>-52</v>
      </c>
    </row>
    <row r="800" spans="1:5" x14ac:dyDescent="0.35">
      <c r="A800">
        <v>6.25</v>
      </c>
      <c r="B800">
        <v>575</v>
      </c>
      <c r="C800">
        <v>137.5</v>
      </c>
      <c r="D800">
        <v>237.5</v>
      </c>
      <c r="E800">
        <v>-337.5</v>
      </c>
    </row>
    <row r="801" spans="1:5" x14ac:dyDescent="0.35">
      <c r="A801">
        <v>15</v>
      </c>
      <c r="B801">
        <v>1170</v>
      </c>
      <c r="C801">
        <v>1290</v>
      </c>
      <c r="D801">
        <v>705</v>
      </c>
      <c r="E801">
        <v>-465</v>
      </c>
    </row>
    <row r="802" spans="1:5" x14ac:dyDescent="0.35">
      <c r="A802">
        <v>4.2</v>
      </c>
      <c r="B802">
        <v>357</v>
      </c>
      <c r="C802">
        <v>357</v>
      </c>
      <c r="D802">
        <v>273</v>
      </c>
      <c r="E802">
        <v>-84</v>
      </c>
    </row>
    <row r="803" spans="1:5" x14ac:dyDescent="0.35">
      <c r="A803">
        <v>6</v>
      </c>
      <c r="B803">
        <v>390</v>
      </c>
      <c r="C803">
        <v>24</v>
      </c>
      <c r="D803">
        <v>480</v>
      </c>
      <c r="E803">
        <v>90</v>
      </c>
    </row>
    <row r="804" spans="1:5" x14ac:dyDescent="0.35">
      <c r="A804">
        <v>6</v>
      </c>
      <c r="B804">
        <v>216</v>
      </c>
      <c r="C804">
        <v>324</v>
      </c>
      <c r="D804">
        <v>444</v>
      </c>
      <c r="E804">
        <v>228</v>
      </c>
    </row>
    <row r="805" spans="1:5" x14ac:dyDescent="0.35">
      <c r="A805">
        <v>1.2</v>
      </c>
      <c r="B805">
        <v>31.2</v>
      </c>
      <c r="C805">
        <v>105.6</v>
      </c>
      <c r="D805">
        <v>100.8</v>
      </c>
      <c r="E805">
        <v>69.599999999999994</v>
      </c>
    </row>
    <row r="806" spans="1:5" x14ac:dyDescent="0.35">
      <c r="A806">
        <v>2.5</v>
      </c>
      <c r="B806">
        <v>97.5</v>
      </c>
      <c r="C806">
        <v>32.5</v>
      </c>
      <c r="D806">
        <v>210</v>
      </c>
      <c r="E806">
        <v>112.5</v>
      </c>
    </row>
    <row r="807" spans="1:5" x14ac:dyDescent="0.35">
      <c r="A807">
        <v>2</v>
      </c>
      <c r="B807">
        <v>78</v>
      </c>
      <c r="C807">
        <v>42</v>
      </c>
      <c r="D807">
        <v>146</v>
      </c>
      <c r="E807">
        <v>68</v>
      </c>
    </row>
    <row r="808" spans="1:5" x14ac:dyDescent="0.35">
      <c r="A808">
        <v>1</v>
      </c>
      <c r="B808">
        <v>83</v>
      </c>
      <c r="C808">
        <v>4</v>
      </c>
      <c r="D808">
        <v>35</v>
      </c>
      <c r="E808">
        <v>-48</v>
      </c>
    </row>
    <row r="809" spans="1:5" x14ac:dyDescent="0.35">
      <c r="A809">
        <v>1.8</v>
      </c>
      <c r="B809">
        <v>50.4</v>
      </c>
      <c r="C809">
        <v>16.2</v>
      </c>
      <c r="D809">
        <v>59.4</v>
      </c>
      <c r="E809">
        <v>9</v>
      </c>
    </row>
    <row r="810" spans="1:5" x14ac:dyDescent="0.35">
      <c r="A810">
        <v>18</v>
      </c>
      <c r="B810">
        <v>1530</v>
      </c>
      <c r="C810">
        <v>1728</v>
      </c>
      <c r="D810">
        <v>1656</v>
      </c>
      <c r="E810">
        <v>126</v>
      </c>
    </row>
    <row r="811" spans="1:5" x14ac:dyDescent="0.35">
      <c r="A811">
        <v>2</v>
      </c>
      <c r="B811">
        <v>152</v>
      </c>
      <c r="C811">
        <v>30</v>
      </c>
      <c r="D811">
        <v>154</v>
      </c>
      <c r="E811">
        <v>2</v>
      </c>
    </row>
    <row r="812" spans="1:5" x14ac:dyDescent="0.35">
      <c r="A812">
        <v>2.5</v>
      </c>
      <c r="B812">
        <v>250</v>
      </c>
      <c r="C812">
        <v>155</v>
      </c>
      <c r="D812">
        <v>210</v>
      </c>
      <c r="E812">
        <v>-40</v>
      </c>
    </row>
    <row r="813" spans="1:5" x14ac:dyDescent="0.35">
      <c r="A813">
        <v>6</v>
      </c>
      <c r="B813">
        <v>102</v>
      </c>
      <c r="C813">
        <v>264</v>
      </c>
      <c r="D813">
        <v>222</v>
      </c>
      <c r="E813">
        <v>120</v>
      </c>
    </row>
    <row r="814" spans="1:5" x14ac:dyDescent="0.35">
      <c r="A814">
        <v>10</v>
      </c>
      <c r="B814">
        <v>510</v>
      </c>
      <c r="C814">
        <v>950</v>
      </c>
      <c r="D814">
        <v>800</v>
      </c>
      <c r="E814">
        <v>290</v>
      </c>
    </row>
    <row r="815" spans="1:5" x14ac:dyDescent="0.35">
      <c r="A815">
        <v>5.5</v>
      </c>
      <c r="B815">
        <v>297</v>
      </c>
      <c r="C815">
        <v>236.5</v>
      </c>
      <c r="D815">
        <v>445.5</v>
      </c>
      <c r="E815">
        <v>148.5</v>
      </c>
    </row>
    <row r="816" spans="1:5" x14ac:dyDescent="0.35">
      <c r="A816">
        <v>4</v>
      </c>
      <c r="B816">
        <v>376</v>
      </c>
      <c r="C816">
        <v>320</v>
      </c>
      <c r="D816">
        <v>188</v>
      </c>
      <c r="E816">
        <v>-188</v>
      </c>
    </row>
    <row r="817" spans="1:5" x14ac:dyDescent="0.35">
      <c r="A817">
        <v>5</v>
      </c>
      <c r="B817">
        <v>170</v>
      </c>
      <c r="C817">
        <v>90</v>
      </c>
      <c r="D817">
        <v>205</v>
      </c>
      <c r="E817">
        <v>35</v>
      </c>
    </row>
    <row r="818" spans="1:5" x14ac:dyDescent="0.35">
      <c r="A818">
        <v>30</v>
      </c>
      <c r="B818">
        <v>810</v>
      </c>
      <c r="C818">
        <v>90</v>
      </c>
      <c r="D818">
        <v>1020</v>
      </c>
      <c r="E818">
        <v>210</v>
      </c>
    </row>
    <row r="819" spans="1:5" x14ac:dyDescent="0.35">
      <c r="A819">
        <v>1.75</v>
      </c>
      <c r="B819">
        <v>87.5</v>
      </c>
      <c r="C819">
        <v>35</v>
      </c>
      <c r="D819">
        <v>152.25</v>
      </c>
      <c r="E819">
        <v>64.75</v>
      </c>
    </row>
    <row r="820" spans="1:5" x14ac:dyDescent="0.35">
      <c r="A820">
        <v>9.5</v>
      </c>
      <c r="B820">
        <v>807.5</v>
      </c>
      <c r="C820">
        <v>893</v>
      </c>
      <c r="D820">
        <v>247</v>
      </c>
      <c r="E820">
        <v>-560.5</v>
      </c>
    </row>
    <row r="821" spans="1:5" x14ac:dyDescent="0.35">
      <c r="A821">
        <v>2</v>
      </c>
      <c r="B821">
        <v>48</v>
      </c>
      <c r="C821">
        <v>98</v>
      </c>
      <c r="D821">
        <v>196</v>
      </c>
      <c r="E821">
        <v>148</v>
      </c>
    </row>
    <row r="822" spans="1:5" x14ac:dyDescent="0.35">
      <c r="A822">
        <v>20</v>
      </c>
      <c r="B822">
        <v>1640</v>
      </c>
      <c r="C822">
        <v>1720</v>
      </c>
      <c r="D822">
        <v>1320</v>
      </c>
      <c r="E822">
        <v>-320</v>
      </c>
    </row>
    <row r="823" spans="1:5" x14ac:dyDescent="0.35">
      <c r="A823">
        <v>3.5</v>
      </c>
      <c r="B823">
        <v>59.5</v>
      </c>
      <c r="C823">
        <v>59.5</v>
      </c>
      <c r="D823">
        <v>126</v>
      </c>
      <c r="E823">
        <v>66.5</v>
      </c>
    </row>
    <row r="824" spans="1:5" x14ac:dyDescent="0.35">
      <c r="A824">
        <v>2.2999999999999998</v>
      </c>
      <c r="B824">
        <v>57.499999999999993</v>
      </c>
      <c r="C824">
        <v>144.89999999999998</v>
      </c>
      <c r="D824">
        <v>165.6</v>
      </c>
      <c r="E824">
        <v>108.1</v>
      </c>
    </row>
    <row r="825" spans="1:5" x14ac:dyDescent="0.35">
      <c r="A825">
        <v>7</v>
      </c>
      <c r="B825">
        <v>392</v>
      </c>
      <c r="C825">
        <v>609</v>
      </c>
      <c r="D825">
        <v>455</v>
      </c>
      <c r="E825">
        <v>63</v>
      </c>
    </row>
    <row r="826" spans="1:5" x14ac:dyDescent="0.35">
      <c r="A826">
        <v>2</v>
      </c>
      <c r="B826">
        <v>144</v>
      </c>
      <c r="C826">
        <v>20</v>
      </c>
      <c r="D826">
        <v>104</v>
      </c>
      <c r="E826">
        <v>-40</v>
      </c>
    </row>
    <row r="827" spans="1:5" x14ac:dyDescent="0.35">
      <c r="A827">
        <v>6.3</v>
      </c>
      <c r="B827">
        <v>409.5</v>
      </c>
      <c r="C827">
        <v>390.59999999999997</v>
      </c>
      <c r="D827">
        <v>340.2</v>
      </c>
      <c r="E827">
        <v>-69.300000000000011</v>
      </c>
    </row>
    <row r="828" spans="1:5" x14ac:dyDescent="0.35">
      <c r="A828">
        <v>5.5</v>
      </c>
      <c r="B828">
        <v>165</v>
      </c>
      <c r="C828">
        <v>154</v>
      </c>
      <c r="D828">
        <v>346.5</v>
      </c>
      <c r="E828">
        <v>181.5</v>
      </c>
    </row>
    <row r="829" spans="1:5" x14ac:dyDescent="0.35">
      <c r="A829">
        <v>2</v>
      </c>
      <c r="B829">
        <v>78</v>
      </c>
      <c r="C829">
        <v>96</v>
      </c>
      <c r="D829">
        <v>50</v>
      </c>
      <c r="E829">
        <v>-28</v>
      </c>
    </row>
    <row r="830" spans="1:5" x14ac:dyDescent="0.35">
      <c r="A830">
        <v>3.5</v>
      </c>
      <c r="B830">
        <v>49</v>
      </c>
      <c r="C830">
        <v>227.5</v>
      </c>
      <c r="D830">
        <v>259</v>
      </c>
      <c r="E830">
        <v>210</v>
      </c>
    </row>
    <row r="831" spans="1:5" x14ac:dyDescent="0.35">
      <c r="A831">
        <v>1.5</v>
      </c>
      <c r="B831">
        <v>111</v>
      </c>
      <c r="C831">
        <v>85.5</v>
      </c>
      <c r="D831">
        <v>136.5</v>
      </c>
      <c r="E831">
        <v>25.5</v>
      </c>
    </row>
    <row r="832" spans="1:5" x14ac:dyDescent="0.35">
      <c r="A832">
        <v>11.9</v>
      </c>
      <c r="B832">
        <v>749.7</v>
      </c>
      <c r="C832">
        <v>1166.2</v>
      </c>
      <c r="D832">
        <v>440.3</v>
      </c>
      <c r="E832">
        <v>-309.40000000000003</v>
      </c>
    </row>
    <row r="833" spans="1:5" x14ac:dyDescent="0.35">
      <c r="A833">
        <v>4</v>
      </c>
      <c r="B833">
        <v>188</v>
      </c>
      <c r="C833">
        <v>228</v>
      </c>
      <c r="D833">
        <v>144</v>
      </c>
      <c r="E833">
        <v>-44</v>
      </c>
    </row>
    <row r="834" spans="1:5" x14ac:dyDescent="0.35">
      <c r="A834">
        <v>2.5</v>
      </c>
      <c r="B834">
        <v>105</v>
      </c>
      <c r="C834">
        <v>197.5</v>
      </c>
      <c r="D834">
        <v>152.5</v>
      </c>
      <c r="E834">
        <v>47.5</v>
      </c>
    </row>
    <row r="835" spans="1:5" x14ac:dyDescent="0.35">
      <c r="A835">
        <v>2.5</v>
      </c>
      <c r="B835">
        <v>80</v>
      </c>
      <c r="C835">
        <v>182.5</v>
      </c>
      <c r="D835">
        <v>200</v>
      </c>
      <c r="E835">
        <v>120</v>
      </c>
    </row>
    <row r="836" spans="1:5" x14ac:dyDescent="0.35">
      <c r="A836">
        <v>2</v>
      </c>
      <c r="B836">
        <v>176</v>
      </c>
      <c r="C836">
        <v>144</v>
      </c>
      <c r="D836">
        <v>50</v>
      </c>
      <c r="E836">
        <v>-126</v>
      </c>
    </row>
    <row r="837" spans="1:5" x14ac:dyDescent="0.35">
      <c r="A837">
        <v>1.75</v>
      </c>
      <c r="B837">
        <v>140</v>
      </c>
      <c r="C837">
        <v>124.25</v>
      </c>
      <c r="D837">
        <v>71.75</v>
      </c>
      <c r="E837">
        <v>-68.25</v>
      </c>
    </row>
    <row r="838" spans="1:5" x14ac:dyDescent="0.35">
      <c r="A838">
        <v>3</v>
      </c>
      <c r="B838">
        <v>108</v>
      </c>
      <c r="C838">
        <v>270</v>
      </c>
      <c r="D838">
        <v>75</v>
      </c>
      <c r="E838">
        <v>-33</v>
      </c>
    </row>
    <row r="839" spans="1:5" x14ac:dyDescent="0.35">
      <c r="A839">
        <v>1.5</v>
      </c>
      <c r="B839">
        <v>16.5</v>
      </c>
      <c r="C839">
        <v>10.5</v>
      </c>
      <c r="D839">
        <v>115.5</v>
      </c>
      <c r="E839">
        <v>99</v>
      </c>
    </row>
    <row r="840" spans="1:5" x14ac:dyDescent="0.35">
      <c r="A840">
        <v>4</v>
      </c>
      <c r="B840">
        <v>160</v>
      </c>
      <c r="C840">
        <v>200</v>
      </c>
      <c r="D840">
        <v>368</v>
      </c>
      <c r="E840">
        <v>208</v>
      </c>
    </row>
    <row r="841" spans="1:5" x14ac:dyDescent="0.35">
      <c r="A841">
        <v>1.5</v>
      </c>
      <c r="B841">
        <v>94.5</v>
      </c>
      <c r="C841">
        <v>12</v>
      </c>
      <c r="D841">
        <v>82.5</v>
      </c>
      <c r="E841">
        <v>-12</v>
      </c>
    </row>
    <row r="842" spans="1:5" x14ac:dyDescent="0.35">
      <c r="A842">
        <v>1.5</v>
      </c>
      <c r="B842">
        <v>135</v>
      </c>
      <c r="C842">
        <v>64.5</v>
      </c>
      <c r="D842">
        <v>120</v>
      </c>
      <c r="E842">
        <v>-15</v>
      </c>
    </row>
    <row r="843" spans="1:5" x14ac:dyDescent="0.35">
      <c r="A843">
        <v>3.25</v>
      </c>
      <c r="B843">
        <v>152.75</v>
      </c>
      <c r="C843">
        <v>130</v>
      </c>
      <c r="D843">
        <v>97.5</v>
      </c>
      <c r="E843">
        <v>-55.25</v>
      </c>
    </row>
    <row r="844" spans="1:5" x14ac:dyDescent="0.35">
      <c r="A844">
        <v>4</v>
      </c>
      <c r="B844">
        <v>116</v>
      </c>
      <c r="C844">
        <v>336</v>
      </c>
      <c r="D844">
        <v>320</v>
      </c>
      <c r="E844">
        <v>204</v>
      </c>
    </row>
    <row r="845" spans="1:5" x14ac:dyDescent="0.35">
      <c r="A845">
        <v>4</v>
      </c>
      <c r="B845">
        <v>376</v>
      </c>
      <c r="C845">
        <v>272</v>
      </c>
      <c r="D845">
        <v>96</v>
      </c>
      <c r="E845">
        <v>-280</v>
      </c>
    </row>
    <row r="846" spans="1:5" x14ac:dyDescent="0.35">
      <c r="A846">
        <v>4.9000000000000004</v>
      </c>
      <c r="B846">
        <v>156.80000000000001</v>
      </c>
      <c r="C846">
        <v>450.8</v>
      </c>
      <c r="D846">
        <v>411.6</v>
      </c>
      <c r="E846">
        <v>254.8</v>
      </c>
    </row>
    <row r="847" spans="1:5" x14ac:dyDescent="0.35">
      <c r="A847">
        <v>4</v>
      </c>
      <c r="B847">
        <v>160</v>
      </c>
      <c r="C847">
        <v>20</v>
      </c>
      <c r="D847">
        <v>180</v>
      </c>
      <c r="E847">
        <v>20</v>
      </c>
    </row>
    <row r="848" spans="1:5" x14ac:dyDescent="0.35">
      <c r="A848">
        <v>2.5</v>
      </c>
      <c r="B848">
        <v>125</v>
      </c>
      <c r="C848">
        <v>2.5</v>
      </c>
      <c r="D848">
        <v>190</v>
      </c>
      <c r="E848">
        <v>65</v>
      </c>
    </row>
    <row r="849" spans="1:5" x14ac:dyDescent="0.35">
      <c r="A849">
        <v>8</v>
      </c>
      <c r="B849">
        <v>576</v>
      </c>
      <c r="C849">
        <v>80</v>
      </c>
      <c r="D849">
        <v>432</v>
      </c>
      <c r="E849">
        <v>-144</v>
      </c>
    </row>
    <row r="850" spans="1:5" x14ac:dyDescent="0.35">
      <c r="A850">
        <v>6</v>
      </c>
      <c r="B850">
        <v>132</v>
      </c>
      <c r="C850">
        <v>330</v>
      </c>
      <c r="D850">
        <v>246</v>
      </c>
      <c r="E850">
        <v>114</v>
      </c>
    </row>
    <row r="851" spans="1:5" x14ac:dyDescent="0.35">
      <c r="A851">
        <v>5</v>
      </c>
      <c r="B851">
        <v>115</v>
      </c>
      <c r="C851">
        <v>350</v>
      </c>
      <c r="D851">
        <v>485</v>
      </c>
      <c r="E851">
        <v>370</v>
      </c>
    </row>
    <row r="852" spans="1:5" x14ac:dyDescent="0.35">
      <c r="A852">
        <v>20</v>
      </c>
      <c r="B852">
        <v>700</v>
      </c>
      <c r="C852">
        <v>1400</v>
      </c>
      <c r="D852">
        <v>1480</v>
      </c>
      <c r="E852">
        <v>780</v>
      </c>
    </row>
    <row r="853" spans="1:5" x14ac:dyDescent="0.35">
      <c r="A853">
        <v>1.75</v>
      </c>
      <c r="B853">
        <v>21</v>
      </c>
      <c r="C853">
        <v>50.75</v>
      </c>
      <c r="D853">
        <v>78.75</v>
      </c>
      <c r="E853">
        <v>57.75</v>
      </c>
    </row>
    <row r="854" spans="1:5" x14ac:dyDescent="0.35">
      <c r="A854">
        <v>9</v>
      </c>
      <c r="B854">
        <v>774</v>
      </c>
      <c r="C854">
        <v>9</v>
      </c>
      <c r="D854">
        <v>900</v>
      </c>
      <c r="E854">
        <v>126</v>
      </c>
    </row>
    <row r="855" spans="1:5" x14ac:dyDescent="0.35">
      <c r="A855">
        <v>7.5</v>
      </c>
      <c r="B855">
        <v>682.5</v>
      </c>
      <c r="C855">
        <v>675</v>
      </c>
      <c r="D855">
        <v>675</v>
      </c>
      <c r="E855">
        <v>-7.5</v>
      </c>
    </row>
    <row r="856" spans="1:5" x14ac:dyDescent="0.35">
      <c r="A856">
        <v>2</v>
      </c>
      <c r="B856">
        <v>46</v>
      </c>
      <c r="C856">
        <v>194</v>
      </c>
      <c r="D856">
        <v>136</v>
      </c>
      <c r="E856">
        <v>90</v>
      </c>
    </row>
    <row r="857" spans="1:5" x14ac:dyDescent="0.35">
      <c r="A857">
        <v>2</v>
      </c>
      <c r="B857">
        <v>196</v>
      </c>
      <c r="C857">
        <v>200</v>
      </c>
      <c r="D857">
        <v>92</v>
      </c>
      <c r="E857">
        <v>-104</v>
      </c>
    </row>
    <row r="858" spans="1:5" x14ac:dyDescent="0.35">
      <c r="A858">
        <v>8</v>
      </c>
      <c r="B858">
        <v>232</v>
      </c>
      <c r="C858">
        <v>168</v>
      </c>
      <c r="D858">
        <v>592</v>
      </c>
      <c r="E858">
        <v>360</v>
      </c>
    </row>
    <row r="859" spans="1:5" x14ac:dyDescent="0.35">
      <c r="A859">
        <v>5</v>
      </c>
      <c r="B859">
        <v>160</v>
      </c>
      <c r="C859">
        <v>130</v>
      </c>
      <c r="D859">
        <v>190</v>
      </c>
      <c r="E859">
        <v>30</v>
      </c>
    </row>
    <row r="860" spans="1:5" x14ac:dyDescent="0.35">
      <c r="A860">
        <v>4.5</v>
      </c>
      <c r="B860">
        <v>378</v>
      </c>
      <c r="C860">
        <v>216</v>
      </c>
      <c r="D860">
        <v>288</v>
      </c>
      <c r="E860">
        <v>-90</v>
      </c>
    </row>
    <row r="861" spans="1:5" x14ac:dyDescent="0.35">
      <c r="A861">
        <v>1.75</v>
      </c>
      <c r="B861">
        <v>150.5</v>
      </c>
      <c r="C861">
        <v>117.25</v>
      </c>
      <c r="D861">
        <v>145.25</v>
      </c>
      <c r="E861">
        <v>-5.25</v>
      </c>
    </row>
    <row r="862" spans="1:5" x14ac:dyDescent="0.35">
      <c r="A862">
        <v>6.2</v>
      </c>
      <c r="B862">
        <v>68.2</v>
      </c>
      <c r="C862">
        <v>161.20000000000002</v>
      </c>
      <c r="D862">
        <v>303.8</v>
      </c>
      <c r="E862">
        <v>235.60000000000002</v>
      </c>
    </row>
    <row r="863" spans="1:5" x14ac:dyDescent="0.35">
      <c r="A863">
        <v>2.75</v>
      </c>
      <c r="B863">
        <v>165</v>
      </c>
      <c r="C863">
        <v>176</v>
      </c>
      <c r="D863">
        <v>140.25</v>
      </c>
      <c r="E863">
        <v>-24.75</v>
      </c>
    </row>
    <row r="864" spans="1:5" x14ac:dyDescent="0.35">
      <c r="A864">
        <v>3.5</v>
      </c>
      <c r="B864">
        <v>203</v>
      </c>
      <c r="C864">
        <v>31.5</v>
      </c>
      <c r="D864">
        <v>343</v>
      </c>
      <c r="E864">
        <v>140</v>
      </c>
    </row>
    <row r="865" spans="1:5" x14ac:dyDescent="0.35">
      <c r="A865">
        <v>6</v>
      </c>
      <c r="B865">
        <v>384</v>
      </c>
      <c r="C865">
        <v>372</v>
      </c>
      <c r="D865">
        <v>330</v>
      </c>
      <c r="E865">
        <v>-54</v>
      </c>
    </row>
    <row r="866" spans="1:5" x14ac:dyDescent="0.35">
      <c r="A866">
        <v>2.2999999999999998</v>
      </c>
      <c r="B866">
        <v>43.699999999999996</v>
      </c>
      <c r="C866">
        <v>200.1</v>
      </c>
      <c r="D866">
        <v>75.899999999999991</v>
      </c>
      <c r="E866">
        <v>32.199999999999996</v>
      </c>
    </row>
    <row r="867" spans="1:5" x14ac:dyDescent="0.35">
      <c r="A867">
        <v>8</v>
      </c>
      <c r="B867">
        <v>344</v>
      </c>
      <c r="C867">
        <v>800</v>
      </c>
      <c r="D867">
        <v>216</v>
      </c>
      <c r="E867">
        <v>-128</v>
      </c>
    </row>
    <row r="868" spans="1:5" x14ac:dyDescent="0.35">
      <c r="A868">
        <v>4</v>
      </c>
      <c r="B868">
        <v>152</v>
      </c>
      <c r="C868">
        <v>188</v>
      </c>
      <c r="D868">
        <v>164</v>
      </c>
      <c r="E868">
        <v>12</v>
      </c>
    </row>
    <row r="869" spans="1:5" x14ac:dyDescent="0.35">
      <c r="A869">
        <v>2.5</v>
      </c>
      <c r="B869">
        <v>175</v>
      </c>
      <c r="C869">
        <v>185</v>
      </c>
      <c r="D869">
        <v>117.5</v>
      </c>
      <c r="E869">
        <v>-57.5</v>
      </c>
    </row>
    <row r="870" spans="1:5" x14ac:dyDescent="0.35">
      <c r="A870">
        <v>5</v>
      </c>
      <c r="B870">
        <v>90</v>
      </c>
      <c r="C870">
        <v>195</v>
      </c>
      <c r="D870">
        <v>290</v>
      </c>
      <c r="E870">
        <v>200</v>
      </c>
    </row>
    <row r="871" spans="1:5" x14ac:dyDescent="0.35">
      <c r="A871">
        <v>2.5</v>
      </c>
      <c r="B871">
        <v>115</v>
      </c>
      <c r="C871">
        <v>117.5</v>
      </c>
      <c r="D871">
        <v>120</v>
      </c>
      <c r="E871">
        <v>5</v>
      </c>
    </row>
    <row r="872" spans="1:5" x14ac:dyDescent="0.35">
      <c r="A872">
        <v>20.5</v>
      </c>
      <c r="B872">
        <v>1599</v>
      </c>
      <c r="C872">
        <v>799.5</v>
      </c>
      <c r="D872">
        <v>1271</v>
      </c>
      <c r="E872">
        <v>-328</v>
      </c>
    </row>
    <row r="873" spans="1:5" x14ac:dyDescent="0.35">
      <c r="A873">
        <v>2.2999999999999998</v>
      </c>
      <c r="B873">
        <v>121.89999999999999</v>
      </c>
      <c r="C873">
        <v>172.5</v>
      </c>
      <c r="D873">
        <v>190.89999999999998</v>
      </c>
      <c r="E873">
        <v>68.999999999999986</v>
      </c>
    </row>
    <row r="874" spans="1:5" x14ac:dyDescent="0.35">
      <c r="A874">
        <v>9</v>
      </c>
      <c r="B874">
        <v>603</v>
      </c>
      <c r="C874">
        <v>36</v>
      </c>
      <c r="D874">
        <v>684</v>
      </c>
      <c r="E874">
        <v>81</v>
      </c>
    </row>
    <row r="875" spans="1:5" x14ac:dyDescent="0.35">
      <c r="A875">
        <v>0.2</v>
      </c>
      <c r="B875">
        <v>7.2</v>
      </c>
      <c r="C875">
        <v>8.8000000000000007</v>
      </c>
      <c r="D875">
        <v>13.600000000000001</v>
      </c>
      <c r="E875">
        <v>6.4000000000000012</v>
      </c>
    </row>
    <row r="876" spans="1:5" x14ac:dyDescent="0.35">
      <c r="A876">
        <v>2.75</v>
      </c>
      <c r="B876">
        <v>107.25</v>
      </c>
      <c r="C876">
        <v>176</v>
      </c>
      <c r="D876">
        <v>253</v>
      </c>
      <c r="E876">
        <v>145.75</v>
      </c>
    </row>
    <row r="877" spans="1:5" x14ac:dyDescent="0.35">
      <c r="A877">
        <v>2</v>
      </c>
      <c r="B877">
        <v>190</v>
      </c>
      <c r="C877">
        <v>26</v>
      </c>
      <c r="D877">
        <v>122</v>
      </c>
      <c r="E877">
        <v>-68</v>
      </c>
    </row>
    <row r="878" spans="1:5" x14ac:dyDescent="0.35">
      <c r="A878">
        <v>9.5</v>
      </c>
      <c r="B878">
        <v>114</v>
      </c>
      <c r="C878">
        <v>874</v>
      </c>
      <c r="D878">
        <v>532</v>
      </c>
      <c r="E878">
        <v>418</v>
      </c>
    </row>
    <row r="879" spans="1:5" x14ac:dyDescent="0.35">
      <c r="A879">
        <v>10</v>
      </c>
      <c r="B879">
        <v>980</v>
      </c>
      <c r="C879">
        <v>390</v>
      </c>
      <c r="D879">
        <v>310</v>
      </c>
      <c r="E879">
        <v>-670</v>
      </c>
    </row>
    <row r="880" spans="1:5" x14ac:dyDescent="0.35">
      <c r="A880">
        <v>4.75</v>
      </c>
      <c r="B880">
        <v>237.5</v>
      </c>
      <c r="C880">
        <v>470.25</v>
      </c>
      <c r="D880">
        <v>247</v>
      </c>
      <c r="E880">
        <v>9.5</v>
      </c>
    </row>
    <row r="881" spans="1:5" x14ac:dyDescent="0.35">
      <c r="A881">
        <v>2.5</v>
      </c>
      <c r="B881">
        <v>245</v>
      </c>
      <c r="C881">
        <v>27.5</v>
      </c>
      <c r="D881">
        <v>120</v>
      </c>
      <c r="E881">
        <v>-125</v>
      </c>
    </row>
    <row r="882" spans="1:5" x14ac:dyDescent="0.35">
      <c r="A882">
        <v>2.5</v>
      </c>
      <c r="B882">
        <v>70</v>
      </c>
      <c r="C882">
        <v>177.5</v>
      </c>
      <c r="D882">
        <v>80</v>
      </c>
      <c r="E882">
        <v>10</v>
      </c>
    </row>
    <row r="883" spans="1:5" x14ac:dyDescent="0.35">
      <c r="A883">
        <v>1.8</v>
      </c>
      <c r="B883">
        <v>120.60000000000001</v>
      </c>
      <c r="C883">
        <v>45</v>
      </c>
      <c r="D883">
        <v>145.80000000000001</v>
      </c>
      <c r="E883">
        <v>25.200000000000003</v>
      </c>
    </row>
    <row r="884" spans="1:5" x14ac:dyDescent="0.35">
      <c r="A884">
        <v>2</v>
      </c>
      <c r="B884">
        <v>40</v>
      </c>
      <c r="C884">
        <v>74</v>
      </c>
      <c r="D884">
        <v>46</v>
      </c>
      <c r="E884">
        <v>6</v>
      </c>
    </row>
    <row r="885" spans="1:5" x14ac:dyDescent="0.35">
      <c r="A885">
        <v>11.6</v>
      </c>
      <c r="B885">
        <v>777.19999999999993</v>
      </c>
      <c r="C885">
        <v>1044</v>
      </c>
      <c r="D885">
        <v>765.6</v>
      </c>
      <c r="E885">
        <v>-11.599999999999909</v>
      </c>
    </row>
    <row r="886" spans="1:5" x14ac:dyDescent="0.35">
      <c r="A886">
        <v>0.8</v>
      </c>
      <c r="B886">
        <v>75.2</v>
      </c>
      <c r="C886">
        <v>62.400000000000006</v>
      </c>
      <c r="D886">
        <v>80</v>
      </c>
      <c r="E886">
        <v>4.7999999999999972</v>
      </c>
    </row>
    <row r="887" spans="1:5" x14ac:dyDescent="0.35">
      <c r="A887">
        <v>5</v>
      </c>
      <c r="B887">
        <v>225</v>
      </c>
      <c r="C887">
        <v>420</v>
      </c>
      <c r="D887">
        <v>450</v>
      </c>
      <c r="E887">
        <v>225</v>
      </c>
    </row>
    <row r="888" spans="1:5" x14ac:dyDescent="0.35">
      <c r="A888">
        <v>10</v>
      </c>
      <c r="B888">
        <v>860</v>
      </c>
      <c r="C888">
        <v>960</v>
      </c>
      <c r="D888">
        <v>370</v>
      </c>
      <c r="E888">
        <v>-490</v>
      </c>
    </row>
    <row r="889" spans="1:5" x14ac:dyDescent="0.35">
      <c r="A889">
        <v>9.75</v>
      </c>
      <c r="B889">
        <v>702</v>
      </c>
      <c r="C889">
        <v>507</v>
      </c>
      <c r="D889">
        <v>497.25</v>
      </c>
      <c r="E889">
        <v>-204.75</v>
      </c>
    </row>
    <row r="890" spans="1:5" x14ac:dyDescent="0.35">
      <c r="A890">
        <v>2.1</v>
      </c>
      <c r="B890">
        <v>65.100000000000009</v>
      </c>
      <c r="C890">
        <v>58.800000000000004</v>
      </c>
      <c r="D890">
        <v>115.5</v>
      </c>
      <c r="E890">
        <v>50.399999999999991</v>
      </c>
    </row>
    <row r="891" spans="1:5" x14ac:dyDescent="0.35">
      <c r="A891">
        <v>6</v>
      </c>
      <c r="B891">
        <v>72</v>
      </c>
      <c r="C891">
        <v>138</v>
      </c>
      <c r="D891">
        <v>432</v>
      </c>
      <c r="E891">
        <v>360</v>
      </c>
    </row>
    <row r="892" spans="1:5" x14ac:dyDescent="0.35">
      <c r="A892">
        <v>7</v>
      </c>
      <c r="B892">
        <v>497</v>
      </c>
      <c r="C892">
        <v>525</v>
      </c>
      <c r="D892">
        <v>539</v>
      </c>
      <c r="E892">
        <v>42</v>
      </c>
    </row>
    <row r="893" spans="1:5" x14ac:dyDescent="0.35">
      <c r="A893">
        <v>10</v>
      </c>
      <c r="B893">
        <v>640</v>
      </c>
      <c r="C893">
        <v>920</v>
      </c>
      <c r="D893">
        <v>490</v>
      </c>
      <c r="E893">
        <v>-150</v>
      </c>
    </row>
    <row r="894" spans="1:5" x14ac:dyDescent="0.35">
      <c r="A894">
        <v>5</v>
      </c>
      <c r="B894">
        <v>445</v>
      </c>
      <c r="C894">
        <v>330</v>
      </c>
      <c r="D894">
        <v>455</v>
      </c>
      <c r="E894">
        <v>10</v>
      </c>
    </row>
    <row r="895" spans="1:5" x14ac:dyDescent="0.35">
      <c r="A895">
        <v>6.5</v>
      </c>
      <c r="B895">
        <v>325</v>
      </c>
      <c r="C895">
        <v>624</v>
      </c>
      <c r="D895">
        <v>344.5</v>
      </c>
      <c r="E895">
        <v>19.5</v>
      </c>
    </row>
    <row r="896" spans="1:5" x14ac:dyDescent="0.35">
      <c r="A896">
        <v>5</v>
      </c>
      <c r="B896">
        <v>265</v>
      </c>
      <c r="C896">
        <v>115</v>
      </c>
      <c r="D896">
        <v>205</v>
      </c>
      <c r="E896">
        <v>-60</v>
      </c>
    </row>
    <row r="897" spans="1:5" x14ac:dyDescent="0.35">
      <c r="A897">
        <v>9</v>
      </c>
      <c r="B897">
        <v>171</v>
      </c>
      <c r="C897">
        <v>702</v>
      </c>
      <c r="D897">
        <v>261</v>
      </c>
      <c r="E897">
        <v>90</v>
      </c>
    </row>
    <row r="898" spans="1:5" x14ac:dyDescent="0.35">
      <c r="A898">
        <v>4</v>
      </c>
      <c r="B898">
        <v>356</v>
      </c>
      <c r="C898">
        <v>256</v>
      </c>
      <c r="D898">
        <v>372</v>
      </c>
      <c r="E898">
        <v>16</v>
      </c>
    </row>
    <row r="899" spans="1:5" x14ac:dyDescent="0.35">
      <c r="A899">
        <v>8</v>
      </c>
      <c r="B899">
        <v>768</v>
      </c>
      <c r="C899">
        <v>64</v>
      </c>
      <c r="D899">
        <v>776</v>
      </c>
      <c r="E899">
        <v>8</v>
      </c>
    </row>
    <row r="900" spans="1:5" x14ac:dyDescent="0.35">
      <c r="A900">
        <v>12</v>
      </c>
      <c r="B900">
        <v>624</v>
      </c>
      <c r="C900">
        <v>408</v>
      </c>
      <c r="D900">
        <v>372</v>
      </c>
      <c r="E900">
        <v>-252</v>
      </c>
    </row>
    <row r="901" spans="1:5" x14ac:dyDescent="0.35">
      <c r="A901">
        <v>6.5</v>
      </c>
      <c r="B901">
        <v>630.5</v>
      </c>
      <c r="C901">
        <v>52</v>
      </c>
      <c r="D901">
        <v>331.5</v>
      </c>
      <c r="E901">
        <v>-299</v>
      </c>
    </row>
    <row r="902" spans="1:5" x14ac:dyDescent="0.35">
      <c r="A902">
        <v>20</v>
      </c>
      <c r="B902">
        <v>1760</v>
      </c>
      <c r="C902">
        <v>1360</v>
      </c>
      <c r="D902">
        <v>1840</v>
      </c>
      <c r="E902">
        <v>80</v>
      </c>
    </row>
    <row r="903" spans="1:5" x14ac:dyDescent="0.35">
      <c r="A903">
        <v>4.75</v>
      </c>
      <c r="B903">
        <v>156.75</v>
      </c>
      <c r="C903">
        <v>422.75</v>
      </c>
      <c r="D903">
        <v>441.75</v>
      </c>
      <c r="E903">
        <v>285</v>
      </c>
    </row>
    <row r="904" spans="1:5" x14ac:dyDescent="0.35">
      <c r="A904">
        <v>4.75</v>
      </c>
      <c r="B904">
        <v>465.5</v>
      </c>
      <c r="C904">
        <v>384.75</v>
      </c>
      <c r="D904">
        <v>242.25</v>
      </c>
      <c r="E904">
        <v>-223.25</v>
      </c>
    </row>
    <row r="905" spans="1:5" x14ac:dyDescent="0.35">
      <c r="A905">
        <v>4</v>
      </c>
      <c r="B905">
        <v>180</v>
      </c>
      <c r="C905">
        <v>380</v>
      </c>
      <c r="D905">
        <v>336</v>
      </c>
      <c r="E905">
        <v>156</v>
      </c>
    </row>
    <row r="906" spans="1:5" x14ac:dyDescent="0.35">
      <c r="A906">
        <v>1.8</v>
      </c>
      <c r="B906">
        <v>144</v>
      </c>
      <c r="C906">
        <v>90</v>
      </c>
      <c r="D906">
        <v>82.8</v>
      </c>
      <c r="E906">
        <v>-61.2</v>
      </c>
    </row>
    <row r="907" spans="1:5" x14ac:dyDescent="0.35">
      <c r="A907">
        <v>20</v>
      </c>
      <c r="B907">
        <v>1360</v>
      </c>
      <c r="C907">
        <v>1920</v>
      </c>
      <c r="D907">
        <v>1500</v>
      </c>
      <c r="E907">
        <v>140</v>
      </c>
    </row>
    <row r="908" spans="1:5" x14ac:dyDescent="0.35">
      <c r="A908">
        <v>5</v>
      </c>
      <c r="B908">
        <v>450</v>
      </c>
      <c r="C908">
        <v>310</v>
      </c>
      <c r="D908">
        <v>170</v>
      </c>
      <c r="E908">
        <v>-280</v>
      </c>
    </row>
    <row r="909" spans="1:5" x14ac:dyDescent="0.35">
      <c r="A909">
        <v>12</v>
      </c>
      <c r="B909">
        <v>1068</v>
      </c>
      <c r="C909">
        <v>1068</v>
      </c>
      <c r="D909">
        <v>1152</v>
      </c>
      <c r="E909">
        <v>84</v>
      </c>
    </row>
    <row r="910" spans="1:5" x14ac:dyDescent="0.35">
      <c r="A910">
        <v>1.8</v>
      </c>
      <c r="B910">
        <v>68.400000000000006</v>
      </c>
      <c r="C910">
        <v>156.6</v>
      </c>
      <c r="D910">
        <v>160.20000000000002</v>
      </c>
      <c r="E910">
        <v>91.800000000000011</v>
      </c>
    </row>
    <row r="911" spans="1:5" x14ac:dyDescent="0.35">
      <c r="A911">
        <v>2.1</v>
      </c>
      <c r="B911">
        <v>207.9</v>
      </c>
      <c r="C911">
        <v>155.4</v>
      </c>
      <c r="D911">
        <v>96.600000000000009</v>
      </c>
      <c r="E911">
        <v>-111.3</v>
      </c>
    </row>
    <row r="912" spans="1:5" x14ac:dyDescent="0.35">
      <c r="A912">
        <v>2.4</v>
      </c>
      <c r="B912">
        <v>158.4</v>
      </c>
      <c r="C912">
        <v>48</v>
      </c>
      <c r="D912">
        <v>72</v>
      </c>
      <c r="E912">
        <v>-86.4</v>
      </c>
    </row>
    <row r="913" spans="1:5" x14ac:dyDescent="0.35">
      <c r="A913">
        <v>6</v>
      </c>
      <c r="B913">
        <v>396</v>
      </c>
      <c r="C913">
        <v>42</v>
      </c>
      <c r="D913">
        <v>510</v>
      </c>
      <c r="E913">
        <v>114</v>
      </c>
    </row>
    <row r="914" spans="1:5" x14ac:dyDescent="0.35">
      <c r="A914">
        <v>1.5</v>
      </c>
      <c r="B914">
        <v>96</v>
      </c>
      <c r="C914">
        <v>145.5</v>
      </c>
      <c r="D914">
        <v>49.5</v>
      </c>
      <c r="E914">
        <v>-46.5</v>
      </c>
    </row>
    <row r="915" spans="1:5" x14ac:dyDescent="0.35">
      <c r="A915">
        <v>6</v>
      </c>
      <c r="B915">
        <v>108</v>
      </c>
      <c r="C915">
        <v>258</v>
      </c>
      <c r="D915">
        <v>510</v>
      </c>
      <c r="E915">
        <v>402</v>
      </c>
    </row>
    <row r="916" spans="1:5" x14ac:dyDescent="0.35">
      <c r="A916">
        <v>2.75</v>
      </c>
      <c r="B916">
        <v>236.5</v>
      </c>
      <c r="C916">
        <v>214.5</v>
      </c>
      <c r="D916">
        <v>143</v>
      </c>
      <c r="E916">
        <v>-93.5</v>
      </c>
    </row>
    <row r="917" spans="1:5" x14ac:dyDescent="0.35">
      <c r="A917">
        <v>4.7</v>
      </c>
      <c r="B917">
        <v>164.5</v>
      </c>
      <c r="C917">
        <v>408.90000000000003</v>
      </c>
      <c r="D917">
        <v>183.3</v>
      </c>
      <c r="E917">
        <v>18.800000000000011</v>
      </c>
    </row>
    <row r="918" spans="1:5" x14ac:dyDescent="0.35">
      <c r="A918">
        <v>2</v>
      </c>
      <c r="B918">
        <v>52</v>
      </c>
      <c r="C918">
        <v>104</v>
      </c>
      <c r="D918">
        <v>72</v>
      </c>
      <c r="E918">
        <v>20</v>
      </c>
    </row>
    <row r="919" spans="1:5" x14ac:dyDescent="0.35">
      <c r="A919">
        <v>12</v>
      </c>
      <c r="B919">
        <v>960</v>
      </c>
      <c r="C919">
        <v>576</v>
      </c>
      <c r="D919">
        <v>1200</v>
      </c>
      <c r="E919">
        <v>240</v>
      </c>
    </row>
    <row r="920" spans="1:5" x14ac:dyDescent="0.35">
      <c r="A920">
        <v>2.5</v>
      </c>
      <c r="B920">
        <v>157.5</v>
      </c>
      <c r="C920">
        <v>82.5</v>
      </c>
      <c r="D920">
        <v>87.5</v>
      </c>
      <c r="E920">
        <v>-70</v>
      </c>
    </row>
    <row r="921" spans="1:5" x14ac:dyDescent="0.35">
      <c r="A921">
        <v>5.5</v>
      </c>
      <c r="B921">
        <v>489.5</v>
      </c>
      <c r="C921">
        <v>126.5</v>
      </c>
      <c r="D921">
        <v>456.5</v>
      </c>
      <c r="E921">
        <v>-33</v>
      </c>
    </row>
    <row r="922" spans="1:5" x14ac:dyDescent="0.35">
      <c r="A922">
        <v>2</v>
      </c>
      <c r="B922">
        <v>160</v>
      </c>
      <c r="C922">
        <v>142</v>
      </c>
      <c r="D922">
        <v>196</v>
      </c>
      <c r="E922">
        <v>36</v>
      </c>
    </row>
    <row r="923" spans="1:5" x14ac:dyDescent="0.35">
      <c r="A923">
        <v>2</v>
      </c>
      <c r="B923">
        <v>82</v>
      </c>
      <c r="C923">
        <v>100</v>
      </c>
      <c r="D923">
        <v>110</v>
      </c>
      <c r="E923">
        <v>28</v>
      </c>
    </row>
    <row r="924" spans="1:5" x14ac:dyDescent="0.35">
      <c r="A924">
        <v>5</v>
      </c>
      <c r="B924">
        <v>265</v>
      </c>
      <c r="C924">
        <v>470</v>
      </c>
      <c r="D924">
        <v>410</v>
      </c>
      <c r="E924">
        <v>145</v>
      </c>
    </row>
    <row r="925" spans="1:5" x14ac:dyDescent="0.35">
      <c r="A925">
        <v>9</v>
      </c>
      <c r="B925">
        <v>549</v>
      </c>
      <c r="C925">
        <v>360</v>
      </c>
      <c r="D925">
        <v>306</v>
      </c>
      <c r="E925">
        <v>-243</v>
      </c>
    </row>
    <row r="926" spans="1:5" x14ac:dyDescent="0.35">
      <c r="A926">
        <v>1</v>
      </c>
      <c r="B926">
        <v>70</v>
      </c>
      <c r="C926">
        <v>74</v>
      </c>
      <c r="D926">
        <v>95</v>
      </c>
      <c r="E926">
        <v>25</v>
      </c>
    </row>
    <row r="927" spans="1:5" x14ac:dyDescent="0.35">
      <c r="A927">
        <v>5</v>
      </c>
      <c r="B927">
        <v>365</v>
      </c>
      <c r="C927">
        <v>5</v>
      </c>
      <c r="D927">
        <v>250</v>
      </c>
      <c r="E927">
        <v>-115</v>
      </c>
    </row>
    <row r="928" spans="1:5" x14ac:dyDescent="0.35">
      <c r="A928">
        <v>4</v>
      </c>
      <c r="B928">
        <v>240</v>
      </c>
      <c r="C928">
        <v>356</v>
      </c>
      <c r="D928">
        <v>84</v>
      </c>
      <c r="E928">
        <v>-156</v>
      </c>
    </row>
    <row r="929" spans="1:5" x14ac:dyDescent="0.35">
      <c r="A929">
        <v>6</v>
      </c>
      <c r="B929">
        <v>528</v>
      </c>
      <c r="C929">
        <v>264</v>
      </c>
      <c r="D929">
        <v>432</v>
      </c>
      <c r="E929">
        <v>-96</v>
      </c>
    </row>
    <row r="930" spans="1:5" x14ac:dyDescent="0.35">
      <c r="A930">
        <v>2.5</v>
      </c>
      <c r="B930">
        <v>237.5</v>
      </c>
      <c r="C930">
        <v>147.5</v>
      </c>
      <c r="D930">
        <v>122.5</v>
      </c>
      <c r="E930">
        <v>-115</v>
      </c>
    </row>
    <row r="931" spans="1:5" x14ac:dyDescent="0.35">
      <c r="A931">
        <v>2.5</v>
      </c>
      <c r="B931">
        <v>117.5</v>
      </c>
      <c r="C931">
        <v>40</v>
      </c>
      <c r="D931">
        <v>55</v>
      </c>
      <c r="E931">
        <v>-62.5</v>
      </c>
    </row>
    <row r="932" spans="1:5" x14ac:dyDescent="0.35">
      <c r="A932">
        <v>7</v>
      </c>
      <c r="B932">
        <v>168</v>
      </c>
      <c r="C932">
        <v>455</v>
      </c>
      <c r="D932">
        <v>406</v>
      </c>
      <c r="E932">
        <v>238</v>
      </c>
    </row>
    <row r="933" spans="1:5" x14ac:dyDescent="0.35">
      <c r="A933">
        <v>10</v>
      </c>
      <c r="B933">
        <v>930</v>
      </c>
      <c r="C933">
        <v>700</v>
      </c>
      <c r="D933">
        <v>810</v>
      </c>
      <c r="E933">
        <v>-120</v>
      </c>
    </row>
    <row r="934" spans="1:5" x14ac:dyDescent="0.35">
      <c r="A934">
        <v>2.5</v>
      </c>
      <c r="B934">
        <v>200</v>
      </c>
      <c r="C934">
        <v>150</v>
      </c>
      <c r="D934">
        <v>245</v>
      </c>
      <c r="E934">
        <v>45</v>
      </c>
    </row>
    <row r="935" spans="1:5" x14ac:dyDescent="0.35">
      <c r="A935">
        <v>3.5</v>
      </c>
      <c r="B935">
        <v>269.5</v>
      </c>
      <c r="C935">
        <v>45.5</v>
      </c>
      <c r="D935">
        <v>220.5</v>
      </c>
      <c r="E935">
        <v>-49</v>
      </c>
    </row>
    <row r="936" spans="1:5" x14ac:dyDescent="0.35">
      <c r="A936">
        <v>2</v>
      </c>
      <c r="B936">
        <v>84</v>
      </c>
      <c r="C936">
        <v>36</v>
      </c>
      <c r="D936">
        <v>78</v>
      </c>
      <c r="E936">
        <v>-6</v>
      </c>
    </row>
    <row r="937" spans="1:5" x14ac:dyDescent="0.35">
      <c r="A937">
        <v>2.5</v>
      </c>
      <c r="B937">
        <v>230</v>
      </c>
      <c r="C937">
        <v>57.5</v>
      </c>
      <c r="D937">
        <v>195</v>
      </c>
      <c r="E937">
        <v>-35</v>
      </c>
    </row>
    <row r="938" spans="1:5" x14ac:dyDescent="0.35">
      <c r="A938">
        <v>6.25</v>
      </c>
      <c r="B938">
        <v>506.25</v>
      </c>
      <c r="C938">
        <v>106.25</v>
      </c>
      <c r="D938">
        <v>575</v>
      </c>
      <c r="E938">
        <v>68.75</v>
      </c>
    </row>
    <row r="939" spans="1:5" x14ac:dyDescent="0.35">
      <c r="A939">
        <v>4.75</v>
      </c>
      <c r="B939">
        <v>218.5</v>
      </c>
      <c r="C939">
        <v>52.25</v>
      </c>
      <c r="D939">
        <v>171</v>
      </c>
      <c r="E939">
        <v>-47.5</v>
      </c>
    </row>
    <row r="940" spans="1:5" x14ac:dyDescent="0.35">
      <c r="A940">
        <v>2.5</v>
      </c>
      <c r="B940">
        <v>110</v>
      </c>
      <c r="C940">
        <v>77.5</v>
      </c>
      <c r="D940">
        <v>110</v>
      </c>
      <c r="E940">
        <v>0</v>
      </c>
    </row>
    <row r="941" spans="1:5" x14ac:dyDescent="0.35">
      <c r="A941">
        <v>3.5</v>
      </c>
      <c r="B941">
        <v>133</v>
      </c>
      <c r="C941">
        <v>94.5</v>
      </c>
      <c r="D941">
        <v>157.5</v>
      </c>
      <c r="E941">
        <v>24.5</v>
      </c>
    </row>
    <row r="942" spans="1:5" x14ac:dyDescent="0.35">
      <c r="A942">
        <v>2</v>
      </c>
      <c r="B942">
        <v>128</v>
      </c>
      <c r="C942">
        <v>70</v>
      </c>
      <c r="D942">
        <v>148</v>
      </c>
      <c r="E942">
        <v>20</v>
      </c>
    </row>
    <row r="943" spans="1:5" x14ac:dyDescent="0.35">
      <c r="A943">
        <v>1.45</v>
      </c>
      <c r="B943">
        <v>56.55</v>
      </c>
      <c r="C943">
        <v>102.95</v>
      </c>
      <c r="D943">
        <v>29</v>
      </c>
      <c r="E943">
        <v>-27.549999999999997</v>
      </c>
    </row>
    <row r="944" spans="1:5" x14ac:dyDescent="0.35">
      <c r="A944">
        <v>2.5</v>
      </c>
      <c r="B944">
        <v>105</v>
      </c>
      <c r="C944">
        <v>237.5</v>
      </c>
      <c r="D944">
        <v>167.5</v>
      </c>
      <c r="E944">
        <v>62.5</v>
      </c>
    </row>
    <row r="945" spans="1:5" x14ac:dyDescent="0.35">
      <c r="A945">
        <v>2</v>
      </c>
      <c r="B945">
        <v>58</v>
      </c>
      <c r="C945">
        <v>108</v>
      </c>
      <c r="D945">
        <v>116</v>
      </c>
      <c r="E945">
        <v>58</v>
      </c>
    </row>
    <row r="946" spans="1:5" x14ac:dyDescent="0.35">
      <c r="A946">
        <v>1.8</v>
      </c>
      <c r="B946">
        <v>108</v>
      </c>
      <c r="C946">
        <v>145.80000000000001</v>
      </c>
      <c r="D946">
        <v>133.20000000000002</v>
      </c>
      <c r="E946">
        <v>25.200000000000017</v>
      </c>
    </row>
    <row r="947" spans="1:5" x14ac:dyDescent="0.35">
      <c r="A947">
        <v>12</v>
      </c>
      <c r="B947">
        <v>780</v>
      </c>
      <c r="C947">
        <v>348</v>
      </c>
      <c r="D947">
        <v>828</v>
      </c>
      <c r="E947">
        <v>48</v>
      </c>
    </row>
    <row r="948" spans="1:5" x14ac:dyDescent="0.35">
      <c r="A948">
        <v>4.5</v>
      </c>
      <c r="B948">
        <v>400.5</v>
      </c>
      <c r="C948">
        <v>423</v>
      </c>
      <c r="D948">
        <v>171</v>
      </c>
      <c r="E948">
        <v>-229.5</v>
      </c>
    </row>
    <row r="949" spans="1:5" x14ac:dyDescent="0.35">
      <c r="A949">
        <v>2.5</v>
      </c>
      <c r="B949">
        <v>125</v>
      </c>
      <c r="C949">
        <v>172.5</v>
      </c>
      <c r="D949">
        <v>70</v>
      </c>
      <c r="E949">
        <v>-55</v>
      </c>
    </row>
    <row r="950" spans="1:5" x14ac:dyDescent="0.35">
      <c r="A950">
        <v>4.5</v>
      </c>
      <c r="B950">
        <v>423</v>
      </c>
      <c r="C950">
        <v>378</v>
      </c>
      <c r="D950">
        <v>198</v>
      </c>
      <c r="E950">
        <v>-225</v>
      </c>
    </row>
    <row r="951" spans="1:5" x14ac:dyDescent="0.35">
      <c r="A951">
        <v>2.2999999999999998</v>
      </c>
      <c r="B951">
        <v>223.1</v>
      </c>
      <c r="C951">
        <v>98.899999999999991</v>
      </c>
      <c r="D951">
        <v>188.6</v>
      </c>
      <c r="E951">
        <v>-34.5</v>
      </c>
    </row>
    <row r="952" spans="1:5" x14ac:dyDescent="0.35">
      <c r="A952">
        <v>4</v>
      </c>
      <c r="B952">
        <v>288</v>
      </c>
      <c r="C952">
        <v>4</v>
      </c>
      <c r="D952">
        <v>340</v>
      </c>
      <c r="E952">
        <v>52</v>
      </c>
    </row>
    <row r="953" spans="1:5" x14ac:dyDescent="0.35">
      <c r="A953">
        <v>2.5</v>
      </c>
      <c r="B953">
        <v>155</v>
      </c>
      <c r="C953">
        <v>35</v>
      </c>
      <c r="D953">
        <v>102.5</v>
      </c>
      <c r="E953">
        <v>-52.5</v>
      </c>
    </row>
    <row r="954" spans="1:5" x14ac:dyDescent="0.35">
      <c r="A954">
        <v>3.5</v>
      </c>
      <c r="B954">
        <v>154</v>
      </c>
      <c r="C954">
        <v>322</v>
      </c>
      <c r="D954">
        <v>143.5</v>
      </c>
      <c r="E954">
        <v>-10.5</v>
      </c>
    </row>
    <row r="955" spans="1:5" x14ac:dyDescent="0.35">
      <c r="A955">
        <v>4</v>
      </c>
      <c r="B955">
        <v>84</v>
      </c>
      <c r="C955">
        <v>156</v>
      </c>
      <c r="D955">
        <v>316</v>
      </c>
      <c r="E955">
        <v>232</v>
      </c>
    </row>
    <row r="956" spans="1:5" x14ac:dyDescent="0.35">
      <c r="A956">
        <v>5</v>
      </c>
      <c r="B956">
        <v>455</v>
      </c>
      <c r="C956">
        <v>240</v>
      </c>
      <c r="D956">
        <v>240</v>
      </c>
      <c r="E956">
        <v>-215</v>
      </c>
    </row>
    <row r="957" spans="1:5" x14ac:dyDescent="0.35">
      <c r="A957">
        <v>18</v>
      </c>
      <c r="B957">
        <v>1566</v>
      </c>
      <c r="C957">
        <v>1188</v>
      </c>
      <c r="D957">
        <v>396</v>
      </c>
      <c r="E957">
        <v>-1170</v>
      </c>
    </row>
    <row r="958" spans="1:5" x14ac:dyDescent="0.35">
      <c r="A958">
        <v>2.52</v>
      </c>
      <c r="B958">
        <v>153.72</v>
      </c>
      <c r="C958">
        <v>173.88</v>
      </c>
      <c r="D958">
        <v>78.12</v>
      </c>
      <c r="E958">
        <v>-75.599999999999994</v>
      </c>
    </row>
    <row r="959" spans="1:5" x14ac:dyDescent="0.35">
      <c r="A959">
        <v>1.5</v>
      </c>
      <c r="B959">
        <v>91.5</v>
      </c>
      <c r="C959">
        <v>148.5</v>
      </c>
      <c r="D959">
        <v>39</v>
      </c>
      <c r="E959">
        <v>-52.5</v>
      </c>
    </row>
    <row r="960" spans="1:5" x14ac:dyDescent="0.35">
      <c r="A960">
        <v>2</v>
      </c>
      <c r="B960">
        <v>98</v>
      </c>
      <c r="C960">
        <v>56</v>
      </c>
      <c r="D960">
        <v>194</v>
      </c>
      <c r="E960">
        <v>96</v>
      </c>
    </row>
    <row r="961" spans="1:5" x14ac:dyDescent="0.35">
      <c r="A961">
        <v>2.5</v>
      </c>
      <c r="B961">
        <v>217.5</v>
      </c>
      <c r="C961">
        <v>245</v>
      </c>
      <c r="D961">
        <v>152.5</v>
      </c>
      <c r="E961">
        <v>-65</v>
      </c>
    </row>
    <row r="962" spans="1:5" x14ac:dyDescent="0.35">
      <c r="A962">
        <v>3.25</v>
      </c>
      <c r="B962">
        <v>302.25</v>
      </c>
      <c r="C962">
        <v>308.75</v>
      </c>
      <c r="D962">
        <v>182</v>
      </c>
      <c r="E962">
        <v>-120.25</v>
      </c>
    </row>
    <row r="963" spans="1:5" x14ac:dyDescent="0.35">
      <c r="A963">
        <v>4.45</v>
      </c>
      <c r="B963">
        <v>244.75</v>
      </c>
      <c r="C963">
        <v>315.95</v>
      </c>
      <c r="D963">
        <v>164.65</v>
      </c>
      <c r="E963">
        <v>-80.099999999999994</v>
      </c>
    </row>
    <row r="964" spans="1:5" x14ac:dyDescent="0.35">
      <c r="A964">
        <v>4</v>
      </c>
      <c r="B964">
        <v>116</v>
      </c>
      <c r="C964">
        <v>320</v>
      </c>
      <c r="D964">
        <v>92</v>
      </c>
      <c r="E964">
        <v>-24</v>
      </c>
    </row>
    <row r="965" spans="1:5" x14ac:dyDescent="0.35">
      <c r="A965">
        <v>0.2</v>
      </c>
      <c r="B965">
        <v>12.600000000000001</v>
      </c>
      <c r="C965">
        <v>3.6</v>
      </c>
      <c r="D965">
        <v>13.4</v>
      </c>
      <c r="E965">
        <v>0.79999999999999893</v>
      </c>
    </row>
    <row r="966" spans="1:5" x14ac:dyDescent="0.35">
      <c r="A966">
        <v>1.2</v>
      </c>
      <c r="B966">
        <v>50.4</v>
      </c>
      <c r="C966">
        <v>64.8</v>
      </c>
      <c r="D966">
        <v>51.6</v>
      </c>
      <c r="E966">
        <v>1.2000000000000028</v>
      </c>
    </row>
    <row r="967" spans="1:5" x14ac:dyDescent="0.35">
      <c r="A967">
        <v>2</v>
      </c>
      <c r="B967">
        <v>148</v>
      </c>
      <c r="C967">
        <v>78</v>
      </c>
      <c r="D967">
        <v>194</v>
      </c>
      <c r="E967">
        <v>46</v>
      </c>
    </row>
    <row r="968" spans="1:5" x14ac:dyDescent="0.35">
      <c r="A968">
        <v>3</v>
      </c>
      <c r="B968">
        <v>66</v>
      </c>
      <c r="C968">
        <v>45</v>
      </c>
      <c r="D968">
        <v>204</v>
      </c>
      <c r="E968">
        <v>138</v>
      </c>
    </row>
    <row r="969" spans="1:5" x14ac:dyDescent="0.35">
      <c r="A969">
        <v>0.2</v>
      </c>
      <c r="B969">
        <v>16.600000000000001</v>
      </c>
      <c r="C969">
        <v>8.6</v>
      </c>
      <c r="D969">
        <v>18.8</v>
      </c>
      <c r="E969">
        <v>2.1999999999999993</v>
      </c>
    </row>
    <row r="970" spans="1:5" x14ac:dyDescent="0.35">
      <c r="A970">
        <v>10</v>
      </c>
      <c r="B970">
        <v>320</v>
      </c>
      <c r="C970">
        <v>800</v>
      </c>
      <c r="D970">
        <v>690</v>
      </c>
      <c r="E970">
        <v>370</v>
      </c>
    </row>
    <row r="971" spans="1:5" x14ac:dyDescent="0.35">
      <c r="A971">
        <v>3.5</v>
      </c>
      <c r="B971">
        <v>294</v>
      </c>
      <c r="C971">
        <v>280</v>
      </c>
      <c r="D971">
        <v>231</v>
      </c>
      <c r="E971">
        <v>-63</v>
      </c>
    </row>
    <row r="972" spans="1:5" x14ac:dyDescent="0.35">
      <c r="A972">
        <v>4</v>
      </c>
      <c r="B972">
        <v>88</v>
      </c>
      <c r="C972">
        <v>288</v>
      </c>
      <c r="D972">
        <v>280</v>
      </c>
      <c r="E972">
        <v>192</v>
      </c>
    </row>
    <row r="973" spans="1:5" x14ac:dyDescent="0.35">
      <c r="A973">
        <v>3</v>
      </c>
      <c r="B973">
        <v>300</v>
      </c>
      <c r="C973">
        <v>6</v>
      </c>
      <c r="D973">
        <v>258</v>
      </c>
      <c r="E973">
        <v>-42</v>
      </c>
    </row>
    <row r="974" spans="1:5" x14ac:dyDescent="0.35">
      <c r="A974">
        <v>9</v>
      </c>
      <c r="B974">
        <v>324</v>
      </c>
      <c r="C974">
        <v>441</v>
      </c>
      <c r="D974">
        <v>270</v>
      </c>
      <c r="E974">
        <v>-54</v>
      </c>
    </row>
    <row r="975" spans="1:5" x14ac:dyDescent="0.35">
      <c r="A975">
        <v>20</v>
      </c>
      <c r="B975">
        <v>280</v>
      </c>
      <c r="C975">
        <v>1300</v>
      </c>
      <c r="D975">
        <v>1420</v>
      </c>
      <c r="E975">
        <v>1140</v>
      </c>
    </row>
    <row r="976" spans="1:5" x14ac:dyDescent="0.35">
      <c r="A976">
        <v>2</v>
      </c>
      <c r="B976">
        <v>76</v>
      </c>
      <c r="C976">
        <v>34</v>
      </c>
      <c r="D976">
        <v>104</v>
      </c>
      <c r="E976">
        <v>28</v>
      </c>
    </row>
    <row r="977" spans="1:5" x14ac:dyDescent="0.35">
      <c r="A977">
        <v>3</v>
      </c>
      <c r="B977">
        <v>291</v>
      </c>
      <c r="C977">
        <v>240</v>
      </c>
      <c r="D977">
        <v>66</v>
      </c>
      <c r="E977">
        <v>-225</v>
      </c>
    </row>
    <row r="978" spans="1:5" x14ac:dyDescent="0.35">
      <c r="A978">
        <v>8</v>
      </c>
      <c r="B978">
        <v>512</v>
      </c>
      <c r="C978">
        <v>224</v>
      </c>
      <c r="D978">
        <v>200</v>
      </c>
      <c r="E978">
        <v>-312</v>
      </c>
    </row>
    <row r="979" spans="1:5" x14ac:dyDescent="0.35">
      <c r="A979">
        <v>1.9</v>
      </c>
      <c r="B979">
        <v>26.599999999999998</v>
      </c>
      <c r="C979">
        <v>36.1</v>
      </c>
      <c r="D979">
        <v>190</v>
      </c>
      <c r="E979">
        <v>163.4</v>
      </c>
    </row>
    <row r="980" spans="1:5" x14ac:dyDescent="0.35">
      <c r="A980">
        <v>10</v>
      </c>
      <c r="B980">
        <v>240</v>
      </c>
      <c r="C980">
        <v>270</v>
      </c>
      <c r="D980">
        <v>990</v>
      </c>
      <c r="E980">
        <v>750</v>
      </c>
    </row>
    <row r="981" spans="1:5" x14ac:dyDescent="0.35">
      <c r="A981">
        <v>7</v>
      </c>
      <c r="B981">
        <v>700</v>
      </c>
      <c r="C981">
        <v>147</v>
      </c>
      <c r="D981">
        <v>595</v>
      </c>
      <c r="E981">
        <v>-105</v>
      </c>
    </row>
    <row r="982" spans="1:5" x14ac:dyDescent="0.35">
      <c r="A982">
        <v>4.75</v>
      </c>
      <c r="B982">
        <v>294.5</v>
      </c>
      <c r="C982">
        <v>456</v>
      </c>
      <c r="D982">
        <v>147.25</v>
      </c>
      <c r="E982">
        <v>-147.25</v>
      </c>
    </row>
    <row r="983" spans="1:5" x14ac:dyDescent="0.35">
      <c r="A983">
        <v>4.5</v>
      </c>
      <c r="B983">
        <v>319.5</v>
      </c>
      <c r="C983">
        <v>279</v>
      </c>
      <c r="D983">
        <v>270</v>
      </c>
      <c r="E983">
        <v>-49.5</v>
      </c>
    </row>
    <row r="984" spans="1:5" x14ac:dyDescent="0.35">
      <c r="A984">
        <v>12</v>
      </c>
      <c r="B984">
        <v>456</v>
      </c>
      <c r="C984">
        <v>792</v>
      </c>
      <c r="D984">
        <v>420</v>
      </c>
      <c r="E984">
        <v>-36</v>
      </c>
    </row>
    <row r="985" spans="1:5" x14ac:dyDescent="0.35">
      <c r="A985">
        <v>2.4</v>
      </c>
      <c r="B985">
        <v>211.2</v>
      </c>
      <c r="C985">
        <v>225.6</v>
      </c>
      <c r="D985">
        <v>228</v>
      </c>
      <c r="E985">
        <v>16.800000000000011</v>
      </c>
    </row>
    <row r="986" spans="1:5" x14ac:dyDescent="0.35">
      <c r="A986">
        <v>4.5</v>
      </c>
      <c r="B986">
        <v>180</v>
      </c>
      <c r="C986">
        <v>292.5</v>
      </c>
      <c r="D986">
        <v>243</v>
      </c>
      <c r="E986">
        <v>63</v>
      </c>
    </row>
    <row r="987" spans="1:5" x14ac:dyDescent="0.35">
      <c r="A987">
        <v>2.5</v>
      </c>
      <c r="B987">
        <v>220</v>
      </c>
      <c r="C987">
        <v>42.5</v>
      </c>
      <c r="D987">
        <v>145</v>
      </c>
      <c r="E987">
        <v>-75</v>
      </c>
    </row>
    <row r="988" spans="1:5" x14ac:dyDescent="0.35">
      <c r="A988">
        <v>9</v>
      </c>
      <c r="B988">
        <v>540</v>
      </c>
      <c r="C988">
        <v>801</v>
      </c>
      <c r="D988">
        <v>855</v>
      </c>
      <c r="E988">
        <v>315</v>
      </c>
    </row>
    <row r="989" spans="1:5" x14ac:dyDescent="0.35">
      <c r="A989">
        <v>0.9</v>
      </c>
      <c r="B989">
        <v>84.600000000000009</v>
      </c>
      <c r="C989">
        <v>10.8</v>
      </c>
      <c r="D989">
        <v>88.2</v>
      </c>
      <c r="E989">
        <v>3.5999999999999943</v>
      </c>
    </row>
    <row r="990" spans="1:5" x14ac:dyDescent="0.35">
      <c r="A990">
        <v>10</v>
      </c>
      <c r="B990">
        <v>300</v>
      </c>
      <c r="C990">
        <v>520</v>
      </c>
      <c r="D990">
        <v>220</v>
      </c>
      <c r="E990">
        <v>-80</v>
      </c>
    </row>
    <row r="991" spans="1:5" x14ac:dyDescent="0.35">
      <c r="A991">
        <v>4.5</v>
      </c>
      <c r="B991">
        <v>85.5</v>
      </c>
      <c r="C991">
        <v>373.5</v>
      </c>
      <c r="D991">
        <v>409.5</v>
      </c>
      <c r="E991">
        <v>324</v>
      </c>
    </row>
  </sheetData>
  <autoFilter ref="A1:B991" xr:uid="{B4141A93-AE49-4F9B-B743-D4CF0F69F8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Grocery and sales Data</vt:lpstr>
      <vt:lpstr>Produc Details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Rajendran</dc:creator>
  <cp:lastModifiedBy>Pooja Rajendran</cp:lastModifiedBy>
  <dcterms:created xsi:type="dcterms:W3CDTF">2026-01-11T12:35:46Z</dcterms:created>
  <dcterms:modified xsi:type="dcterms:W3CDTF">2026-01-14T10:23:57Z</dcterms:modified>
</cp:coreProperties>
</file>